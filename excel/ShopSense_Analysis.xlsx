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chethan\Desktop\preparing\shopsense\excel\"/>
    </mc:Choice>
  </mc:AlternateContent>
  <xr:revisionPtr revIDLastSave="0" documentId="8_{A5C9EBC2-89BA-457A-98B0-357BD1E4945E}" xr6:coauthVersionLast="47" xr6:coauthVersionMax="47" xr10:uidLastSave="{00000000-0000-0000-0000-000000000000}"/>
  <bookViews>
    <workbookView xWindow="-28920" yWindow="1620" windowWidth="29040" windowHeight="15720" firstSheet="1" activeTab="2" xr2:uid="{00000000-000D-0000-FFFF-FFFF00000000}"/>
  </bookViews>
  <sheets>
    <sheet name="How_to_fill" sheetId="1" r:id="rId1"/>
    <sheet name="Top_Customers" sheetId="5" r:id="rId2"/>
    <sheet name="Customer_Summary" sheetId="7" r:id="rId3"/>
    <sheet name="Monthly_Visits" sheetId="8" r:id="rId4"/>
    <sheet name="Monthly_Purchases" sheetId="9" r:id="rId5"/>
    <sheet name="Charts" sheetId="10" r:id="rId6"/>
    <sheet name="Data_Checks" sheetId="11" r:id="rId7"/>
    <sheet name="How_it_works" sheetId="12" r:id="rId8"/>
    <sheet name="Ledger" sheetId="2" r:id="rId9"/>
    <sheet name="Customers" sheetId="3" r:id="rId10"/>
    <sheet name="Example" sheetId="4" r:id="rId11"/>
  </sheets>
  <calcPr calcId="191029"/>
  <pivotCaches>
    <pivotCache cacheId="0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38" i="9" l="1"/>
  <c r="AD37" i="9"/>
  <c r="AC37" i="9"/>
  <c r="AD36" i="9"/>
  <c r="AC36" i="9"/>
  <c r="AD35" i="9"/>
  <c r="AC35" i="9"/>
  <c r="AD34" i="9"/>
  <c r="AC34" i="9"/>
  <c r="AD33" i="9"/>
  <c r="AC33" i="9"/>
  <c r="AD32" i="9"/>
  <c r="AC32" i="9"/>
  <c r="AD31" i="9"/>
  <c r="AC31" i="9"/>
  <c r="AD30" i="9"/>
  <c r="AC30" i="9"/>
  <c r="AD29" i="9"/>
  <c r="AC29" i="9"/>
  <c r="AD28" i="9"/>
  <c r="AC28" i="9"/>
  <c r="AD27" i="9"/>
  <c r="AC27" i="9"/>
  <c r="AD26" i="9"/>
  <c r="AC26" i="9"/>
  <c r="AD25" i="9"/>
  <c r="AC25" i="9"/>
  <c r="AD24" i="9"/>
  <c r="AC24" i="9"/>
  <c r="AD23" i="9"/>
  <c r="AC23" i="9"/>
  <c r="AD22" i="9"/>
  <c r="AC22" i="9"/>
  <c r="AD21" i="9"/>
  <c r="AC21" i="9"/>
  <c r="AD20" i="9"/>
  <c r="AC20" i="9"/>
  <c r="AD19" i="9"/>
  <c r="AC19" i="9"/>
  <c r="AD18" i="9"/>
  <c r="AC18" i="9"/>
  <c r="AD17" i="9"/>
  <c r="AC17" i="9"/>
  <c r="AD16" i="9"/>
  <c r="AC16" i="9"/>
  <c r="AD15" i="9"/>
  <c r="AC15" i="9"/>
  <c r="AD14" i="9"/>
  <c r="AC14" i="9"/>
  <c r="AD13" i="9"/>
  <c r="AC13" i="9"/>
  <c r="AD12" i="9"/>
  <c r="AC12" i="9"/>
  <c r="AD11" i="9"/>
  <c r="AC11" i="9"/>
  <c r="AD10" i="9"/>
  <c r="AC10" i="9"/>
  <c r="AD9" i="9"/>
  <c r="AC9" i="9"/>
  <c r="AD8" i="9"/>
  <c r="AC8" i="9"/>
  <c r="AD7" i="9"/>
  <c r="AC7" i="9"/>
  <c r="AD6" i="9"/>
  <c r="AC6" i="9"/>
  <c r="AD5" i="9"/>
  <c r="AC5" i="9"/>
  <c r="AD4" i="9"/>
  <c r="AC4" i="9"/>
  <c r="AD3" i="9"/>
  <c r="AC3" i="9"/>
  <c r="AD2" i="9"/>
  <c r="AC2" i="9"/>
  <c r="AD43" i="8"/>
  <c r="AC43" i="8"/>
  <c r="AD42" i="8"/>
  <c r="AC42" i="8"/>
  <c r="AD41" i="8"/>
  <c r="AC41" i="8"/>
  <c r="AD40" i="8"/>
  <c r="AC40" i="8"/>
  <c r="AD39" i="8"/>
  <c r="AC39" i="8"/>
  <c r="AD38" i="8"/>
  <c r="AC38" i="8"/>
  <c r="AD37" i="8"/>
  <c r="AC37" i="8"/>
  <c r="AD36" i="8"/>
  <c r="AC36" i="8"/>
  <c r="AD35" i="8"/>
  <c r="AC35" i="8"/>
  <c r="AD34" i="8"/>
  <c r="AC34" i="8"/>
  <c r="AD33" i="8"/>
  <c r="AC33" i="8"/>
  <c r="AD32" i="8"/>
  <c r="AC32" i="8"/>
  <c r="AD31" i="8"/>
  <c r="AC31" i="8"/>
  <c r="AD30" i="8"/>
  <c r="AC30" i="8"/>
  <c r="AD29" i="8"/>
  <c r="AC29" i="8"/>
  <c r="AD28" i="8"/>
  <c r="AC28" i="8"/>
  <c r="AD27" i="8"/>
  <c r="AC27" i="8"/>
  <c r="AD26" i="8"/>
  <c r="AC26" i="8"/>
  <c r="AD25" i="8"/>
  <c r="AC25" i="8"/>
  <c r="AD24" i="8"/>
  <c r="AC24" i="8"/>
  <c r="AD23" i="8"/>
  <c r="AC23" i="8"/>
  <c r="AD22" i="8"/>
  <c r="AC22" i="8"/>
  <c r="AD21" i="8"/>
  <c r="AC21" i="8"/>
  <c r="AD20" i="8"/>
  <c r="AC20" i="8"/>
  <c r="AD19" i="8"/>
  <c r="AC19" i="8"/>
  <c r="AD18" i="8"/>
  <c r="AC18" i="8"/>
  <c r="AD17" i="8"/>
  <c r="AC17" i="8"/>
  <c r="AD16" i="8"/>
  <c r="AC16" i="8"/>
  <c r="AD15" i="8"/>
  <c r="AC15" i="8"/>
  <c r="AD14" i="8"/>
  <c r="AC14" i="8"/>
  <c r="AD13" i="8"/>
  <c r="AC13" i="8"/>
  <c r="AD12" i="8"/>
  <c r="AC12" i="8"/>
  <c r="AD11" i="8"/>
  <c r="AC11" i="8"/>
  <c r="AD10" i="8"/>
  <c r="AC10" i="8"/>
  <c r="AD9" i="8"/>
  <c r="AC9" i="8"/>
  <c r="AD8" i="8"/>
  <c r="AC8" i="8"/>
  <c r="AD7" i="8"/>
  <c r="AC7" i="8"/>
  <c r="AD6" i="8"/>
  <c r="AC6" i="8"/>
  <c r="AD5" i="8"/>
  <c r="AC5" i="8"/>
  <c r="AD4" i="8"/>
  <c r="AC4" i="8"/>
  <c r="AD3" i="8"/>
  <c r="AC3" i="8"/>
  <c r="AD2" i="8"/>
  <c r="AC2" i="8"/>
  <c r="K2" i="7"/>
  <c r="K3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J30" i="7"/>
  <c r="I30" i="7"/>
  <c r="E30" i="7"/>
  <c r="D30" i="7"/>
  <c r="C30" i="7"/>
  <c r="B30" i="7"/>
  <c r="J29" i="7"/>
  <c r="I29" i="7"/>
  <c r="I32" i="7" s="1"/>
  <c r="E29" i="7"/>
  <c r="E32" i="7" s="1"/>
  <c r="D29" i="7"/>
  <c r="C29" i="7"/>
  <c r="B29" i="7"/>
  <c r="H29" i="7" s="1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I2502" i="2"/>
  <c r="I2503" i="2"/>
  <c r="I2504" i="2"/>
  <c r="I2505" i="2"/>
  <c r="I2506" i="2"/>
  <c r="I2507" i="2"/>
  <c r="I2508" i="2"/>
  <c r="I2509" i="2"/>
  <c r="I2510" i="2"/>
  <c r="I2511" i="2"/>
  <c r="I2512" i="2"/>
  <c r="I2513" i="2"/>
  <c r="I2514" i="2"/>
  <c r="I2515" i="2"/>
  <c r="I2516" i="2"/>
  <c r="I2517" i="2"/>
  <c r="I2518" i="2"/>
  <c r="I2519" i="2"/>
  <c r="I2520" i="2"/>
  <c r="I2521" i="2"/>
  <c r="I2522" i="2"/>
  <c r="I2523" i="2"/>
  <c r="I2524" i="2"/>
  <c r="I2525" i="2"/>
  <c r="I2526" i="2"/>
  <c r="I2527" i="2"/>
  <c r="I2528" i="2"/>
  <c r="I2529" i="2"/>
  <c r="I2530" i="2"/>
  <c r="I2531" i="2"/>
  <c r="I2532" i="2"/>
  <c r="I2533" i="2"/>
  <c r="I2534" i="2"/>
  <c r="I2535" i="2"/>
  <c r="I2536" i="2"/>
  <c r="I2537" i="2"/>
  <c r="I2538" i="2"/>
  <c r="I2539" i="2"/>
  <c r="I2540" i="2"/>
  <c r="I2541" i="2"/>
  <c r="I2542" i="2"/>
  <c r="I2543" i="2"/>
  <c r="I2544" i="2"/>
  <c r="I2545" i="2"/>
  <c r="I2546" i="2"/>
  <c r="I2547" i="2"/>
  <c r="I2548" i="2"/>
  <c r="I2549" i="2"/>
  <c r="I2550" i="2"/>
  <c r="I2551" i="2"/>
  <c r="I2552" i="2"/>
  <c r="I2553" i="2"/>
  <c r="I2554" i="2"/>
  <c r="I2555" i="2"/>
  <c r="I2556" i="2"/>
  <c r="I2557" i="2"/>
  <c r="I2558" i="2"/>
  <c r="I2559" i="2"/>
  <c r="I2560" i="2"/>
  <c r="I2561" i="2"/>
  <c r="I2562" i="2"/>
  <c r="I2563" i="2"/>
  <c r="I2564" i="2"/>
  <c r="I2565" i="2"/>
  <c r="I2566" i="2"/>
  <c r="I2567" i="2"/>
  <c r="I2568" i="2"/>
  <c r="I2569" i="2"/>
  <c r="I2570" i="2"/>
  <c r="I2571" i="2"/>
  <c r="I2572" i="2"/>
  <c r="I2573" i="2"/>
  <c r="I2574" i="2"/>
  <c r="I2575" i="2"/>
  <c r="I2576" i="2"/>
  <c r="I2577" i="2"/>
  <c r="I2578" i="2"/>
  <c r="I2579" i="2"/>
  <c r="I2580" i="2"/>
  <c r="I2581" i="2"/>
  <c r="I2582" i="2"/>
  <c r="I2583" i="2"/>
  <c r="I2584" i="2"/>
  <c r="I2585" i="2"/>
  <c r="I2586" i="2"/>
  <c r="I2587" i="2"/>
  <c r="I2588" i="2"/>
  <c r="I2589" i="2"/>
  <c r="I2590" i="2"/>
  <c r="I2591" i="2"/>
  <c r="I2592" i="2"/>
  <c r="I2593" i="2"/>
  <c r="I2594" i="2"/>
  <c r="I2595" i="2"/>
  <c r="I2596" i="2"/>
  <c r="I2597" i="2"/>
  <c r="I2598" i="2"/>
  <c r="I2599" i="2"/>
  <c r="I2600" i="2"/>
  <c r="I2601" i="2"/>
  <c r="I2602" i="2"/>
  <c r="I2603" i="2"/>
  <c r="I2604" i="2"/>
  <c r="I2605" i="2"/>
  <c r="I2606" i="2"/>
  <c r="I2607" i="2"/>
  <c r="I2608" i="2"/>
  <c r="I2609" i="2"/>
  <c r="I2610" i="2"/>
  <c r="I2611" i="2"/>
  <c r="I2612" i="2"/>
  <c r="I2613" i="2"/>
  <c r="I2614" i="2"/>
  <c r="I2615" i="2"/>
  <c r="I2616" i="2"/>
  <c r="I2617" i="2"/>
  <c r="I2618" i="2"/>
  <c r="I2619" i="2"/>
  <c r="I2620" i="2"/>
  <c r="I2621" i="2"/>
  <c r="I2622" i="2"/>
  <c r="I2623" i="2"/>
  <c r="I2624" i="2"/>
  <c r="I2625" i="2"/>
  <c r="I2626" i="2"/>
  <c r="I2627" i="2"/>
  <c r="I2628" i="2"/>
  <c r="I2629" i="2"/>
  <c r="I2630" i="2"/>
  <c r="I2631" i="2"/>
  <c r="I2632" i="2"/>
  <c r="I2633" i="2"/>
  <c r="I2634" i="2"/>
  <c r="I2635" i="2"/>
  <c r="I2636" i="2"/>
  <c r="I2637" i="2"/>
  <c r="I2638" i="2"/>
  <c r="I2639" i="2"/>
  <c r="I2640" i="2"/>
  <c r="I2641" i="2"/>
  <c r="I2642" i="2"/>
  <c r="I2643" i="2"/>
  <c r="I2644" i="2"/>
  <c r="I2645" i="2"/>
  <c r="I2646" i="2"/>
  <c r="I2647" i="2"/>
  <c r="I2648" i="2"/>
  <c r="I2649" i="2"/>
  <c r="I2650" i="2"/>
  <c r="I2651" i="2"/>
  <c r="I2652" i="2"/>
  <c r="I2653" i="2"/>
  <c r="I2654" i="2"/>
  <c r="I2655" i="2"/>
  <c r="I2656" i="2"/>
  <c r="I2657" i="2"/>
  <c r="I2658" i="2"/>
  <c r="I2659" i="2"/>
  <c r="I2660" i="2"/>
  <c r="I2661" i="2"/>
  <c r="I2662" i="2"/>
  <c r="I2663" i="2"/>
  <c r="I2664" i="2"/>
  <c r="I2665" i="2"/>
  <c r="I2666" i="2"/>
  <c r="I2667" i="2"/>
  <c r="I2668" i="2"/>
  <c r="I2669" i="2"/>
  <c r="I2670" i="2"/>
  <c r="I2671" i="2"/>
  <c r="I2672" i="2"/>
  <c r="I2673" i="2"/>
  <c r="I2674" i="2"/>
  <c r="I2675" i="2"/>
  <c r="I2676" i="2"/>
  <c r="I2677" i="2"/>
  <c r="I2678" i="2"/>
  <c r="I2679" i="2"/>
  <c r="I2680" i="2"/>
  <c r="I2681" i="2"/>
  <c r="I2682" i="2"/>
  <c r="I2683" i="2"/>
  <c r="I2684" i="2"/>
  <c r="I2685" i="2"/>
  <c r="I2686" i="2"/>
  <c r="I2687" i="2"/>
  <c r="I2688" i="2"/>
  <c r="I2689" i="2"/>
  <c r="I2690" i="2"/>
  <c r="I2691" i="2"/>
  <c r="I2692" i="2"/>
  <c r="I2693" i="2"/>
  <c r="I2694" i="2"/>
  <c r="I2695" i="2"/>
  <c r="I2696" i="2"/>
  <c r="I2697" i="2"/>
  <c r="I2698" i="2"/>
  <c r="I2699" i="2"/>
  <c r="I2700" i="2"/>
  <c r="I2701" i="2"/>
  <c r="I2702" i="2"/>
  <c r="I2703" i="2"/>
  <c r="I2704" i="2"/>
  <c r="I2705" i="2"/>
  <c r="I2706" i="2"/>
  <c r="I2707" i="2"/>
  <c r="I2708" i="2"/>
  <c r="I2709" i="2"/>
  <c r="I2710" i="2"/>
  <c r="I2711" i="2"/>
  <c r="I2712" i="2"/>
  <c r="I2713" i="2"/>
  <c r="I2714" i="2"/>
  <c r="I2715" i="2"/>
  <c r="I2716" i="2"/>
  <c r="I2717" i="2"/>
  <c r="I2718" i="2"/>
  <c r="I2719" i="2"/>
  <c r="I2720" i="2"/>
  <c r="I2721" i="2"/>
  <c r="I2722" i="2"/>
  <c r="I2723" i="2"/>
  <c r="I2724" i="2"/>
  <c r="I2725" i="2"/>
  <c r="I2726" i="2"/>
  <c r="I2727" i="2"/>
  <c r="I2728" i="2"/>
  <c r="I2729" i="2"/>
  <c r="I2730" i="2"/>
  <c r="I2731" i="2"/>
  <c r="I2732" i="2"/>
  <c r="I2733" i="2"/>
  <c r="I2734" i="2"/>
  <c r="I2735" i="2"/>
  <c r="I2736" i="2"/>
  <c r="I2737" i="2"/>
  <c r="I2738" i="2"/>
  <c r="I2739" i="2"/>
  <c r="I2740" i="2"/>
  <c r="I2741" i="2"/>
  <c r="I2742" i="2"/>
  <c r="I2743" i="2"/>
  <c r="I2744" i="2"/>
  <c r="I2745" i="2"/>
  <c r="I2746" i="2"/>
  <c r="I2747" i="2"/>
  <c r="I2748" i="2"/>
  <c r="I2749" i="2"/>
  <c r="I2750" i="2"/>
  <c r="I2751" i="2"/>
  <c r="I2752" i="2"/>
  <c r="I2753" i="2"/>
  <c r="I2754" i="2"/>
  <c r="I2755" i="2"/>
  <c r="I2756" i="2"/>
  <c r="I2757" i="2"/>
  <c r="I2758" i="2"/>
  <c r="I2759" i="2"/>
  <c r="I2760" i="2"/>
  <c r="I2761" i="2"/>
  <c r="I2762" i="2"/>
  <c r="I2763" i="2"/>
  <c r="I2764" i="2"/>
  <c r="I2765" i="2"/>
  <c r="I2766" i="2"/>
  <c r="I2767" i="2"/>
  <c r="I2768" i="2"/>
  <c r="I2769" i="2"/>
  <c r="I2770" i="2"/>
  <c r="I2771" i="2"/>
  <c r="I2772" i="2"/>
  <c r="I2773" i="2"/>
  <c r="I2774" i="2"/>
  <c r="I2775" i="2"/>
  <c r="I2776" i="2"/>
  <c r="I2777" i="2"/>
  <c r="I2778" i="2"/>
  <c r="I2779" i="2"/>
  <c r="I2780" i="2"/>
  <c r="I2781" i="2"/>
  <c r="I2782" i="2"/>
  <c r="I2783" i="2"/>
  <c r="I2784" i="2"/>
  <c r="I2785" i="2"/>
  <c r="I2786" i="2"/>
  <c r="I2787" i="2"/>
  <c r="I2788" i="2"/>
  <c r="I2789" i="2"/>
  <c r="I2790" i="2"/>
  <c r="I2791" i="2"/>
  <c r="I2792" i="2"/>
  <c r="I2793" i="2"/>
  <c r="I2794" i="2"/>
  <c r="I2795" i="2"/>
  <c r="I2796" i="2"/>
  <c r="I2797" i="2"/>
  <c r="I2798" i="2"/>
  <c r="I2799" i="2"/>
  <c r="I2800" i="2"/>
  <c r="I2801" i="2"/>
  <c r="I2802" i="2"/>
  <c r="I2803" i="2"/>
  <c r="I2804" i="2"/>
  <c r="I2805" i="2"/>
  <c r="I2806" i="2"/>
  <c r="I2807" i="2"/>
  <c r="I2808" i="2"/>
  <c r="I2809" i="2"/>
  <c r="I2810" i="2"/>
  <c r="I2811" i="2"/>
  <c r="I2812" i="2"/>
  <c r="I2813" i="2"/>
  <c r="I2814" i="2"/>
  <c r="I2815" i="2"/>
  <c r="I2816" i="2"/>
  <c r="I2817" i="2"/>
  <c r="I2818" i="2"/>
  <c r="I2819" i="2"/>
  <c r="I2820" i="2"/>
  <c r="I2821" i="2"/>
  <c r="I2822" i="2"/>
  <c r="I2823" i="2"/>
  <c r="I2824" i="2"/>
  <c r="I2825" i="2"/>
  <c r="I2826" i="2"/>
  <c r="I2827" i="2"/>
  <c r="I2828" i="2"/>
  <c r="I2829" i="2"/>
  <c r="I2830" i="2"/>
  <c r="I2831" i="2"/>
  <c r="I2832" i="2"/>
  <c r="I2833" i="2"/>
  <c r="I2834" i="2"/>
  <c r="I2835" i="2"/>
  <c r="I2836" i="2"/>
  <c r="I2837" i="2"/>
  <c r="I2838" i="2"/>
  <c r="I2839" i="2"/>
  <c r="I2840" i="2"/>
  <c r="I2841" i="2"/>
  <c r="I2842" i="2"/>
  <c r="I2843" i="2"/>
  <c r="I2844" i="2"/>
  <c r="I2845" i="2"/>
  <c r="I2846" i="2"/>
  <c r="I2847" i="2"/>
  <c r="I2848" i="2"/>
  <c r="I2849" i="2"/>
  <c r="I2850" i="2"/>
  <c r="I2851" i="2"/>
  <c r="I2852" i="2"/>
  <c r="I2853" i="2"/>
  <c r="I2854" i="2"/>
  <c r="I2855" i="2"/>
  <c r="I2856" i="2"/>
  <c r="I2857" i="2"/>
  <c r="I2858" i="2"/>
  <c r="I2859" i="2"/>
  <c r="I2860" i="2"/>
  <c r="I2861" i="2"/>
  <c r="I2862" i="2"/>
  <c r="I2863" i="2"/>
  <c r="I2864" i="2"/>
  <c r="I2865" i="2"/>
  <c r="I2866" i="2"/>
  <c r="I2867" i="2"/>
  <c r="I2868" i="2"/>
  <c r="I2869" i="2"/>
  <c r="I2870" i="2"/>
  <c r="I2871" i="2"/>
  <c r="I2872" i="2"/>
  <c r="I2873" i="2"/>
  <c r="I2874" i="2"/>
  <c r="I2875" i="2"/>
  <c r="I2876" i="2"/>
  <c r="I2877" i="2"/>
  <c r="I2878" i="2"/>
  <c r="I2879" i="2"/>
  <c r="I2880" i="2"/>
  <c r="I2881" i="2"/>
  <c r="I2882" i="2"/>
  <c r="I2883" i="2"/>
  <c r="I2884" i="2"/>
  <c r="I2885" i="2"/>
  <c r="I2886" i="2"/>
  <c r="I2887" i="2"/>
  <c r="I2888" i="2"/>
  <c r="I2889" i="2"/>
  <c r="I2890" i="2"/>
  <c r="I2891" i="2"/>
  <c r="I2892" i="2"/>
  <c r="I2893" i="2"/>
  <c r="I2894" i="2"/>
  <c r="I2895" i="2"/>
  <c r="I2896" i="2"/>
  <c r="I2897" i="2"/>
  <c r="I2898" i="2"/>
  <c r="I2899" i="2"/>
  <c r="I2900" i="2"/>
  <c r="I2901" i="2"/>
  <c r="I2902" i="2"/>
  <c r="I2903" i="2"/>
  <c r="I2904" i="2"/>
  <c r="I2905" i="2"/>
  <c r="I2906" i="2"/>
  <c r="I2907" i="2"/>
  <c r="I2908" i="2"/>
  <c r="I2909" i="2"/>
  <c r="I2910" i="2"/>
  <c r="I2911" i="2"/>
  <c r="I2912" i="2"/>
  <c r="I2913" i="2"/>
  <c r="I2914" i="2"/>
  <c r="I2915" i="2"/>
  <c r="I2916" i="2"/>
  <c r="I2917" i="2"/>
  <c r="I2918" i="2"/>
  <c r="I2919" i="2"/>
  <c r="I2920" i="2"/>
  <c r="I2921" i="2"/>
  <c r="I2922" i="2"/>
  <c r="I2923" i="2"/>
  <c r="I2924" i="2"/>
  <c r="I2925" i="2"/>
  <c r="I2926" i="2"/>
  <c r="I2927" i="2"/>
  <c r="I2928" i="2"/>
  <c r="I2929" i="2"/>
  <c r="I2930" i="2"/>
  <c r="I2931" i="2"/>
  <c r="I2932" i="2"/>
  <c r="I2933" i="2"/>
  <c r="I2934" i="2"/>
  <c r="I2935" i="2"/>
  <c r="I2936" i="2"/>
  <c r="I2937" i="2"/>
  <c r="I2938" i="2"/>
  <c r="I2939" i="2"/>
  <c r="I2940" i="2"/>
  <c r="I2941" i="2"/>
  <c r="I2942" i="2"/>
  <c r="I2943" i="2"/>
  <c r="I2944" i="2"/>
  <c r="I2945" i="2"/>
  <c r="I2946" i="2"/>
  <c r="I2947" i="2"/>
  <c r="I2948" i="2"/>
  <c r="I2949" i="2"/>
  <c r="I2950" i="2"/>
  <c r="I2951" i="2"/>
  <c r="I2952" i="2"/>
  <c r="I2953" i="2"/>
  <c r="I2954" i="2"/>
  <c r="I2955" i="2"/>
  <c r="I2956" i="2"/>
  <c r="I2957" i="2"/>
  <c r="I2958" i="2"/>
  <c r="I2959" i="2"/>
  <c r="I2960" i="2"/>
  <c r="I2961" i="2"/>
  <c r="I2962" i="2"/>
  <c r="I2963" i="2"/>
  <c r="I2964" i="2"/>
  <c r="I2965" i="2"/>
  <c r="I2966" i="2"/>
  <c r="I2967" i="2"/>
  <c r="I2968" i="2"/>
  <c r="I2969" i="2"/>
  <c r="I2970" i="2"/>
  <c r="I2971" i="2"/>
  <c r="I2972" i="2"/>
  <c r="I2973" i="2"/>
  <c r="I2974" i="2"/>
  <c r="I2975" i="2"/>
  <c r="I2976" i="2"/>
  <c r="I2977" i="2"/>
  <c r="I2978" i="2"/>
  <c r="I2979" i="2"/>
  <c r="I2980" i="2"/>
  <c r="I2981" i="2"/>
  <c r="I2982" i="2"/>
  <c r="I2983" i="2"/>
  <c r="I2984" i="2"/>
  <c r="I2985" i="2"/>
  <c r="I2986" i="2"/>
  <c r="I2987" i="2"/>
  <c r="I2988" i="2"/>
  <c r="I2989" i="2"/>
  <c r="I2990" i="2"/>
  <c r="I2991" i="2"/>
  <c r="I2992" i="2"/>
  <c r="I2993" i="2"/>
  <c r="I2994" i="2"/>
  <c r="I2995" i="2"/>
  <c r="I2996" i="2"/>
  <c r="I2997" i="2"/>
  <c r="I2998" i="2"/>
  <c r="I2999" i="2"/>
  <c r="I3000" i="2"/>
  <c r="I3001" i="2"/>
  <c r="I3002" i="2"/>
  <c r="I3003" i="2"/>
  <c r="I3004" i="2"/>
  <c r="I3005" i="2"/>
  <c r="I3006" i="2"/>
  <c r="I3007" i="2"/>
  <c r="I3008" i="2"/>
  <c r="I3009" i="2"/>
  <c r="I3010" i="2"/>
  <c r="I3011" i="2"/>
  <c r="I3012" i="2"/>
  <c r="I3013" i="2"/>
  <c r="I3014" i="2"/>
  <c r="I3015" i="2"/>
  <c r="I3016" i="2"/>
  <c r="I3017" i="2"/>
  <c r="I3018" i="2"/>
  <c r="I3019" i="2"/>
  <c r="I3020" i="2"/>
  <c r="I3021" i="2"/>
  <c r="I3022" i="2"/>
  <c r="I3023" i="2"/>
  <c r="I3024" i="2"/>
  <c r="I3025" i="2"/>
  <c r="I3026" i="2"/>
  <c r="I3027" i="2"/>
  <c r="I3028" i="2"/>
  <c r="I3029" i="2"/>
  <c r="I3030" i="2"/>
  <c r="I3031" i="2"/>
  <c r="I3032" i="2"/>
  <c r="I3033" i="2"/>
  <c r="I3034" i="2"/>
  <c r="I3035" i="2"/>
  <c r="I3036" i="2"/>
  <c r="I3037" i="2"/>
  <c r="I3038" i="2"/>
  <c r="I3039" i="2"/>
  <c r="I3040" i="2"/>
  <c r="I3041" i="2"/>
  <c r="I3042" i="2"/>
  <c r="I3043" i="2"/>
  <c r="I3044" i="2"/>
  <c r="I3045" i="2"/>
  <c r="I3046" i="2"/>
  <c r="I3047" i="2"/>
  <c r="I3048" i="2"/>
  <c r="I3049" i="2"/>
  <c r="I3050" i="2"/>
  <c r="I3051" i="2"/>
  <c r="I3052" i="2"/>
  <c r="I3053" i="2"/>
  <c r="I3054" i="2"/>
  <c r="I3055" i="2"/>
  <c r="I3056" i="2"/>
  <c r="I3057" i="2"/>
  <c r="I3058" i="2"/>
  <c r="I3059" i="2"/>
  <c r="I3060" i="2"/>
  <c r="I3061" i="2"/>
  <c r="I3062" i="2"/>
  <c r="I3063" i="2"/>
  <c r="I3064" i="2"/>
  <c r="I3065" i="2"/>
  <c r="I3066" i="2"/>
  <c r="H2889" i="2"/>
  <c r="H2890" i="2"/>
  <c r="H2891" i="2"/>
  <c r="H2892" i="2"/>
  <c r="H2893" i="2"/>
  <c r="H2894" i="2"/>
  <c r="H2895" i="2"/>
  <c r="H2896" i="2"/>
  <c r="H2897" i="2"/>
  <c r="H2898" i="2"/>
  <c r="H2899" i="2"/>
  <c r="H2900" i="2"/>
  <c r="H2901" i="2"/>
  <c r="H2902" i="2"/>
  <c r="H2903" i="2"/>
  <c r="H2904" i="2"/>
  <c r="H2905" i="2"/>
  <c r="H2906" i="2"/>
  <c r="H2907" i="2"/>
  <c r="H2908" i="2"/>
  <c r="H2909" i="2"/>
  <c r="H2910" i="2"/>
  <c r="H2911" i="2"/>
  <c r="H2912" i="2"/>
  <c r="H2913" i="2"/>
  <c r="H2914" i="2"/>
  <c r="H2915" i="2"/>
  <c r="H2916" i="2"/>
  <c r="H2917" i="2"/>
  <c r="H2918" i="2"/>
  <c r="H2919" i="2"/>
  <c r="H2920" i="2"/>
  <c r="H2921" i="2"/>
  <c r="H2922" i="2"/>
  <c r="H2923" i="2"/>
  <c r="H2924" i="2"/>
  <c r="H2925" i="2"/>
  <c r="H2926" i="2"/>
  <c r="H2927" i="2"/>
  <c r="H2928" i="2"/>
  <c r="H2929" i="2"/>
  <c r="H2930" i="2"/>
  <c r="H2931" i="2"/>
  <c r="H2932" i="2"/>
  <c r="H2933" i="2"/>
  <c r="H2934" i="2"/>
  <c r="H2935" i="2"/>
  <c r="H2936" i="2"/>
  <c r="H2937" i="2"/>
  <c r="H2938" i="2"/>
  <c r="H2939" i="2"/>
  <c r="H2940" i="2"/>
  <c r="H2941" i="2"/>
  <c r="H2942" i="2"/>
  <c r="H2943" i="2"/>
  <c r="H2944" i="2"/>
  <c r="H2945" i="2"/>
  <c r="H2946" i="2"/>
  <c r="H2947" i="2"/>
  <c r="H2948" i="2"/>
  <c r="H2949" i="2"/>
  <c r="H2950" i="2"/>
  <c r="H2951" i="2"/>
  <c r="H2952" i="2"/>
  <c r="H2953" i="2"/>
  <c r="H2954" i="2"/>
  <c r="H2955" i="2"/>
  <c r="H2956" i="2"/>
  <c r="H2957" i="2"/>
  <c r="H2958" i="2"/>
  <c r="H2959" i="2"/>
  <c r="H2960" i="2"/>
  <c r="H2961" i="2"/>
  <c r="H2962" i="2"/>
  <c r="H2963" i="2"/>
  <c r="H2964" i="2"/>
  <c r="H2965" i="2"/>
  <c r="H2966" i="2"/>
  <c r="H2967" i="2"/>
  <c r="H2968" i="2"/>
  <c r="H2969" i="2"/>
  <c r="H2970" i="2"/>
  <c r="H2971" i="2"/>
  <c r="H2972" i="2"/>
  <c r="H2973" i="2"/>
  <c r="H2974" i="2"/>
  <c r="H2975" i="2"/>
  <c r="H2976" i="2"/>
  <c r="H2977" i="2"/>
  <c r="H2978" i="2"/>
  <c r="H2979" i="2"/>
  <c r="H2980" i="2"/>
  <c r="H2981" i="2"/>
  <c r="H2982" i="2"/>
  <c r="H2983" i="2"/>
  <c r="H2984" i="2"/>
  <c r="H2985" i="2"/>
  <c r="H2986" i="2"/>
  <c r="H2987" i="2"/>
  <c r="AD42" i="9" s="1"/>
  <c r="H2988" i="2"/>
  <c r="H2989" i="2"/>
  <c r="H2990" i="2"/>
  <c r="H2991" i="2"/>
  <c r="H2992" i="2"/>
  <c r="H2993" i="2"/>
  <c r="H2994" i="2"/>
  <c r="H2995" i="2"/>
  <c r="H2996" i="2"/>
  <c r="H2997" i="2"/>
  <c r="H2998" i="2"/>
  <c r="H2999" i="2"/>
  <c r="H3000" i="2"/>
  <c r="H3001" i="2"/>
  <c r="H3002" i="2"/>
  <c r="H3003" i="2"/>
  <c r="H3004" i="2"/>
  <c r="H3005" i="2"/>
  <c r="H3006" i="2"/>
  <c r="H3007" i="2"/>
  <c r="H3008" i="2"/>
  <c r="H3009" i="2"/>
  <c r="H3010" i="2"/>
  <c r="H3011" i="2"/>
  <c r="H3012" i="2"/>
  <c r="H3013" i="2"/>
  <c r="H3014" i="2"/>
  <c r="H3015" i="2"/>
  <c r="H3016" i="2"/>
  <c r="H3017" i="2"/>
  <c r="H3018" i="2"/>
  <c r="H3019" i="2"/>
  <c r="H3020" i="2"/>
  <c r="H3021" i="2"/>
  <c r="H3022" i="2"/>
  <c r="H3023" i="2"/>
  <c r="H3024" i="2"/>
  <c r="H3025" i="2"/>
  <c r="H3026" i="2"/>
  <c r="H3027" i="2"/>
  <c r="H3028" i="2"/>
  <c r="H3029" i="2"/>
  <c r="H3030" i="2"/>
  <c r="H3031" i="2"/>
  <c r="H3032" i="2"/>
  <c r="H3033" i="2"/>
  <c r="H3034" i="2"/>
  <c r="H3035" i="2"/>
  <c r="H3036" i="2"/>
  <c r="H3037" i="2"/>
  <c r="H3038" i="2"/>
  <c r="H3039" i="2"/>
  <c r="H3040" i="2"/>
  <c r="H3041" i="2"/>
  <c r="H3042" i="2"/>
  <c r="H3043" i="2"/>
  <c r="H3044" i="2"/>
  <c r="H3045" i="2"/>
  <c r="H3046" i="2"/>
  <c r="H3047" i="2"/>
  <c r="H3048" i="2"/>
  <c r="H3049" i="2"/>
  <c r="H3050" i="2"/>
  <c r="H3051" i="2"/>
  <c r="H3052" i="2"/>
  <c r="H3053" i="2"/>
  <c r="H3054" i="2"/>
  <c r="H3055" i="2"/>
  <c r="H3056" i="2"/>
  <c r="H3057" i="2"/>
  <c r="H3058" i="2"/>
  <c r="H3059" i="2"/>
  <c r="AD41" i="9" s="1"/>
  <c r="H3060" i="2"/>
  <c r="H3061" i="2"/>
  <c r="H3062" i="2"/>
  <c r="H3063" i="2"/>
  <c r="H3064" i="2"/>
  <c r="H3065" i="2"/>
  <c r="H3066" i="2"/>
  <c r="B12" i="11"/>
  <c r="C12" i="11" s="1"/>
  <c r="B17" i="11"/>
  <c r="B16" i="11"/>
  <c r="B15" i="11"/>
  <c r="B13" i="11"/>
  <c r="C13" i="11" s="1"/>
  <c r="B11" i="11"/>
  <c r="C11" i="11" s="1"/>
  <c r="B9" i="11"/>
  <c r="B8" i="11"/>
  <c r="B7" i="11"/>
  <c r="B6" i="11"/>
  <c r="B5" i="11"/>
  <c r="C5" i="11" s="1"/>
  <c r="B4" i="11"/>
  <c r="C4" i="11" s="1"/>
  <c r="B3" i="11"/>
  <c r="C3" i="11" s="1"/>
  <c r="B2" i="11"/>
  <c r="J2" i="7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I2" i="7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E2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D2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C2" i="7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B2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D4" i="5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R36" i="9" s="1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H2083" i="2"/>
  <c r="H2084" i="2"/>
  <c r="H2085" i="2"/>
  <c r="H2086" i="2"/>
  <c r="H2087" i="2"/>
  <c r="H2088" i="2"/>
  <c r="H2089" i="2"/>
  <c r="H2090" i="2"/>
  <c r="H2091" i="2"/>
  <c r="H2092" i="2"/>
  <c r="H2093" i="2"/>
  <c r="H2094" i="2"/>
  <c r="H2095" i="2"/>
  <c r="H2096" i="2"/>
  <c r="H2097" i="2"/>
  <c r="H2098" i="2"/>
  <c r="H2099" i="2"/>
  <c r="H2100" i="2"/>
  <c r="H2101" i="2"/>
  <c r="H2102" i="2"/>
  <c r="H2103" i="2"/>
  <c r="H2104" i="2"/>
  <c r="H2105" i="2"/>
  <c r="H2106" i="2"/>
  <c r="H2107" i="2"/>
  <c r="H2108" i="2"/>
  <c r="H2109" i="2"/>
  <c r="H2110" i="2"/>
  <c r="H2111" i="2"/>
  <c r="H2112" i="2"/>
  <c r="H2113" i="2"/>
  <c r="H2114" i="2"/>
  <c r="H2115" i="2"/>
  <c r="H2116" i="2"/>
  <c r="H2117" i="2"/>
  <c r="H2118" i="2"/>
  <c r="H2119" i="2"/>
  <c r="H2120" i="2"/>
  <c r="H2121" i="2"/>
  <c r="H2122" i="2"/>
  <c r="H2123" i="2"/>
  <c r="H2124" i="2"/>
  <c r="H2125" i="2"/>
  <c r="H2126" i="2"/>
  <c r="H2127" i="2"/>
  <c r="H2128" i="2"/>
  <c r="H2129" i="2"/>
  <c r="H2130" i="2"/>
  <c r="H2131" i="2"/>
  <c r="H2132" i="2"/>
  <c r="H2133" i="2"/>
  <c r="H2134" i="2"/>
  <c r="H2135" i="2"/>
  <c r="H2136" i="2"/>
  <c r="H2137" i="2"/>
  <c r="H2138" i="2"/>
  <c r="H2139" i="2"/>
  <c r="H2140" i="2"/>
  <c r="H2141" i="2"/>
  <c r="H2142" i="2"/>
  <c r="H2143" i="2"/>
  <c r="H2144" i="2"/>
  <c r="H2145" i="2"/>
  <c r="H2146" i="2"/>
  <c r="H2147" i="2"/>
  <c r="H2148" i="2"/>
  <c r="H2149" i="2"/>
  <c r="H2150" i="2"/>
  <c r="H2151" i="2"/>
  <c r="H2152" i="2"/>
  <c r="H2153" i="2"/>
  <c r="H2154" i="2"/>
  <c r="H2155" i="2"/>
  <c r="H2156" i="2"/>
  <c r="H2157" i="2"/>
  <c r="H2158" i="2"/>
  <c r="H2159" i="2"/>
  <c r="H2160" i="2"/>
  <c r="H2161" i="2"/>
  <c r="H2162" i="2"/>
  <c r="H2163" i="2"/>
  <c r="H2164" i="2"/>
  <c r="H2165" i="2"/>
  <c r="H2166" i="2"/>
  <c r="H2167" i="2"/>
  <c r="H2168" i="2"/>
  <c r="H2169" i="2"/>
  <c r="H2170" i="2"/>
  <c r="H2171" i="2"/>
  <c r="H2172" i="2"/>
  <c r="H2173" i="2"/>
  <c r="H2174" i="2"/>
  <c r="H2175" i="2"/>
  <c r="H2176" i="2"/>
  <c r="H2177" i="2"/>
  <c r="H2178" i="2"/>
  <c r="H2179" i="2"/>
  <c r="H2180" i="2"/>
  <c r="H2181" i="2"/>
  <c r="H2182" i="2"/>
  <c r="H2183" i="2"/>
  <c r="H2184" i="2"/>
  <c r="H2185" i="2"/>
  <c r="H2186" i="2"/>
  <c r="H2187" i="2"/>
  <c r="H2188" i="2"/>
  <c r="H2189" i="2"/>
  <c r="H2190" i="2"/>
  <c r="H2191" i="2"/>
  <c r="H2192" i="2"/>
  <c r="H2193" i="2"/>
  <c r="H2194" i="2"/>
  <c r="H2195" i="2"/>
  <c r="H2196" i="2"/>
  <c r="H2197" i="2"/>
  <c r="H2198" i="2"/>
  <c r="H2199" i="2"/>
  <c r="H2200" i="2"/>
  <c r="H2201" i="2"/>
  <c r="H2202" i="2"/>
  <c r="H2203" i="2"/>
  <c r="H2204" i="2"/>
  <c r="H2205" i="2"/>
  <c r="H2206" i="2"/>
  <c r="H2207" i="2"/>
  <c r="H2208" i="2"/>
  <c r="H2209" i="2"/>
  <c r="H2210" i="2"/>
  <c r="H2211" i="2"/>
  <c r="H2212" i="2"/>
  <c r="H2213" i="2"/>
  <c r="H2214" i="2"/>
  <c r="H2215" i="2"/>
  <c r="H2216" i="2"/>
  <c r="H2217" i="2"/>
  <c r="H2218" i="2"/>
  <c r="H2219" i="2"/>
  <c r="H2220" i="2"/>
  <c r="H2221" i="2"/>
  <c r="H2222" i="2"/>
  <c r="H2223" i="2"/>
  <c r="H2224" i="2"/>
  <c r="H2225" i="2"/>
  <c r="H2226" i="2"/>
  <c r="H2227" i="2"/>
  <c r="H2228" i="2"/>
  <c r="H2229" i="2"/>
  <c r="H2230" i="2"/>
  <c r="H2231" i="2"/>
  <c r="H2232" i="2"/>
  <c r="H2233" i="2"/>
  <c r="H2234" i="2"/>
  <c r="H2235" i="2"/>
  <c r="H2236" i="2"/>
  <c r="H2237" i="2"/>
  <c r="H2238" i="2"/>
  <c r="H2239" i="2"/>
  <c r="H2240" i="2"/>
  <c r="H2241" i="2"/>
  <c r="H2242" i="2"/>
  <c r="H2243" i="2"/>
  <c r="H2244" i="2"/>
  <c r="H2245" i="2"/>
  <c r="H2246" i="2"/>
  <c r="H2247" i="2"/>
  <c r="H2248" i="2"/>
  <c r="H2249" i="2"/>
  <c r="H2250" i="2"/>
  <c r="H2251" i="2"/>
  <c r="H2252" i="2"/>
  <c r="H2253" i="2"/>
  <c r="H2254" i="2"/>
  <c r="H2255" i="2"/>
  <c r="H2256" i="2"/>
  <c r="H2257" i="2"/>
  <c r="H2258" i="2"/>
  <c r="H2259" i="2"/>
  <c r="H2260" i="2"/>
  <c r="H2261" i="2"/>
  <c r="H2262" i="2"/>
  <c r="H2263" i="2"/>
  <c r="H2264" i="2"/>
  <c r="H2265" i="2"/>
  <c r="H2266" i="2"/>
  <c r="H2267" i="2"/>
  <c r="H2268" i="2"/>
  <c r="H2269" i="2"/>
  <c r="H2270" i="2"/>
  <c r="H2271" i="2"/>
  <c r="H2272" i="2"/>
  <c r="H2273" i="2"/>
  <c r="H2274" i="2"/>
  <c r="H2275" i="2"/>
  <c r="H2276" i="2"/>
  <c r="H2277" i="2"/>
  <c r="H2278" i="2"/>
  <c r="H2279" i="2"/>
  <c r="H2280" i="2"/>
  <c r="H2281" i="2"/>
  <c r="H2282" i="2"/>
  <c r="H2283" i="2"/>
  <c r="H2284" i="2"/>
  <c r="H2285" i="2"/>
  <c r="H2286" i="2"/>
  <c r="H2287" i="2"/>
  <c r="H2288" i="2"/>
  <c r="H2289" i="2"/>
  <c r="H2290" i="2"/>
  <c r="H2291" i="2"/>
  <c r="H2292" i="2"/>
  <c r="H2293" i="2"/>
  <c r="H2294" i="2"/>
  <c r="H2295" i="2"/>
  <c r="H2296" i="2"/>
  <c r="H2297" i="2"/>
  <c r="H2298" i="2"/>
  <c r="H2299" i="2"/>
  <c r="H2300" i="2"/>
  <c r="H2301" i="2"/>
  <c r="H2302" i="2"/>
  <c r="H2303" i="2"/>
  <c r="H2304" i="2"/>
  <c r="H2305" i="2"/>
  <c r="H2306" i="2"/>
  <c r="H2307" i="2"/>
  <c r="H2308" i="2"/>
  <c r="H2309" i="2"/>
  <c r="H2310" i="2"/>
  <c r="H2311" i="2"/>
  <c r="H2312" i="2"/>
  <c r="H2313" i="2"/>
  <c r="H2314" i="2"/>
  <c r="H2315" i="2"/>
  <c r="H2316" i="2"/>
  <c r="H2317" i="2"/>
  <c r="H2318" i="2"/>
  <c r="H2319" i="2"/>
  <c r="H2320" i="2"/>
  <c r="H2321" i="2"/>
  <c r="U15" i="8" s="1"/>
  <c r="H2322" i="2"/>
  <c r="H2323" i="2"/>
  <c r="H2324" i="2"/>
  <c r="H2325" i="2"/>
  <c r="H2326" i="2"/>
  <c r="H2327" i="2"/>
  <c r="H2328" i="2"/>
  <c r="H2329" i="2"/>
  <c r="H2330" i="2"/>
  <c r="H2331" i="2"/>
  <c r="H2332" i="2"/>
  <c r="H2333" i="2"/>
  <c r="H2334" i="2"/>
  <c r="H2335" i="2"/>
  <c r="H2336" i="2"/>
  <c r="H2337" i="2"/>
  <c r="H2338" i="2"/>
  <c r="H2339" i="2"/>
  <c r="H2340" i="2"/>
  <c r="H2341" i="2"/>
  <c r="H2342" i="2"/>
  <c r="H2343" i="2"/>
  <c r="H2344" i="2"/>
  <c r="H2345" i="2"/>
  <c r="H2346" i="2"/>
  <c r="H2347" i="2"/>
  <c r="H2348" i="2"/>
  <c r="H2349" i="2"/>
  <c r="H2350" i="2"/>
  <c r="H2351" i="2"/>
  <c r="H2352" i="2"/>
  <c r="H2353" i="2"/>
  <c r="H2354" i="2"/>
  <c r="H2355" i="2"/>
  <c r="H2356" i="2"/>
  <c r="H2357" i="2"/>
  <c r="H2358" i="2"/>
  <c r="H2359" i="2"/>
  <c r="H2360" i="2"/>
  <c r="H2361" i="2"/>
  <c r="H2362" i="2"/>
  <c r="H2363" i="2"/>
  <c r="H2364" i="2"/>
  <c r="H2365" i="2"/>
  <c r="H2366" i="2"/>
  <c r="H2367" i="2"/>
  <c r="H2368" i="2"/>
  <c r="H2369" i="2"/>
  <c r="H2370" i="2"/>
  <c r="H2371" i="2"/>
  <c r="H2372" i="2"/>
  <c r="H2373" i="2"/>
  <c r="H2374" i="2"/>
  <c r="H2375" i="2"/>
  <c r="H2376" i="2"/>
  <c r="H2377" i="2"/>
  <c r="H2378" i="2"/>
  <c r="H2379" i="2"/>
  <c r="H2380" i="2"/>
  <c r="H2381" i="2"/>
  <c r="H2382" i="2"/>
  <c r="H2383" i="2"/>
  <c r="H2384" i="2"/>
  <c r="H2385" i="2"/>
  <c r="H2386" i="2"/>
  <c r="H2387" i="2"/>
  <c r="H2388" i="2"/>
  <c r="H2389" i="2"/>
  <c r="H2390" i="2"/>
  <c r="H2391" i="2"/>
  <c r="H2392" i="2"/>
  <c r="H2393" i="2"/>
  <c r="H2394" i="2"/>
  <c r="H2395" i="2"/>
  <c r="H2396" i="2"/>
  <c r="H2397" i="2"/>
  <c r="H2398" i="2"/>
  <c r="H2399" i="2"/>
  <c r="H2400" i="2"/>
  <c r="H2401" i="2"/>
  <c r="H2402" i="2"/>
  <c r="H2403" i="2"/>
  <c r="H2404" i="2"/>
  <c r="H2405" i="2"/>
  <c r="H2406" i="2"/>
  <c r="H2407" i="2"/>
  <c r="H2408" i="2"/>
  <c r="H2409" i="2"/>
  <c r="H2410" i="2"/>
  <c r="H2411" i="2"/>
  <c r="H2412" i="2"/>
  <c r="H2413" i="2"/>
  <c r="H2414" i="2"/>
  <c r="H2415" i="2"/>
  <c r="H2416" i="2"/>
  <c r="H2417" i="2"/>
  <c r="H2418" i="2"/>
  <c r="H2419" i="2"/>
  <c r="H2420" i="2"/>
  <c r="H2421" i="2"/>
  <c r="V22" i="9" s="1"/>
  <c r="H2422" i="2"/>
  <c r="H2423" i="2"/>
  <c r="H2424" i="2"/>
  <c r="H2425" i="2"/>
  <c r="H2426" i="2"/>
  <c r="H2427" i="2"/>
  <c r="H2428" i="2"/>
  <c r="H2429" i="2"/>
  <c r="H2430" i="2"/>
  <c r="H2431" i="2"/>
  <c r="H2432" i="2"/>
  <c r="H2433" i="2"/>
  <c r="H2434" i="2"/>
  <c r="H2435" i="2"/>
  <c r="H2436" i="2"/>
  <c r="H2437" i="2"/>
  <c r="H2438" i="2"/>
  <c r="H2439" i="2"/>
  <c r="H2440" i="2"/>
  <c r="H2441" i="2"/>
  <c r="H2442" i="2"/>
  <c r="H2443" i="2"/>
  <c r="H2444" i="2"/>
  <c r="H2445" i="2"/>
  <c r="H2446" i="2"/>
  <c r="H2447" i="2"/>
  <c r="H2448" i="2"/>
  <c r="H2449" i="2"/>
  <c r="H2450" i="2"/>
  <c r="H2451" i="2"/>
  <c r="H2452" i="2"/>
  <c r="H2453" i="2"/>
  <c r="H2454" i="2"/>
  <c r="H2455" i="2"/>
  <c r="H2456" i="2"/>
  <c r="H2457" i="2"/>
  <c r="H2458" i="2"/>
  <c r="H2459" i="2"/>
  <c r="H2460" i="2"/>
  <c r="H2461" i="2"/>
  <c r="H2462" i="2"/>
  <c r="H2463" i="2"/>
  <c r="H2464" i="2"/>
  <c r="H2465" i="2"/>
  <c r="H2466" i="2"/>
  <c r="H2467" i="2"/>
  <c r="H2468" i="2"/>
  <c r="H2469" i="2"/>
  <c r="H2470" i="2"/>
  <c r="H2471" i="2"/>
  <c r="H2472" i="2"/>
  <c r="H2473" i="2"/>
  <c r="H2474" i="2"/>
  <c r="H2475" i="2"/>
  <c r="H2476" i="2"/>
  <c r="H2477" i="2"/>
  <c r="H2478" i="2"/>
  <c r="H2479" i="2"/>
  <c r="H2480" i="2"/>
  <c r="H2481" i="2"/>
  <c r="H2482" i="2"/>
  <c r="H2483" i="2"/>
  <c r="H2484" i="2"/>
  <c r="H2485" i="2"/>
  <c r="H2486" i="2"/>
  <c r="H2487" i="2"/>
  <c r="H2488" i="2"/>
  <c r="H2489" i="2"/>
  <c r="H2490" i="2"/>
  <c r="H2491" i="2"/>
  <c r="H2492" i="2"/>
  <c r="H2493" i="2"/>
  <c r="H2494" i="2"/>
  <c r="H2495" i="2"/>
  <c r="H2496" i="2"/>
  <c r="H2497" i="2"/>
  <c r="H2498" i="2"/>
  <c r="H2499" i="2"/>
  <c r="H2500" i="2"/>
  <c r="H2501" i="2"/>
  <c r="H2502" i="2"/>
  <c r="H2503" i="2"/>
  <c r="H2504" i="2"/>
  <c r="H2505" i="2"/>
  <c r="H2506" i="2"/>
  <c r="H2507" i="2"/>
  <c r="H2508" i="2"/>
  <c r="H2509" i="2"/>
  <c r="H2510" i="2"/>
  <c r="H2511" i="2"/>
  <c r="H2512" i="2"/>
  <c r="H2513" i="2"/>
  <c r="H2514" i="2"/>
  <c r="H2515" i="2"/>
  <c r="H2516" i="2"/>
  <c r="H2517" i="2"/>
  <c r="H2518" i="2"/>
  <c r="H2519" i="2"/>
  <c r="H2520" i="2"/>
  <c r="H2521" i="2"/>
  <c r="H2522" i="2"/>
  <c r="H2523" i="2"/>
  <c r="H2524" i="2"/>
  <c r="H2525" i="2"/>
  <c r="H2526" i="2"/>
  <c r="H2527" i="2"/>
  <c r="H2528" i="2"/>
  <c r="H2529" i="2"/>
  <c r="H2530" i="2"/>
  <c r="H2531" i="2"/>
  <c r="H2532" i="2"/>
  <c r="H2533" i="2"/>
  <c r="H2534" i="2"/>
  <c r="H2535" i="2"/>
  <c r="H2536" i="2"/>
  <c r="H2537" i="2"/>
  <c r="H2538" i="2"/>
  <c r="H2539" i="2"/>
  <c r="H2540" i="2"/>
  <c r="H2541" i="2"/>
  <c r="H2542" i="2"/>
  <c r="H2543" i="2"/>
  <c r="H2544" i="2"/>
  <c r="H2545" i="2"/>
  <c r="H2546" i="2"/>
  <c r="H2547" i="2"/>
  <c r="H2548" i="2"/>
  <c r="H2549" i="2"/>
  <c r="H2550" i="2"/>
  <c r="H2551" i="2"/>
  <c r="H2552" i="2"/>
  <c r="H2553" i="2"/>
  <c r="H2554" i="2"/>
  <c r="H2555" i="2"/>
  <c r="H2556" i="2"/>
  <c r="H2557" i="2"/>
  <c r="H2558" i="2"/>
  <c r="H2559" i="2"/>
  <c r="H2560" i="2"/>
  <c r="H2561" i="2"/>
  <c r="H2562" i="2"/>
  <c r="H2563" i="2"/>
  <c r="H2564" i="2"/>
  <c r="H2565" i="2"/>
  <c r="H2566" i="2"/>
  <c r="H2567" i="2"/>
  <c r="H2568" i="2"/>
  <c r="H2569" i="2"/>
  <c r="H2570" i="2"/>
  <c r="H2571" i="2"/>
  <c r="H2572" i="2"/>
  <c r="H2573" i="2"/>
  <c r="H2574" i="2"/>
  <c r="H2575" i="2"/>
  <c r="H2576" i="2"/>
  <c r="H2577" i="2"/>
  <c r="H2578" i="2"/>
  <c r="H2579" i="2"/>
  <c r="H2580" i="2"/>
  <c r="H2581" i="2"/>
  <c r="H2582" i="2"/>
  <c r="H2583" i="2"/>
  <c r="H2584" i="2"/>
  <c r="H2585" i="2"/>
  <c r="H2586" i="2"/>
  <c r="H2587" i="2"/>
  <c r="H2588" i="2"/>
  <c r="H2589" i="2"/>
  <c r="H2590" i="2"/>
  <c r="H2591" i="2"/>
  <c r="H2592" i="2"/>
  <c r="H2593" i="2"/>
  <c r="H2594" i="2"/>
  <c r="H2595" i="2"/>
  <c r="H2596" i="2"/>
  <c r="H2597" i="2"/>
  <c r="H2598" i="2"/>
  <c r="H2599" i="2"/>
  <c r="H2600" i="2"/>
  <c r="H2601" i="2"/>
  <c r="H2602" i="2"/>
  <c r="H2603" i="2"/>
  <c r="H2604" i="2"/>
  <c r="H2605" i="2"/>
  <c r="H2606" i="2"/>
  <c r="H2607" i="2"/>
  <c r="H2608" i="2"/>
  <c r="H2609" i="2"/>
  <c r="H2610" i="2"/>
  <c r="H2611" i="2"/>
  <c r="H2612" i="2"/>
  <c r="H2613" i="2"/>
  <c r="H2614" i="2"/>
  <c r="H2615" i="2"/>
  <c r="H2616" i="2"/>
  <c r="H2617" i="2"/>
  <c r="H2618" i="2"/>
  <c r="H2619" i="2"/>
  <c r="H2620" i="2"/>
  <c r="H2621" i="2"/>
  <c r="H2622" i="2"/>
  <c r="H2623" i="2"/>
  <c r="H2624" i="2"/>
  <c r="H2625" i="2"/>
  <c r="H2626" i="2"/>
  <c r="H2627" i="2"/>
  <c r="H2628" i="2"/>
  <c r="H2629" i="2"/>
  <c r="H2630" i="2"/>
  <c r="H2631" i="2"/>
  <c r="H2632" i="2"/>
  <c r="H2633" i="2"/>
  <c r="H2634" i="2"/>
  <c r="H2635" i="2"/>
  <c r="H2636" i="2"/>
  <c r="H2637" i="2"/>
  <c r="H2638" i="2"/>
  <c r="H2639" i="2"/>
  <c r="H2640" i="2"/>
  <c r="H2641" i="2"/>
  <c r="H2642" i="2"/>
  <c r="H2643" i="2"/>
  <c r="H2644" i="2"/>
  <c r="H2645" i="2"/>
  <c r="H2646" i="2"/>
  <c r="H2647" i="2"/>
  <c r="H2648" i="2"/>
  <c r="H2649" i="2"/>
  <c r="H2650" i="2"/>
  <c r="H2651" i="2"/>
  <c r="H2652" i="2"/>
  <c r="AA38" i="9" s="1"/>
  <c r="H2653" i="2"/>
  <c r="H2654" i="2"/>
  <c r="H2655" i="2"/>
  <c r="H2656" i="2"/>
  <c r="H2657" i="2"/>
  <c r="H2658" i="2"/>
  <c r="H2659" i="2"/>
  <c r="H2660" i="2"/>
  <c r="H2661" i="2"/>
  <c r="H2662" i="2"/>
  <c r="H2663" i="2"/>
  <c r="H2664" i="2"/>
  <c r="H2665" i="2"/>
  <c r="H2666" i="2"/>
  <c r="H2667" i="2"/>
  <c r="H2668" i="2"/>
  <c r="H2669" i="2"/>
  <c r="H2670" i="2"/>
  <c r="H2671" i="2"/>
  <c r="H2672" i="2"/>
  <c r="H2673" i="2"/>
  <c r="H2674" i="2"/>
  <c r="H2675" i="2"/>
  <c r="H2676" i="2"/>
  <c r="H2677" i="2"/>
  <c r="H2678" i="2"/>
  <c r="H2679" i="2"/>
  <c r="H2680" i="2"/>
  <c r="H2681" i="2"/>
  <c r="H2682" i="2"/>
  <c r="H2683" i="2"/>
  <c r="H2684" i="2"/>
  <c r="H2685" i="2"/>
  <c r="H2686" i="2"/>
  <c r="H2687" i="2"/>
  <c r="H2688" i="2"/>
  <c r="H2689" i="2"/>
  <c r="H2690" i="2"/>
  <c r="H2691" i="2"/>
  <c r="H2692" i="2"/>
  <c r="H2693" i="2"/>
  <c r="H2694" i="2"/>
  <c r="H2695" i="2"/>
  <c r="H2696" i="2"/>
  <c r="H2697" i="2"/>
  <c r="H2698" i="2"/>
  <c r="H2699" i="2"/>
  <c r="H2700" i="2"/>
  <c r="H2701" i="2"/>
  <c r="H2702" i="2"/>
  <c r="H2703" i="2"/>
  <c r="H2704" i="2"/>
  <c r="H2705" i="2"/>
  <c r="H2706" i="2"/>
  <c r="H2707" i="2"/>
  <c r="H2708" i="2"/>
  <c r="H2709" i="2"/>
  <c r="H2710" i="2"/>
  <c r="H2711" i="2"/>
  <c r="H2712" i="2"/>
  <c r="H2713" i="2"/>
  <c r="H2714" i="2"/>
  <c r="H2715" i="2"/>
  <c r="H2716" i="2"/>
  <c r="H2717" i="2"/>
  <c r="H2718" i="2"/>
  <c r="H2719" i="2"/>
  <c r="H2720" i="2"/>
  <c r="H2721" i="2"/>
  <c r="H2722" i="2"/>
  <c r="H2723" i="2"/>
  <c r="H2724" i="2"/>
  <c r="H2725" i="2"/>
  <c r="H2726" i="2"/>
  <c r="H2727" i="2"/>
  <c r="H2728" i="2"/>
  <c r="H2729" i="2"/>
  <c r="H2730" i="2"/>
  <c r="H2731" i="2"/>
  <c r="H2732" i="2"/>
  <c r="H2733" i="2"/>
  <c r="H2734" i="2"/>
  <c r="H2735" i="2"/>
  <c r="H2736" i="2"/>
  <c r="H2737" i="2"/>
  <c r="H2738" i="2"/>
  <c r="H2739" i="2"/>
  <c r="H2740" i="2"/>
  <c r="H2741" i="2"/>
  <c r="H2742" i="2"/>
  <c r="H2743" i="2"/>
  <c r="H2744" i="2"/>
  <c r="H2745" i="2"/>
  <c r="H2746" i="2"/>
  <c r="H2747" i="2"/>
  <c r="H2748" i="2"/>
  <c r="H2749" i="2"/>
  <c r="H2750" i="2"/>
  <c r="H2751" i="2"/>
  <c r="H2752" i="2"/>
  <c r="H2753" i="2"/>
  <c r="H2754" i="2"/>
  <c r="H2755" i="2"/>
  <c r="H2756" i="2"/>
  <c r="H2757" i="2"/>
  <c r="H2758" i="2"/>
  <c r="H2759" i="2"/>
  <c r="H2760" i="2"/>
  <c r="H2761" i="2"/>
  <c r="H2762" i="2"/>
  <c r="H2763" i="2"/>
  <c r="H2764" i="2"/>
  <c r="H2765" i="2"/>
  <c r="H2766" i="2"/>
  <c r="H2767" i="2"/>
  <c r="H2768" i="2"/>
  <c r="H2769" i="2"/>
  <c r="H2770" i="2"/>
  <c r="H2771" i="2"/>
  <c r="H2772" i="2"/>
  <c r="H2773" i="2"/>
  <c r="H2774" i="2"/>
  <c r="H2775" i="2"/>
  <c r="H2776" i="2"/>
  <c r="H2777" i="2"/>
  <c r="H2778" i="2"/>
  <c r="H2779" i="2"/>
  <c r="H2780" i="2"/>
  <c r="H2781" i="2"/>
  <c r="H2782" i="2"/>
  <c r="H2783" i="2"/>
  <c r="H2784" i="2"/>
  <c r="H2785" i="2"/>
  <c r="H2786" i="2"/>
  <c r="H2787" i="2"/>
  <c r="H2788" i="2"/>
  <c r="H2789" i="2"/>
  <c r="H2790" i="2"/>
  <c r="H2791" i="2"/>
  <c r="H2792" i="2"/>
  <c r="H2793" i="2"/>
  <c r="H2794" i="2"/>
  <c r="H2795" i="2"/>
  <c r="H2796" i="2"/>
  <c r="H2797" i="2"/>
  <c r="H2798" i="2"/>
  <c r="H2799" i="2"/>
  <c r="H2800" i="2"/>
  <c r="H2801" i="2"/>
  <c r="H2802" i="2"/>
  <c r="H2803" i="2"/>
  <c r="H2804" i="2"/>
  <c r="H2805" i="2"/>
  <c r="H2806" i="2"/>
  <c r="H2807" i="2"/>
  <c r="H2808" i="2"/>
  <c r="H2809" i="2"/>
  <c r="H2810" i="2"/>
  <c r="H2811" i="2"/>
  <c r="H2812" i="2"/>
  <c r="H2813" i="2"/>
  <c r="H2814" i="2"/>
  <c r="H2815" i="2"/>
  <c r="H2816" i="2"/>
  <c r="H2817" i="2"/>
  <c r="H2818" i="2"/>
  <c r="H2819" i="2"/>
  <c r="H2820" i="2"/>
  <c r="H2821" i="2"/>
  <c r="H2822" i="2"/>
  <c r="H2823" i="2"/>
  <c r="H2824" i="2"/>
  <c r="H2825" i="2"/>
  <c r="H2826" i="2"/>
  <c r="H2827" i="2"/>
  <c r="H2828" i="2"/>
  <c r="H2829" i="2"/>
  <c r="H2830" i="2"/>
  <c r="H2831" i="2"/>
  <c r="H2832" i="2"/>
  <c r="H2833" i="2"/>
  <c r="H2834" i="2"/>
  <c r="H2835" i="2"/>
  <c r="H2836" i="2"/>
  <c r="H2837" i="2"/>
  <c r="H2838" i="2"/>
  <c r="H2839" i="2"/>
  <c r="H2840" i="2"/>
  <c r="H2841" i="2"/>
  <c r="H2842" i="2"/>
  <c r="H2843" i="2"/>
  <c r="H2844" i="2"/>
  <c r="H2845" i="2"/>
  <c r="H2846" i="2"/>
  <c r="H2847" i="2"/>
  <c r="H2848" i="2"/>
  <c r="H2849" i="2"/>
  <c r="H2850" i="2"/>
  <c r="H2851" i="2"/>
  <c r="H2852" i="2"/>
  <c r="H2853" i="2"/>
  <c r="H2854" i="2"/>
  <c r="H2855" i="2"/>
  <c r="H2856" i="2"/>
  <c r="H2857" i="2"/>
  <c r="H2858" i="2"/>
  <c r="H2859" i="2"/>
  <c r="H2860" i="2"/>
  <c r="H2861" i="2"/>
  <c r="H2862" i="2"/>
  <c r="H2863" i="2"/>
  <c r="H2864" i="2"/>
  <c r="H2865" i="2"/>
  <c r="H2866" i="2"/>
  <c r="H2867" i="2"/>
  <c r="H2868" i="2"/>
  <c r="H2869" i="2"/>
  <c r="H2870" i="2"/>
  <c r="H2871" i="2"/>
  <c r="H2872" i="2"/>
  <c r="H2873" i="2"/>
  <c r="H2874" i="2"/>
  <c r="H2875" i="2"/>
  <c r="H2876" i="2"/>
  <c r="H2877" i="2"/>
  <c r="H2878" i="2"/>
  <c r="H2879" i="2"/>
  <c r="H2880" i="2"/>
  <c r="H2881" i="2"/>
  <c r="H2882" i="2"/>
  <c r="H2883" i="2"/>
  <c r="H2884" i="2"/>
  <c r="H2885" i="2"/>
  <c r="H2886" i="2"/>
  <c r="H2887" i="2"/>
  <c r="H2888" i="2"/>
  <c r="H3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F13" i="8" s="1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F18" i="8" s="1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2" i="2"/>
  <c r="E10" i="8" l="1"/>
  <c r="AC41" i="9"/>
  <c r="AC40" i="9"/>
  <c r="AC39" i="9"/>
  <c r="AD43" i="9"/>
  <c r="AD40" i="9"/>
  <c r="AD39" i="9"/>
  <c r="AD38" i="9"/>
  <c r="H30" i="7"/>
  <c r="H4" i="7"/>
  <c r="H13" i="7"/>
  <c r="H18" i="7"/>
  <c r="H23" i="7"/>
  <c r="H28" i="7"/>
  <c r="AD44" i="8"/>
  <c r="B14" i="11"/>
  <c r="C14" i="11" s="1"/>
  <c r="H6" i="7"/>
  <c r="H10" i="7"/>
  <c r="H15" i="7"/>
  <c r="H19" i="7"/>
  <c r="H24" i="7"/>
  <c r="G29" i="7"/>
  <c r="H3" i="7"/>
  <c r="H8" i="7"/>
  <c r="H12" i="7"/>
  <c r="H17" i="7"/>
  <c r="H21" i="7"/>
  <c r="H26" i="7"/>
  <c r="H5" i="7"/>
  <c r="H9" i="7"/>
  <c r="H14" i="7"/>
  <c r="H20" i="7"/>
  <c r="H25" i="7"/>
  <c r="AB4" i="8"/>
  <c r="F30" i="7"/>
  <c r="C32" i="7"/>
  <c r="H7" i="7"/>
  <c r="H11" i="7"/>
  <c r="H16" i="7"/>
  <c r="H22" i="7"/>
  <c r="H27" i="7"/>
  <c r="J8" i="8"/>
  <c r="K8" i="8"/>
  <c r="L8" i="8"/>
  <c r="M8" i="8"/>
  <c r="M15" i="9"/>
  <c r="N8" i="8"/>
  <c r="Q8" i="8"/>
  <c r="G30" i="7"/>
  <c r="O14" i="8"/>
  <c r="P8" i="8"/>
  <c r="AD44" i="9"/>
  <c r="AC44" i="8"/>
  <c r="F29" i="7"/>
  <c r="D32" i="7"/>
  <c r="AC43" i="9"/>
  <c r="AC42" i="9"/>
  <c r="AC44" i="9" s="1"/>
  <c r="H2" i="7"/>
  <c r="H32" i="7" s="1"/>
  <c r="B32" i="7"/>
  <c r="N41" i="9"/>
  <c r="P14" i="8"/>
  <c r="P19" i="9"/>
  <c r="P28" i="9"/>
  <c r="R43" i="9"/>
  <c r="S33" i="9"/>
  <c r="U13" i="8"/>
  <c r="Z40" i="9"/>
  <c r="AB23" i="9"/>
  <c r="C33" i="9"/>
  <c r="C25" i="9"/>
  <c r="C17" i="8"/>
  <c r="D7" i="8"/>
  <c r="E26" i="9"/>
  <c r="F26" i="9"/>
  <c r="F11" i="8"/>
  <c r="F12" i="8"/>
  <c r="F4" i="7"/>
  <c r="G3" i="7"/>
  <c r="G5" i="7"/>
  <c r="G7" i="7"/>
  <c r="G9" i="7"/>
  <c r="G12" i="7"/>
  <c r="G14" i="7"/>
  <c r="G15" i="7"/>
  <c r="G17" i="7"/>
  <c r="G19" i="7"/>
  <c r="G21" i="7"/>
  <c r="G23" i="7"/>
  <c r="G25" i="7"/>
  <c r="G27" i="7"/>
  <c r="N26" i="9"/>
  <c r="N27" i="9"/>
  <c r="P35" i="9"/>
  <c r="R20" i="9"/>
  <c r="S29" i="9"/>
  <c r="T33" i="9"/>
  <c r="U2" i="8"/>
  <c r="V13" i="8"/>
  <c r="V15" i="8"/>
  <c r="V30" i="9"/>
  <c r="AA3" i="8"/>
  <c r="D6" i="8"/>
  <c r="E8" i="8"/>
  <c r="G18" i="8"/>
  <c r="G19" i="8"/>
  <c r="F3" i="7"/>
  <c r="G2" i="7"/>
  <c r="G4" i="7"/>
  <c r="G6" i="7"/>
  <c r="G8" i="7"/>
  <c r="G10" i="7"/>
  <c r="G11" i="7"/>
  <c r="G13" i="7"/>
  <c r="G16" i="7"/>
  <c r="G18" i="7"/>
  <c r="G20" i="7"/>
  <c r="G22" i="7"/>
  <c r="G24" i="7"/>
  <c r="G26" i="7"/>
  <c r="G28" i="7"/>
  <c r="L26" i="9"/>
  <c r="M26" i="9"/>
  <c r="N16" i="9"/>
  <c r="N18" i="9"/>
  <c r="P42" i="9"/>
  <c r="R33" i="9"/>
  <c r="T21" i="9"/>
  <c r="V37" i="9"/>
  <c r="AB31" i="9"/>
  <c r="C5" i="8"/>
  <c r="C40" i="9"/>
  <c r="E9" i="8"/>
  <c r="B10" i="11"/>
  <c r="C10" i="11" s="1"/>
  <c r="C2" i="11"/>
  <c r="J15" i="9"/>
  <c r="J19" i="8"/>
  <c r="J32" i="8"/>
  <c r="J16" i="9"/>
  <c r="J6" i="8"/>
  <c r="J24" i="9"/>
  <c r="J22" i="8"/>
  <c r="J17" i="9"/>
  <c r="J35" i="8"/>
  <c r="J39" i="9"/>
  <c r="J37" i="9"/>
  <c r="J18" i="9"/>
  <c r="J11" i="8"/>
  <c r="J23" i="9"/>
  <c r="J22" i="9"/>
  <c r="J19" i="9"/>
  <c r="J33" i="8"/>
  <c r="J17" i="8"/>
  <c r="J21" i="8"/>
  <c r="J12" i="8"/>
  <c r="J31" i="8"/>
  <c r="J30" i="8"/>
  <c r="J40" i="9"/>
  <c r="J20" i="8"/>
  <c r="J34" i="8"/>
  <c r="J40" i="8"/>
  <c r="J38" i="9"/>
  <c r="J7" i="8"/>
  <c r="J21" i="9"/>
  <c r="J20" i="9"/>
  <c r="J41" i="9"/>
  <c r="J36" i="8"/>
  <c r="J29" i="8"/>
  <c r="J25" i="9"/>
  <c r="J42" i="9"/>
  <c r="J28" i="8"/>
  <c r="J43" i="9"/>
  <c r="J27" i="9"/>
  <c r="J28" i="9"/>
  <c r="J27" i="8"/>
  <c r="J29" i="9"/>
  <c r="J2" i="8"/>
  <c r="J26" i="8"/>
  <c r="J30" i="9"/>
  <c r="J13" i="8"/>
  <c r="J25" i="8"/>
  <c r="J3" i="8"/>
  <c r="J31" i="9"/>
  <c r="J24" i="8"/>
  <c r="J9" i="8"/>
  <c r="J33" i="9"/>
  <c r="J39" i="8"/>
  <c r="J14" i="8"/>
  <c r="J4" i="8"/>
  <c r="J32" i="9"/>
  <c r="J15" i="8"/>
  <c r="J18" i="8"/>
  <c r="J38" i="8"/>
  <c r="J37" i="8"/>
  <c r="J10" i="8"/>
  <c r="J16" i="8"/>
  <c r="J5" i="8"/>
  <c r="J34" i="9"/>
  <c r="J35" i="9"/>
  <c r="J36" i="9"/>
  <c r="J23" i="8"/>
  <c r="K17" i="9"/>
  <c r="K42" i="9"/>
  <c r="K24" i="9"/>
  <c r="K18" i="9"/>
  <c r="K43" i="9"/>
  <c r="K25" i="9"/>
  <c r="K27" i="9"/>
  <c r="K27" i="8"/>
  <c r="K21" i="8"/>
  <c r="K28" i="9"/>
  <c r="K19" i="9"/>
  <c r="K26" i="8"/>
  <c r="K31" i="8"/>
  <c r="K29" i="9"/>
  <c r="K20" i="8"/>
  <c r="K2" i="8"/>
  <c r="K20" i="9"/>
  <c r="K25" i="8"/>
  <c r="K40" i="9"/>
  <c r="K30" i="9"/>
  <c r="K19" i="8"/>
  <c r="K13" i="8"/>
  <c r="K17" i="8"/>
  <c r="K38" i="9"/>
  <c r="K21" i="9"/>
  <c r="K3" i="8"/>
  <c r="K12" i="8"/>
  <c r="K31" i="9"/>
  <c r="K24" i="8"/>
  <c r="K6" i="8"/>
  <c r="K41" i="9"/>
  <c r="K11" i="8"/>
  <c r="K22" i="9"/>
  <c r="K28" i="8"/>
  <c r="K14" i="8"/>
  <c r="K40" i="8"/>
  <c r="K38" i="8"/>
  <c r="K32" i="9"/>
  <c r="K4" i="8"/>
  <c r="K30" i="8"/>
  <c r="K15" i="8"/>
  <c r="K37" i="8"/>
  <c r="K23" i="9"/>
  <c r="K39" i="9"/>
  <c r="K36" i="8"/>
  <c r="K35" i="8"/>
  <c r="K34" i="8"/>
  <c r="K10" i="8"/>
  <c r="K9" i="8"/>
  <c r="K33" i="9"/>
  <c r="K29" i="8"/>
  <c r="K33" i="8"/>
  <c r="K39" i="8"/>
  <c r="K34" i="9"/>
  <c r="K5" i="8"/>
  <c r="K7" i="8"/>
  <c r="K35" i="9"/>
  <c r="K16" i="8"/>
  <c r="K15" i="9"/>
  <c r="K36" i="9"/>
  <c r="K18" i="8"/>
  <c r="K23" i="8"/>
  <c r="K16" i="9"/>
  <c r="K22" i="8"/>
  <c r="K32" i="8"/>
  <c r="K37" i="9"/>
  <c r="L29" i="8"/>
  <c r="L25" i="9"/>
  <c r="L3" i="8"/>
  <c r="L28" i="8"/>
  <c r="L41" i="9"/>
  <c r="L31" i="9"/>
  <c r="L24" i="8"/>
  <c r="L24" i="9"/>
  <c r="L15" i="9"/>
  <c r="L16" i="9"/>
  <c r="L42" i="9"/>
  <c r="L9" i="8"/>
  <c r="L40" i="8"/>
  <c r="L39" i="8"/>
  <c r="L17" i="9"/>
  <c r="L21" i="8"/>
  <c r="L18" i="9"/>
  <c r="L14" i="8"/>
  <c r="L17" i="8"/>
  <c r="L38" i="8"/>
  <c r="L19" i="9"/>
  <c r="L43" i="9"/>
  <c r="L27" i="8"/>
  <c r="L32" i="9"/>
  <c r="L20" i="8"/>
  <c r="L4" i="8"/>
  <c r="L20" i="9"/>
  <c r="L27" i="9"/>
  <c r="L15" i="8"/>
  <c r="L19" i="8"/>
  <c r="L21" i="9"/>
  <c r="L38" i="9"/>
  <c r="L36" i="8"/>
  <c r="L28" i="9"/>
  <c r="L35" i="8"/>
  <c r="L6" i="8"/>
  <c r="L26" i="8"/>
  <c r="L22" i="9"/>
  <c r="L10" i="8"/>
  <c r="L23" i="8"/>
  <c r="L11" i="8"/>
  <c r="L18" i="8"/>
  <c r="L33" i="9"/>
  <c r="L29" i="9"/>
  <c r="L37" i="8"/>
  <c r="L23" i="9"/>
  <c r="L2" i="8"/>
  <c r="L34" i="9"/>
  <c r="L39" i="9"/>
  <c r="L25" i="8"/>
  <c r="L33" i="8"/>
  <c r="L35" i="9"/>
  <c r="L5" i="8"/>
  <c r="L7" i="8"/>
  <c r="L16" i="8"/>
  <c r="L32" i="8"/>
  <c r="L30" i="9"/>
  <c r="L36" i="9"/>
  <c r="L31" i="8"/>
  <c r="L34" i="8"/>
  <c r="L40" i="9"/>
  <c r="L22" i="8"/>
  <c r="L13" i="8"/>
  <c r="L12" i="8"/>
  <c r="L30" i="8"/>
  <c r="L37" i="9"/>
  <c r="M16" i="9"/>
  <c r="M17" i="9"/>
  <c r="M18" i="9"/>
  <c r="M19" i="9"/>
  <c r="M19" i="8"/>
  <c r="M20" i="8"/>
  <c r="M20" i="9"/>
  <c r="M6" i="8"/>
  <c r="M21" i="8"/>
  <c r="M33" i="9"/>
  <c r="M22" i="8"/>
  <c r="M21" i="9"/>
  <c r="M34" i="9"/>
  <c r="M35" i="9"/>
  <c r="M40" i="9"/>
  <c r="M10" i="8"/>
  <c r="M27" i="9"/>
  <c r="M28" i="9"/>
  <c r="M22" i="9"/>
  <c r="M36" i="9"/>
  <c r="M23" i="8"/>
  <c r="M29" i="9"/>
  <c r="M4" i="8"/>
  <c r="M34" i="8"/>
  <c r="M37" i="8"/>
  <c r="M37" i="9"/>
  <c r="M40" i="8"/>
  <c r="M23" i="9"/>
  <c r="M30" i="9"/>
  <c r="M24" i="8"/>
  <c r="M25" i="8"/>
  <c r="M26" i="8"/>
  <c r="M27" i="8"/>
  <c r="M28" i="8"/>
  <c r="M29" i="8"/>
  <c r="M41" i="9"/>
  <c r="M31" i="9"/>
  <c r="M38" i="9"/>
  <c r="M30" i="8"/>
  <c r="M31" i="8"/>
  <c r="M32" i="8"/>
  <c r="M43" i="9"/>
  <c r="M24" i="9"/>
  <c r="M7" i="8"/>
  <c r="M33" i="8"/>
  <c r="M5" i="8"/>
  <c r="M9" i="8"/>
  <c r="M2" i="8"/>
  <c r="M35" i="8"/>
  <c r="M36" i="8"/>
  <c r="M38" i="8"/>
  <c r="M39" i="8"/>
  <c r="M32" i="9"/>
  <c r="M39" i="9"/>
  <c r="M11" i="8"/>
  <c r="M12" i="8"/>
  <c r="M13" i="8"/>
  <c r="M3" i="8"/>
  <c r="M25" i="9"/>
  <c r="M14" i="8"/>
  <c r="M15" i="8"/>
  <c r="M16" i="8"/>
  <c r="M17" i="8"/>
  <c r="M42" i="9"/>
  <c r="M18" i="8"/>
  <c r="N19" i="9"/>
  <c r="N32" i="8"/>
  <c r="N20" i="9"/>
  <c r="N17" i="8"/>
  <c r="N33" i="9"/>
  <c r="N35" i="9"/>
  <c r="N21" i="9"/>
  <c r="N33" i="8"/>
  <c r="N28" i="9"/>
  <c r="N12" i="8"/>
  <c r="N29" i="9"/>
  <c r="N36" i="9"/>
  <c r="N22" i="9"/>
  <c r="N42" i="9"/>
  <c r="N5" i="8"/>
  <c r="N40" i="9"/>
  <c r="N37" i="9"/>
  <c r="N2" i="8"/>
  <c r="N30" i="8"/>
  <c r="N7" i="8"/>
  <c r="N23" i="9"/>
  <c r="N9" i="8"/>
  <c r="N40" i="8"/>
  <c r="N22" i="8"/>
  <c r="N27" i="8"/>
  <c r="N31" i="9"/>
  <c r="N6" i="8"/>
  <c r="N38" i="9"/>
  <c r="N4" i="8"/>
  <c r="N11" i="8"/>
  <c r="N36" i="8"/>
  <c r="N35" i="8"/>
  <c r="N18" i="8"/>
  <c r="N24" i="9"/>
  <c r="N37" i="8"/>
  <c r="N16" i="8"/>
  <c r="N15" i="8"/>
  <c r="N14" i="8"/>
  <c r="N38" i="8"/>
  <c r="N30" i="9"/>
  <c r="N20" i="8"/>
  <c r="N28" i="8"/>
  <c r="N23" i="8"/>
  <c r="N39" i="8"/>
  <c r="N32" i="9"/>
  <c r="N19" i="8"/>
  <c r="N34" i="8"/>
  <c r="N39" i="9"/>
  <c r="N25" i="9"/>
  <c r="N43" i="9"/>
  <c r="N21" i="8"/>
  <c r="N24" i="8"/>
  <c r="N13" i="8"/>
  <c r="N25" i="8"/>
  <c r="N10" i="8"/>
  <c r="N26" i="8"/>
  <c r="N29" i="8"/>
  <c r="N3" i="8"/>
  <c r="N31" i="8"/>
  <c r="O19" i="9"/>
  <c r="O20" i="9"/>
  <c r="O4" i="8"/>
  <c r="O42" i="9"/>
  <c r="O21" i="9"/>
  <c r="O43" i="9"/>
  <c r="O2" i="8"/>
  <c r="O31" i="9"/>
  <c r="O3" i="8"/>
  <c r="O22" i="9"/>
  <c r="O30" i="8"/>
  <c r="O7" i="8"/>
  <c r="O28" i="8"/>
  <c r="O8" i="8"/>
  <c r="O23" i="9"/>
  <c r="O9" i="8"/>
  <c r="O26" i="8"/>
  <c r="O10" i="8"/>
  <c r="O25" i="8"/>
  <c r="O17" i="8"/>
  <c r="O34" i="8"/>
  <c r="O22" i="8"/>
  <c r="O24" i="8"/>
  <c r="O13" i="8"/>
  <c r="O24" i="9"/>
  <c r="O32" i="9"/>
  <c r="O19" i="8"/>
  <c r="O23" i="8"/>
  <c r="O40" i="8"/>
  <c r="O20" i="8"/>
  <c r="O16" i="8"/>
  <c r="O21" i="8"/>
  <c r="O37" i="8"/>
  <c r="O15" i="8"/>
  <c r="O18" i="8"/>
  <c r="O36" i="8"/>
  <c r="O25" i="9"/>
  <c r="O32" i="8"/>
  <c r="O6" i="8"/>
  <c r="O35" i="9"/>
  <c r="O36" i="9"/>
  <c r="O38" i="8"/>
  <c r="O39" i="8"/>
  <c r="O37" i="9"/>
  <c r="O11" i="8"/>
  <c r="O12" i="8"/>
  <c r="O38" i="9"/>
  <c r="O35" i="8"/>
  <c r="O39" i="9"/>
  <c r="O33" i="8"/>
  <c r="O28" i="9"/>
  <c r="O29" i="9"/>
  <c r="O31" i="8"/>
  <c r="O29" i="8"/>
  <c r="O40" i="9"/>
  <c r="O30" i="9"/>
  <c r="O5" i="8"/>
  <c r="O27" i="8"/>
  <c r="P18" i="8"/>
  <c r="P21" i="9"/>
  <c r="P40" i="9"/>
  <c r="P2" i="8"/>
  <c r="P36" i="8"/>
  <c r="P22" i="9"/>
  <c r="P43" i="9"/>
  <c r="P16" i="8"/>
  <c r="P32" i="9"/>
  <c r="P23" i="9"/>
  <c r="P9" i="8"/>
  <c r="P38" i="9"/>
  <c r="P30" i="8"/>
  <c r="P28" i="8"/>
  <c r="P25" i="8"/>
  <c r="P35" i="8"/>
  <c r="P24" i="9"/>
  <c r="P6" i="8"/>
  <c r="P37" i="8"/>
  <c r="P29" i="8"/>
  <c r="P32" i="8"/>
  <c r="P22" i="8"/>
  <c r="P21" i="8"/>
  <c r="P4" i="8"/>
  <c r="P36" i="9"/>
  <c r="P34" i="8"/>
  <c r="P24" i="8"/>
  <c r="P25" i="9"/>
  <c r="P37" i="9"/>
  <c r="P13" i="8"/>
  <c r="P12" i="8"/>
  <c r="P38" i="8"/>
  <c r="P15" i="8"/>
  <c r="P20" i="8"/>
  <c r="P39" i="8"/>
  <c r="P5" i="8"/>
  <c r="P17" i="8"/>
  <c r="P19" i="8"/>
  <c r="P33" i="8"/>
  <c r="P29" i="9"/>
  <c r="P20" i="9"/>
  <c r="P23" i="8"/>
  <c r="P30" i="9"/>
  <c r="P3" i="8"/>
  <c r="P31" i="8"/>
  <c r="P27" i="8"/>
  <c r="P26" i="8"/>
  <c r="P7" i="8"/>
  <c r="P31" i="9"/>
  <c r="P39" i="9"/>
  <c r="P10" i="8"/>
  <c r="P40" i="8"/>
  <c r="P11" i="8"/>
  <c r="Q20" i="9"/>
  <c r="Q21" i="9"/>
  <c r="Q24" i="8"/>
  <c r="Q39" i="9"/>
  <c r="Q22" i="9"/>
  <c r="Q13" i="8"/>
  <c r="Q30" i="8"/>
  <c r="Q23" i="9"/>
  <c r="Q23" i="8"/>
  <c r="Q19" i="8"/>
  <c r="Q3" i="8"/>
  <c r="Q24" i="9"/>
  <c r="Q12" i="8"/>
  <c r="Q5" i="8"/>
  <c r="Q28" i="8"/>
  <c r="Q37" i="8"/>
  <c r="Q29" i="8"/>
  <c r="Q21" i="8"/>
  <c r="Q25" i="9"/>
  <c r="Q38" i="9"/>
  <c r="Q36" i="8"/>
  <c r="Q4" i="8"/>
  <c r="Q15" i="8"/>
  <c r="Q22" i="8"/>
  <c r="Q16" i="8"/>
  <c r="Q43" i="9"/>
  <c r="Q11" i="8"/>
  <c r="Q33" i="8"/>
  <c r="Q29" i="9"/>
  <c r="Q38" i="8"/>
  <c r="Q30" i="9"/>
  <c r="Q18" i="8"/>
  <c r="Q7" i="8"/>
  <c r="Q39" i="8"/>
  <c r="Q37" i="9"/>
  <c r="Q31" i="9"/>
  <c r="Q40" i="8"/>
  <c r="Q17" i="8"/>
  <c r="Q6" i="8"/>
  <c r="Q32" i="9"/>
  <c r="Q35" i="8"/>
  <c r="Q32" i="8"/>
  <c r="Q36" i="9"/>
  <c r="Q27" i="8"/>
  <c r="Q40" i="9"/>
  <c r="Q26" i="8"/>
  <c r="Q9" i="8"/>
  <c r="Q2" i="8"/>
  <c r="Q31" i="8"/>
  <c r="Q20" i="8"/>
  <c r="Q10" i="8"/>
  <c r="Q34" i="8"/>
  <c r="Q25" i="8"/>
  <c r="R21" i="9"/>
  <c r="R39" i="9"/>
  <c r="R22" i="9"/>
  <c r="R38" i="8"/>
  <c r="R23" i="9"/>
  <c r="R37" i="8"/>
  <c r="R24" i="8"/>
  <c r="R24" i="9"/>
  <c r="R18" i="8"/>
  <c r="R28" i="8"/>
  <c r="R34" i="8"/>
  <c r="R21" i="8"/>
  <c r="R25" i="9"/>
  <c r="R38" i="9"/>
  <c r="R15" i="8"/>
  <c r="R4" i="8"/>
  <c r="R35" i="8"/>
  <c r="R33" i="8"/>
  <c r="R29" i="9"/>
  <c r="R30" i="9"/>
  <c r="R32" i="9"/>
  <c r="R16" i="8"/>
  <c r="R32" i="8"/>
  <c r="R31" i="9"/>
  <c r="R9" i="8"/>
  <c r="R29" i="8"/>
  <c r="R17" i="8"/>
  <c r="R36" i="8"/>
  <c r="R8" i="8"/>
  <c r="R30" i="8"/>
  <c r="R12" i="8"/>
  <c r="R19" i="8"/>
  <c r="R11" i="8"/>
  <c r="R40" i="9"/>
  <c r="R10" i="8"/>
  <c r="R22" i="8"/>
  <c r="R40" i="8"/>
  <c r="R3" i="8"/>
  <c r="R13" i="8"/>
  <c r="R39" i="8"/>
  <c r="R27" i="8"/>
  <c r="R31" i="8"/>
  <c r="R6" i="8"/>
  <c r="R2" i="8"/>
  <c r="R26" i="8"/>
  <c r="R7" i="8"/>
  <c r="R37" i="9"/>
  <c r="R25" i="8"/>
  <c r="R23" i="8"/>
  <c r="R20" i="8"/>
  <c r="R5" i="8"/>
  <c r="S21" i="9"/>
  <c r="S22" i="9"/>
  <c r="S23" i="9"/>
  <c r="S35" i="8"/>
  <c r="S24" i="9"/>
  <c r="S28" i="8"/>
  <c r="S25" i="9"/>
  <c r="S33" i="8"/>
  <c r="S30" i="9"/>
  <c r="S4" i="8"/>
  <c r="S6" i="8"/>
  <c r="S25" i="8"/>
  <c r="S26" i="8"/>
  <c r="S8" i="8"/>
  <c r="S19" i="8"/>
  <c r="S2" i="8"/>
  <c r="S40" i="8"/>
  <c r="S13" i="8"/>
  <c r="S31" i="8"/>
  <c r="S17" i="8"/>
  <c r="S39" i="9"/>
  <c r="S3" i="8"/>
  <c r="S40" i="9"/>
  <c r="S27" i="8"/>
  <c r="S5" i="8"/>
  <c r="S7" i="8"/>
  <c r="S9" i="8"/>
  <c r="S12" i="8"/>
  <c r="S37" i="9"/>
  <c r="S32" i="8"/>
  <c r="S20" i="8"/>
  <c r="S15" i="8"/>
  <c r="S38" i="9"/>
  <c r="S11" i="8"/>
  <c r="S21" i="8"/>
  <c r="S37" i="8"/>
  <c r="S22" i="8"/>
  <c r="S30" i="8"/>
  <c r="S10" i="8"/>
  <c r="S38" i="8"/>
  <c r="S29" i="8"/>
  <c r="S18" i="8"/>
  <c r="S32" i="9"/>
  <c r="S16" i="8"/>
  <c r="S39" i="8"/>
  <c r="S36" i="8"/>
  <c r="S34" i="8"/>
  <c r="S23" i="8"/>
  <c r="S31" i="9"/>
  <c r="S24" i="8"/>
  <c r="T23" i="8"/>
  <c r="T23" i="9"/>
  <c r="T16" i="8"/>
  <c r="T40" i="8"/>
  <c r="T17" i="8"/>
  <c r="T35" i="8"/>
  <c r="T24" i="9"/>
  <c r="T34" i="8"/>
  <c r="T7" i="8"/>
  <c r="T25" i="8"/>
  <c r="T25" i="9"/>
  <c r="T21" i="8"/>
  <c r="T33" i="8"/>
  <c r="T30" i="9"/>
  <c r="T27" i="8"/>
  <c r="T31" i="9"/>
  <c r="T19" i="8"/>
  <c r="T36" i="8"/>
  <c r="T32" i="8"/>
  <c r="T32" i="9"/>
  <c r="T37" i="9"/>
  <c r="T10" i="8"/>
  <c r="T38" i="9"/>
  <c r="T22" i="8"/>
  <c r="T39" i="8"/>
  <c r="T31" i="8"/>
  <c r="T39" i="9"/>
  <c r="T11" i="8"/>
  <c r="T30" i="8"/>
  <c r="T8" i="8"/>
  <c r="T13" i="8"/>
  <c r="T24" i="8"/>
  <c r="T40" i="9"/>
  <c r="T2" i="8"/>
  <c r="T26" i="8"/>
  <c r="T3" i="8"/>
  <c r="T18" i="8"/>
  <c r="T4" i="8"/>
  <c r="T29" i="8"/>
  <c r="T20" i="8"/>
  <c r="T5" i="8"/>
  <c r="T38" i="8"/>
  <c r="T15" i="8"/>
  <c r="T6" i="8"/>
  <c r="T12" i="8"/>
  <c r="T28" i="8"/>
  <c r="T22" i="9"/>
  <c r="T37" i="8"/>
  <c r="T9" i="8"/>
  <c r="U24" i="8"/>
  <c r="U39" i="9"/>
  <c r="U21" i="8"/>
  <c r="U38" i="9"/>
  <c r="U37" i="9"/>
  <c r="U7" i="8"/>
  <c r="U31" i="8"/>
  <c r="U32" i="9"/>
  <c r="U18" i="8"/>
  <c r="U32" i="8"/>
  <c r="U12" i="8"/>
  <c r="U9" i="8"/>
  <c r="U27" i="8"/>
  <c r="U31" i="9"/>
  <c r="U35" i="8"/>
  <c r="U30" i="9"/>
  <c r="U29" i="8"/>
  <c r="U6" i="8"/>
  <c r="U17" i="8"/>
  <c r="U25" i="8"/>
  <c r="U20" i="8"/>
  <c r="U25" i="9"/>
  <c r="U4" i="8"/>
  <c r="U28" i="8"/>
  <c r="U3" i="8"/>
  <c r="U36" i="8"/>
  <c r="U33" i="8"/>
  <c r="U11" i="8"/>
  <c r="U24" i="9"/>
  <c r="U37" i="8"/>
  <c r="U8" i="8"/>
  <c r="U34" i="8"/>
  <c r="U23" i="9"/>
  <c r="U38" i="8"/>
  <c r="U10" i="8"/>
  <c r="U16" i="8"/>
  <c r="U5" i="8"/>
  <c r="U22" i="9"/>
  <c r="U19" i="8"/>
  <c r="U39" i="8"/>
  <c r="U26" i="8"/>
  <c r="U40" i="9"/>
  <c r="U40" i="8"/>
  <c r="U30" i="8"/>
  <c r="U22" i="8"/>
  <c r="U23" i="8"/>
  <c r="V23" i="8"/>
  <c r="V24" i="8"/>
  <c r="V26" i="8"/>
  <c r="V27" i="8"/>
  <c r="V12" i="8"/>
  <c r="V28" i="8"/>
  <c r="V29" i="8"/>
  <c r="V30" i="8"/>
  <c r="V25" i="8"/>
  <c r="V31" i="8"/>
  <c r="V32" i="8"/>
  <c r="V33" i="8"/>
  <c r="V11" i="8"/>
  <c r="V34" i="8"/>
  <c r="V35" i="8"/>
  <c r="V23" i="9"/>
  <c r="V24" i="9"/>
  <c r="V25" i="9"/>
  <c r="V31" i="9"/>
  <c r="V32" i="9"/>
  <c r="V38" i="9"/>
  <c r="V36" i="8"/>
  <c r="V39" i="9"/>
  <c r="V40" i="9"/>
  <c r="V3" i="8"/>
  <c r="V4" i="8"/>
  <c r="V5" i="8"/>
  <c r="V6" i="8"/>
  <c r="V7" i="8"/>
  <c r="V8" i="8"/>
  <c r="V9" i="8"/>
  <c r="V10" i="8"/>
  <c r="V18" i="8"/>
  <c r="V19" i="8"/>
  <c r="V16" i="8"/>
  <c r="V20" i="8"/>
  <c r="V21" i="8"/>
  <c r="V22" i="8"/>
  <c r="V17" i="8"/>
  <c r="V37" i="8"/>
  <c r="V38" i="8"/>
  <c r="V39" i="8"/>
  <c r="V40" i="8"/>
  <c r="W23" i="8"/>
  <c r="W21" i="8"/>
  <c r="W7" i="8"/>
  <c r="W22" i="8"/>
  <c r="W23" i="9"/>
  <c r="W3" i="8"/>
  <c r="W32" i="8"/>
  <c r="W39" i="8"/>
  <c r="W34" i="8"/>
  <c r="W12" i="8"/>
  <c r="W4" i="8"/>
  <c r="W40" i="8"/>
  <c r="W20" i="8"/>
  <c r="W40" i="9"/>
  <c r="W30" i="8"/>
  <c r="W24" i="9"/>
  <c r="W27" i="8"/>
  <c r="W31" i="9"/>
  <c r="W38" i="8"/>
  <c r="W16" i="8"/>
  <c r="W33" i="8"/>
  <c r="W35" i="8"/>
  <c r="W36" i="8"/>
  <c r="W6" i="8"/>
  <c r="W37" i="8"/>
  <c r="W17" i="8"/>
  <c r="W25" i="9"/>
  <c r="W5" i="8"/>
  <c r="W8" i="8"/>
  <c r="W39" i="9"/>
  <c r="W10" i="8"/>
  <c r="W18" i="8"/>
  <c r="W38" i="9"/>
  <c r="W31" i="8"/>
  <c r="W26" i="8"/>
  <c r="W11" i="8"/>
  <c r="W29" i="8"/>
  <c r="W24" i="8"/>
  <c r="W19" i="8"/>
  <c r="W25" i="8"/>
  <c r="W9" i="8"/>
  <c r="W28" i="8"/>
  <c r="W32" i="9"/>
  <c r="X37" i="8"/>
  <c r="X10" i="8"/>
  <c r="X21" i="8"/>
  <c r="X11" i="8"/>
  <c r="X25" i="8"/>
  <c r="X32" i="8"/>
  <c r="X31" i="9"/>
  <c r="X29" i="8"/>
  <c r="X20" i="8"/>
  <c r="X17" i="8"/>
  <c r="X38" i="8"/>
  <c r="X9" i="8"/>
  <c r="X32" i="9"/>
  <c r="X26" i="8"/>
  <c r="X16" i="8"/>
  <c r="X31" i="8"/>
  <c r="X39" i="8"/>
  <c r="X38" i="9"/>
  <c r="X12" i="8"/>
  <c r="X8" i="8"/>
  <c r="X39" i="9"/>
  <c r="X27" i="8"/>
  <c r="X35" i="8"/>
  <c r="X30" i="8"/>
  <c r="X5" i="8"/>
  <c r="X40" i="9"/>
  <c r="X7" i="8"/>
  <c r="X19" i="8"/>
  <c r="X3" i="8"/>
  <c r="X6" i="8"/>
  <c r="X36" i="8"/>
  <c r="X23" i="8"/>
  <c r="X23" i="9"/>
  <c r="X34" i="8"/>
  <c r="X4" i="8"/>
  <c r="X22" i="8"/>
  <c r="X24" i="9"/>
  <c r="X18" i="8"/>
  <c r="X24" i="8"/>
  <c r="X33" i="8"/>
  <c r="X25" i="9"/>
  <c r="X28" i="8"/>
  <c r="Y39" i="8"/>
  <c r="Y21" i="8"/>
  <c r="Y26" i="8"/>
  <c r="Y28" i="8"/>
  <c r="Y31" i="8"/>
  <c r="Y20" i="8"/>
  <c r="Y22" i="8"/>
  <c r="Y10" i="8"/>
  <c r="Y38" i="8"/>
  <c r="Y37" i="8"/>
  <c r="Y31" i="9"/>
  <c r="Y24" i="9"/>
  <c r="Y9" i="8"/>
  <c r="Y36" i="8"/>
  <c r="Y11" i="8"/>
  <c r="Y17" i="8"/>
  <c r="Y24" i="8"/>
  <c r="Y19" i="8"/>
  <c r="Y16" i="8"/>
  <c r="Y38" i="9"/>
  <c r="Y12" i="8"/>
  <c r="Y25" i="8"/>
  <c r="Y18" i="8"/>
  <c r="Y8" i="8"/>
  <c r="Y39" i="9"/>
  <c r="Y32" i="9"/>
  <c r="Y33" i="8"/>
  <c r="Y27" i="8"/>
  <c r="Y29" i="8"/>
  <c r="Y30" i="8"/>
  <c r="Y23" i="9"/>
  <c r="Y32" i="8"/>
  <c r="Y40" i="9"/>
  <c r="Y23" i="8"/>
  <c r="Y7" i="8"/>
  <c r="Y35" i="8"/>
  <c r="Y4" i="8"/>
  <c r="Y3" i="8"/>
  <c r="Y5" i="8"/>
  <c r="Y6" i="8"/>
  <c r="Y25" i="9"/>
  <c r="Y34" i="8"/>
  <c r="Z39" i="8"/>
  <c r="Z38" i="9"/>
  <c r="Z12" i="8"/>
  <c r="Z20" i="8"/>
  <c r="Z38" i="8"/>
  <c r="Z21" i="8"/>
  <c r="Z28" i="8"/>
  <c r="Z25" i="8"/>
  <c r="Z18" i="8"/>
  <c r="Z22" i="8"/>
  <c r="Z36" i="8"/>
  <c r="Z39" i="9"/>
  <c r="Z17" i="8"/>
  <c r="Z35" i="8"/>
  <c r="Z30" i="8"/>
  <c r="Z34" i="8"/>
  <c r="Z19" i="8"/>
  <c r="Z16" i="8"/>
  <c r="Z27" i="8"/>
  <c r="Z37" i="8"/>
  <c r="Z31" i="9"/>
  <c r="Z32" i="8"/>
  <c r="Z23" i="9"/>
  <c r="Z24" i="8"/>
  <c r="Z11" i="8"/>
  <c r="Z32" i="9"/>
  <c r="Z23" i="8"/>
  <c r="Z31" i="8"/>
  <c r="Z33" i="8"/>
  <c r="Z7" i="8"/>
  <c r="Z25" i="9"/>
  <c r="Z8" i="8"/>
  <c r="Z9" i="8"/>
  <c r="Z26" i="8"/>
  <c r="Z4" i="8"/>
  <c r="Z6" i="8"/>
  <c r="Z29" i="8"/>
  <c r="Z24" i="9"/>
  <c r="Z10" i="8"/>
  <c r="Z3" i="8"/>
  <c r="Z5" i="8"/>
  <c r="AA20" i="8"/>
  <c r="AA39" i="8"/>
  <c r="AA19" i="8"/>
  <c r="AA16" i="8"/>
  <c r="AA23" i="8"/>
  <c r="AA18" i="8"/>
  <c r="AA24" i="8"/>
  <c r="AA10" i="8"/>
  <c r="AA17" i="8"/>
  <c r="AA25" i="8"/>
  <c r="AA12" i="8"/>
  <c r="AA8" i="8"/>
  <c r="AA26" i="8"/>
  <c r="AA7" i="8"/>
  <c r="AA27" i="8"/>
  <c r="AA6" i="8"/>
  <c r="AA28" i="8"/>
  <c r="AA5" i="8"/>
  <c r="AA9" i="8"/>
  <c r="AA4" i="8"/>
  <c r="AA34" i="8"/>
  <c r="AA29" i="8"/>
  <c r="AA39" i="9"/>
  <c r="AA30" i="8"/>
  <c r="AA31" i="8"/>
  <c r="AA11" i="8"/>
  <c r="AA32" i="9"/>
  <c r="AA31" i="9"/>
  <c r="AA22" i="8"/>
  <c r="AA32" i="8"/>
  <c r="AA25" i="9"/>
  <c r="AA33" i="8"/>
  <c r="AA24" i="9"/>
  <c r="AA23" i="9"/>
  <c r="AA35" i="8"/>
  <c r="AA37" i="8"/>
  <c r="AA21" i="8"/>
  <c r="AA38" i="8"/>
  <c r="AA36" i="8"/>
  <c r="AB31" i="8"/>
  <c r="AB10" i="8"/>
  <c r="AB38" i="8"/>
  <c r="AB36" i="8"/>
  <c r="AB39" i="9"/>
  <c r="AB5" i="8"/>
  <c r="AB34" i="8"/>
  <c r="AB6" i="8"/>
  <c r="AB28" i="8"/>
  <c r="AB27" i="8"/>
  <c r="AB22" i="8"/>
  <c r="AB9" i="8"/>
  <c r="AB30" i="8"/>
  <c r="AB11" i="8"/>
  <c r="AB24" i="8"/>
  <c r="AB16" i="8"/>
  <c r="AB21" i="8"/>
  <c r="AB33" i="8"/>
  <c r="AB7" i="8"/>
  <c r="AB25" i="9"/>
  <c r="AB17" i="8"/>
  <c r="AB29" i="8"/>
  <c r="AB12" i="8"/>
  <c r="AB32" i="8"/>
  <c r="AB35" i="8"/>
  <c r="AB19" i="8"/>
  <c r="AB23" i="8"/>
  <c r="AB37" i="8"/>
  <c r="AB18" i="8"/>
  <c r="AB32" i="9"/>
  <c r="AB39" i="8"/>
  <c r="AB24" i="9"/>
  <c r="AB26" i="8"/>
  <c r="AB25" i="8"/>
  <c r="AB8" i="8"/>
  <c r="AB20" i="8"/>
  <c r="C20" i="8"/>
  <c r="C22" i="8"/>
  <c r="C9" i="8"/>
  <c r="C39" i="8"/>
  <c r="C28" i="8"/>
  <c r="C13" i="8"/>
  <c r="C6" i="8"/>
  <c r="C7" i="8"/>
  <c r="C31" i="8"/>
  <c r="C38" i="8"/>
  <c r="C21" i="8"/>
  <c r="C26" i="8"/>
  <c r="C30" i="8"/>
  <c r="C23" i="8"/>
  <c r="C8" i="8"/>
  <c r="C33" i="8"/>
  <c r="C18" i="8"/>
  <c r="C10" i="8"/>
  <c r="C26" i="9"/>
  <c r="C25" i="8"/>
  <c r="C37" i="8"/>
  <c r="C27" i="8"/>
  <c r="C34" i="8"/>
  <c r="C11" i="8"/>
  <c r="C19" i="8"/>
  <c r="C35" i="8"/>
  <c r="C24" i="8"/>
  <c r="C32" i="8"/>
  <c r="C29" i="8"/>
  <c r="C36" i="8"/>
  <c r="C40" i="8"/>
  <c r="C12" i="8"/>
  <c r="D18" i="8"/>
  <c r="D10" i="8"/>
  <c r="D36" i="8"/>
  <c r="D28" i="8"/>
  <c r="D38" i="8"/>
  <c r="D30" i="8"/>
  <c r="D31" i="8"/>
  <c r="D25" i="8"/>
  <c r="D24" i="8"/>
  <c r="D29" i="8"/>
  <c r="D8" i="8"/>
  <c r="D34" i="8"/>
  <c r="D35" i="8"/>
  <c r="D20" i="8"/>
  <c r="D27" i="8"/>
  <c r="D21" i="8"/>
  <c r="D26" i="8"/>
  <c r="D40" i="8"/>
  <c r="D33" i="8"/>
  <c r="D37" i="8"/>
  <c r="D32" i="8"/>
  <c r="D22" i="8"/>
  <c r="D12" i="8"/>
  <c r="D23" i="8"/>
  <c r="D19" i="8"/>
  <c r="D9" i="8"/>
  <c r="D11" i="8"/>
  <c r="D39" i="8"/>
  <c r="D13" i="8"/>
  <c r="E23" i="8"/>
  <c r="E28" i="8"/>
  <c r="E39" i="8"/>
  <c r="E38" i="8"/>
  <c r="E31" i="8"/>
  <c r="E25" i="8"/>
  <c r="E12" i="8"/>
  <c r="E21" i="8"/>
  <c r="E27" i="8"/>
  <c r="E32" i="8"/>
  <c r="E29" i="8"/>
  <c r="E18" i="8"/>
  <c r="E26" i="8"/>
  <c r="E24" i="8"/>
  <c r="E30" i="8"/>
  <c r="E35" i="8"/>
  <c r="E19" i="8"/>
  <c r="E34" i="8"/>
  <c r="E36" i="8"/>
  <c r="E13" i="8"/>
  <c r="E40" i="8"/>
  <c r="E22" i="8"/>
  <c r="E20" i="8"/>
  <c r="E11" i="8"/>
  <c r="E33" i="8"/>
  <c r="E37" i="8"/>
  <c r="F28" i="8"/>
  <c r="F39" i="8"/>
  <c r="F36" i="8"/>
  <c r="F31" i="8"/>
  <c r="F27" i="8"/>
  <c r="F38" i="8"/>
  <c r="F40" i="8"/>
  <c r="F34" i="8"/>
  <c r="F29" i="8"/>
  <c r="F37" i="8"/>
  <c r="F23" i="8"/>
  <c r="F30" i="8"/>
  <c r="F19" i="8"/>
  <c r="F24" i="8"/>
  <c r="F21" i="8"/>
  <c r="F22" i="8"/>
  <c r="F20" i="8"/>
  <c r="F25" i="8"/>
  <c r="F26" i="8"/>
  <c r="F33" i="8"/>
  <c r="F35" i="8"/>
  <c r="F32" i="8"/>
  <c r="B28" i="8"/>
  <c r="B31" i="8"/>
  <c r="B24" i="8"/>
  <c r="B29" i="8"/>
  <c r="B38" i="8"/>
  <c r="B35" i="8"/>
  <c r="B25" i="8"/>
  <c r="B22" i="8"/>
  <c r="B21" i="8"/>
  <c r="B30" i="8"/>
  <c r="B39" i="8"/>
  <c r="B23" i="8"/>
  <c r="B36" i="8"/>
  <c r="B27" i="8"/>
  <c r="B26" i="8"/>
  <c r="B32" i="8"/>
  <c r="B37" i="8"/>
  <c r="B40" i="8"/>
  <c r="B34" i="8"/>
  <c r="B33" i="8"/>
  <c r="F9" i="7"/>
  <c r="F18" i="7"/>
  <c r="F24" i="7"/>
  <c r="H13" i="9"/>
  <c r="F6" i="7"/>
  <c r="F15" i="7"/>
  <c r="F21" i="7"/>
  <c r="F5" i="7"/>
  <c r="F14" i="7"/>
  <c r="F20" i="7"/>
  <c r="F28" i="7"/>
  <c r="F10" i="7"/>
  <c r="F19" i="7"/>
  <c r="F25" i="7"/>
  <c r="F13" i="7"/>
  <c r="L14" i="9"/>
  <c r="N15" i="9"/>
  <c r="P16" i="9"/>
  <c r="R17" i="9"/>
  <c r="S17" i="9"/>
  <c r="V18" i="9"/>
  <c r="AB19" i="9"/>
  <c r="C21" i="9"/>
  <c r="D22" i="9"/>
  <c r="F23" i="9"/>
  <c r="F8" i="7"/>
  <c r="F17" i="7"/>
  <c r="F23" i="7"/>
  <c r="B18" i="11"/>
  <c r="C18" i="11" s="1"/>
  <c r="F11" i="7"/>
  <c r="F26" i="7"/>
  <c r="F12" i="7"/>
  <c r="F27" i="7"/>
  <c r="F7" i="7"/>
  <c r="F16" i="7"/>
  <c r="F22" i="7"/>
  <c r="F2" i="7"/>
  <c r="F32" i="7" s="1"/>
  <c r="G35" i="8"/>
  <c r="G22" i="8"/>
  <c r="G23" i="8"/>
  <c r="G31" i="8"/>
  <c r="G20" i="8"/>
  <c r="G37" i="8"/>
  <c r="G30" i="8"/>
  <c r="G28" i="8"/>
  <c r="G26" i="8"/>
  <c r="G21" i="8"/>
  <c r="G27" i="8"/>
  <c r="G40" i="8"/>
  <c r="G36" i="8"/>
  <c r="G34" i="8"/>
  <c r="G29" i="8"/>
  <c r="G24" i="8"/>
  <c r="G32" i="8"/>
  <c r="G25" i="8"/>
  <c r="G33" i="8"/>
  <c r="G38" i="8"/>
  <c r="G39" i="8"/>
  <c r="H14" i="9"/>
  <c r="H26" i="9"/>
  <c r="H27" i="9"/>
  <c r="H15" i="9"/>
  <c r="H16" i="9"/>
  <c r="H17" i="9"/>
  <c r="H5" i="8"/>
  <c r="H24" i="9"/>
  <c r="H38" i="9"/>
  <c r="H22" i="8"/>
  <c r="H31" i="9"/>
  <c r="H21" i="9"/>
  <c r="H11" i="8"/>
  <c r="H29" i="9"/>
  <c r="H6" i="8"/>
  <c r="H25" i="9"/>
  <c r="H21" i="8"/>
  <c r="H37" i="8"/>
  <c r="H8" i="8"/>
  <c r="H14" i="8"/>
  <c r="H32" i="9"/>
  <c r="H9" i="8"/>
  <c r="H15" i="8"/>
  <c r="H20" i="9"/>
  <c r="H16" i="8"/>
  <c r="H17" i="8"/>
  <c r="H12" i="8"/>
  <c r="H13" i="8"/>
  <c r="H18" i="8"/>
  <c r="H19" i="8"/>
  <c r="H20" i="8"/>
  <c r="H23" i="8"/>
  <c r="H24" i="8"/>
  <c r="H30" i="9"/>
  <c r="H31" i="8"/>
  <c r="H30" i="8"/>
  <c r="H32" i="8"/>
  <c r="H22" i="9"/>
  <c r="H36" i="8"/>
  <c r="H33" i="8"/>
  <c r="H34" i="8"/>
  <c r="H33" i="9"/>
  <c r="H28" i="9"/>
  <c r="H35" i="9"/>
  <c r="H39" i="9"/>
  <c r="H34" i="9"/>
  <c r="H19" i="9"/>
  <c r="H23" i="9"/>
  <c r="H29" i="8"/>
  <c r="H36" i="9"/>
  <c r="H41" i="9"/>
  <c r="H10" i="8"/>
  <c r="H35" i="8"/>
  <c r="H37" i="9"/>
  <c r="H38" i="8"/>
  <c r="H42" i="9"/>
  <c r="H39" i="8"/>
  <c r="H40" i="8"/>
  <c r="H18" i="9"/>
  <c r="H43" i="9"/>
  <c r="H2" i="8"/>
  <c r="H3" i="8"/>
  <c r="H25" i="8"/>
  <c r="H26" i="8"/>
  <c r="H4" i="8"/>
  <c r="H28" i="8"/>
  <c r="H7" i="8"/>
  <c r="H40" i="9"/>
  <c r="H27" i="8"/>
  <c r="I26" i="9"/>
  <c r="I14" i="9"/>
  <c r="I40" i="8"/>
  <c r="I23" i="9"/>
  <c r="I15" i="9"/>
  <c r="I30" i="9"/>
  <c r="I16" i="9"/>
  <c r="I31" i="9"/>
  <c r="I32" i="9"/>
  <c r="I17" i="9"/>
  <c r="I33" i="9"/>
  <c r="I6" i="8"/>
  <c r="I7" i="8"/>
  <c r="I24" i="9"/>
  <c r="I18" i="9"/>
  <c r="I11" i="8"/>
  <c r="I12" i="8"/>
  <c r="I24" i="8"/>
  <c r="I27" i="8"/>
  <c r="I31" i="8"/>
  <c r="I32" i="8"/>
  <c r="I25" i="9"/>
  <c r="I34" i="9"/>
  <c r="I19" i="9"/>
  <c r="I35" i="9"/>
  <c r="I36" i="9"/>
  <c r="I4" i="8"/>
  <c r="I28" i="9"/>
  <c r="I37" i="9"/>
  <c r="I10" i="8"/>
  <c r="I38" i="9"/>
  <c r="I34" i="8"/>
  <c r="I39" i="9"/>
  <c r="I40" i="9"/>
  <c r="I8" i="8"/>
  <c r="I18" i="8"/>
  <c r="I20" i="9"/>
  <c r="I20" i="8"/>
  <c r="I21" i="8"/>
  <c r="I29" i="8"/>
  <c r="I30" i="8"/>
  <c r="I33" i="8"/>
  <c r="I41" i="9"/>
  <c r="I42" i="9"/>
  <c r="I43" i="9"/>
  <c r="I2" i="8"/>
  <c r="I3" i="8"/>
  <c r="I5" i="8"/>
  <c r="I21" i="9"/>
  <c r="I9" i="8"/>
  <c r="I13" i="8"/>
  <c r="I29" i="9"/>
  <c r="I19" i="8"/>
  <c r="I23" i="8"/>
  <c r="I25" i="8"/>
  <c r="I26" i="8"/>
  <c r="I28" i="8"/>
  <c r="I14" i="8"/>
  <c r="I15" i="8"/>
  <c r="I22" i="9"/>
  <c r="I16" i="8"/>
  <c r="I17" i="8"/>
  <c r="I35" i="8"/>
  <c r="I36" i="8"/>
  <c r="I27" i="9"/>
  <c r="I37" i="8"/>
  <c r="I22" i="8"/>
  <c r="I39" i="8"/>
  <c r="I38" i="8"/>
  <c r="J14" i="9"/>
  <c r="J26" i="9"/>
  <c r="K14" i="9"/>
  <c r="K26" i="9"/>
  <c r="N17" i="9"/>
  <c r="N34" i="9"/>
  <c r="O16" i="9"/>
  <c r="O17" i="9"/>
  <c r="O18" i="9"/>
  <c r="O41" i="9"/>
  <c r="O34" i="9"/>
  <c r="O33" i="9"/>
  <c r="O27" i="9"/>
  <c r="O26" i="9"/>
  <c r="P33" i="9"/>
  <c r="P26" i="9"/>
  <c r="P17" i="9"/>
  <c r="P27" i="9"/>
  <c r="P18" i="9"/>
  <c r="P34" i="9"/>
  <c r="P41" i="9"/>
  <c r="Q33" i="9"/>
  <c r="Q26" i="9"/>
  <c r="Q17" i="9"/>
  <c r="Q18" i="9"/>
  <c r="Q27" i="9"/>
  <c r="Q41" i="9"/>
  <c r="Q42" i="9"/>
  <c r="Q34" i="9"/>
  <c r="Q28" i="9"/>
  <c r="Q35" i="9"/>
  <c r="Q14" i="8"/>
  <c r="Q19" i="9"/>
  <c r="R18" i="9"/>
  <c r="R41" i="9"/>
  <c r="R34" i="9"/>
  <c r="R42" i="9"/>
  <c r="R27" i="9"/>
  <c r="R28" i="9"/>
  <c r="R26" i="9"/>
  <c r="R19" i="9"/>
  <c r="R35" i="9"/>
  <c r="R14" i="8"/>
  <c r="S36" i="9"/>
  <c r="S26" i="9"/>
  <c r="S42" i="9"/>
  <c r="S14" i="8"/>
  <c r="S28" i="9"/>
  <c r="S43" i="9"/>
  <c r="S18" i="9"/>
  <c r="S34" i="9"/>
  <c r="S19" i="9"/>
  <c r="S35" i="9"/>
  <c r="S27" i="9"/>
  <c r="S20" i="9"/>
  <c r="S41" i="9"/>
  <c r="T20" i="9"/>
  <c r="T41" i="9"/>
  <c r="T29" i="9"/>
  <c r="T43" i="9"/>
  <c r="T42" i="9"/>
  <c r="T26" i="9"/>
  <c r="T34" i="9"/>
  <c r="T27" i="9"/>
  <c r="T28" i="9"/>
  <c r="T19" i="9"/>
  <c r="T14" i="8"/>
  <c r="T18" i="9"/>
  <c r="T35" i="9"/>
  <c r="T36" i="9"/>
  <c r="U29" i="9"/>
  <c r="U42" i="9"/>
  <c r="U27" i="9"/>
  <c r="U19" i="9"/>
  <c r="U18" i="9"/>
  <c r="U36" i="9"/>
  <c r="U35" i="9"/>
  <c r="U14" i="8"/>
  <c r="U26" i="9"/>
  <c r="U34" i="9"/>
  <c r="U43" i="9"/>
  <c r="U28" i="9"/>
  <c r="U21" i="9"/>
  <c r="U41" i="9"/>
  <c r="U33" i="9"/>
  <c r="U20" i="9"/>
  <c r="V19" i="9"/>
  <c r="V42" i="9"/>
  <c r="V41" i="9"/>
  <c r="V14" i="8"/>
  <c r="V33" i="9"/>
  <c r="V26" i="9"/>
  <c r="V20" i="9"/>
  <c r="V27" i="9"/>
  <c r="V28" i="9"/>
  <c r="V34" i="9"/>
  <c r="V29" i="9"/>
  <c r="V2" i="8"/>
  <c r="V21" i="9"/>
  <c r="V36" i="9"/>
  <c r="V43" i="9"/>
  <c r="V35" i="9"/>
  <c r="W19" i="9"/>
  <c r="W43" i="9"/>
  <c r="W30" i="9"/>
  <c r="W29" i="9"/>
  <c r="W28" i="9"/>
  <c r="W20" i="9"/>
  <c r="W2" i="8"/>
  <c r="W37" i="9"/>
  <c r="W27" i="9"/>
  <c r="W41" i="9"/>
  <c r="W21" i="9"/>
  <c r="W14" i="8"/>
  <c r="W13" i="8"/>
  <c r="W42" i="9"/>
  <c r="W33" i="9"/>
  <c r="W35" i="9"/>
  <c r="W36" i="9"/>
  <c r="W22" i="9"/>
  <c r="W26" i="9"/>
  <c r="W34" i="9"/>
  <c r="W15" i="8"/>
  <c r="X19" i="9"/>
  <c r="X13" i="8"/>
  <c r="X43" i="9"/>
  <c r="X42" i="9"/>
  <c r="X20" i="9"/>
  <c r="X41" i="9"/>
  <c r="X21" i="9"/>
  <c r="X36" i="9"/>
  <c r="X28" i="9"/>
  <c r="X2" i="8"/>
  <c r="X26" i="9"/>
  <c r="X22" i="9"/>
  <c r="X34" i="9"/>
  <c r="X33" i="9"/>
  <c r="X27" i="9"/>
  <c r="X30" i="9"/>
  <c r="X35" i="9"/>
  <c r="X14" i="8"/>
  <c r="X37" i="9"/>
  <c r="X15" i="8"/>
  <c r="X29" i="9"/>
  <c r="Y19" i="9"/>
  <c r="Y34" i="9"/>
  <c r="Y41" i="9"/>
  <c r="Y21" i="9"/>
  <c r="Y35" i="9"/>
  <c r="Y20" i="9"/>
  <c r="Y22" i="9"/>
  <c r="Y27" i="9"/>
  <c r="Y30" i="9"/>
  <c r="Y13" i="8"/>
  <c r="Y33" i="9"/>
  <c r="Y37" i="9"/>
  <c r="Y43" i="9"/>
  <c r="Y14" i="8"/>
  <c r="Y29" i="9"/>
  <c r="Y42" i="9"/>
  <c r="Y2" i="8"/>
  <c r="Y28" i="9"/>
  <c r="Y15" i="8"/>
  <c r="Y26" i="9"/>
  <c r="Y36" i="9"/>
  <c r="Z19" i="9"/>
  <c r="Z36" i="9"/>
  <c r="Z20" i="9"/>
  <c r="Z34" i="9"/>
  <c r="Z21" i="9"/>
  <c r="Z33" i="9"/>
  <c r="Z26" i="9"/>
  <c r="Z13" i="8"/>
  <c r="Z30" i="9"/>
  <c r="Z41" i="9"/>
  <c r="Z37" i="9"/>
  <c r="Z2" i="8"/>
  <c r="Z43" i="9"/>
  <c r="Z28" i="9"/>
  <c r="Z35" i="9"/>
  <c r="Z42" i="9"/>
  <c r="Z22" i="9"/>
  <c r="Z27" i="9"/>
  <c r="Z29" i="9"/>
  <c r="Z14" i="8"/>
  <c r="Z15" i="8"/>
  <c r="AA19" i="9"/>
  <c r="AA20" i="9"/>
  <c r="AA34" i="9"/>
  <c r="AA21" i="9"/>
  <c r="AA33" i="9"/>
  <c r="AA22" i="9"/>
  <c r="AA42" i="9"/>
  <c r="AA29" i="9"/>
  <c r="AA37" i="9"/>
  <c r="AA28" i="9"/>
  <c r="AA30" i="9"/>
  <c r="AA13" i="8"/>
  <c r="AA43" i="9"/>
  <c r="AA26" i="9"/>
  <c r="AA15" i="8"/>
  <c r="AA40" i="9"/>
  <c r="AA35" i="9"/>
  <c r="AA41" i="9"/>
  <c r="AA2" i="8"/>
  <c r="AA36" i="9"/>
  <c r="AA27" i="9"/>
  <c r="AA14" i="8"/>
  <c r="AB20" i="9"/>
  <c r="AB21" i="9"/>
  <c r="AB30" i="9"/>
  <c r="AB35" i="9"/>
  <c r="AB36" i="9"/>
  <c r="AB22" i="9"/>
  <c r="AB26" i="9"/>
  <c r="AB3" i="8"/>
  <c r="AB42" i="9"/>
  <c r="AB14" i="8"/>
  <c r="AB43" i="9"/>
  <c r="AB27" i="9"/>
  <c r="AB15" i="8"/>
  <c r="AB40" i="9"/>
  <c r="AB28" i="9"/>
  <c r="AB38" i="9"/>
  <c r="AB37" i="9"/>
  <c r="AB34" i="9"/>
  <c r="AB33" i="9"/>
  <c r="AB2" i="8"/>
  <c r="AB29" i="9"/>
  <c r="AB41" i="9"/>
  <c r="AB13" i="8"/>
  <c r="C22" i="9"/>
  <c r="C14" i="8"/>
  <c r="C42" i="9"/>
  <c r="C37" i="9"/>
  <c r="C34" i="9"/>
  <c r="C29" i="9"/>
  <c r="C3" i="8"/>
  <c r="C15" i="8"/>
  <c r="C28" i="9"/>
  <c r="C41" i="9"/>
  <c r="C38" i="9"/>
  <c r="C30" i="9"/>
  <c r="C43" i="9"/>
  <c r="C24" i="9"/>
  <c r="C36" i="9"/>
  <c r="C35" i="9"/>
  <c r="C32" i="9"/>
  <c r="C31" i="9"/>
  <c r="C39" i="9"/>
  <c r="C27" i="9"/>
  <c r="C4" i="8"/>
  <c r="C23" i="9"/>
  <c r="C2" i="8"/>
  <c r="C16" i="8"/>
  <c r="D25" i="9"/>
  <c r="D26" i="9"/>
  <c r="D27" i="9"/>
  <c r="D28" i="9"/>
  <c r="D29" i="9"/>
  <c r="D30" i="9"/>
  <c r="D16" i="8"/>
  <c r="D40" i="9"/>
  <c r="D36" i="9"/>
  <c r="D41" i="9"/>
  <c r="D42" i="9"/>
  <c r="D17" i="8"/>
  <c r="D37" i="9"/>
  <c r="D43" i="9"/>
  <c r="D2" i="8"/>
  <c r="D33" i="9"/>
  <c r="D3" i="8"/>
  <c r="D32" i="9"/>
  <c r="D4" i="8"/>
  <c r="D5" i="8"/>
  <c r="D31" i="9"/>
  <c r="D15" i="8"/>
  <c r="D39" i="9"/>
  <c r="D38" i="9"/>
  <c r="D35" i="9"/>
  <c r="D23" i="9"/>
  <c r="D34" i="9"/>
  <c r="D14" i="8"/>
  <c r="D24" i="9"/>
  <c r="E3" i="8"/>
  <c r="E35" i="9"/>
  <c r="E38" i="9"/>
  <c r="E43" i="9"/>
  <c r="E16" i="8"/>
  <c r="E17" i="8"/>
  <c r="E6" i="8"/>
  <c r="E37" i="9"/>
  <c r="E5" i="8"/>
  <c r="E15" i="8"/>
  <c r="E27" i="9"/>
  <c r="E30" i="9"/>
  <c r="E42" i="9"/>
  <c r="E28" i="9"/>
  <c r="E29" i="9"/>
  <c r="E25" i="9"/>
  <c r="E39" i="9"/>
  <c r="E2" i="8"/>
  <c r="E32" i="9"/>
  <c r="E24" i="9"/>
  <c r="E4" i="8"/>
  <c r="E41" i="9"/>
  <c r="E23" i="9"/>
  <c r="E14" i="8"/>
  <c r="E33" i="9"/>
  <c r="E40" i="9"/>
  <c r="E34" i="9"/>
  <c r="E36" i="9"/>
  <c r="E7" i="8"/>
  <c r="E31" i="9"/>
  <c r="F38" i="9"/>
  <c r="F5" i="8"/>
  <c r="F8" i="8"/>
  <c r="F27" i="9"/>
  <c r="F40" i="9"/>
  <c r="F25" i="9"/>
  <c r="F4" i="8"/>
  <c r="F3" i="8"/>
  <c r="F24" i="9"/>
  <c r="F14" i="8"/>
  <c r="F34" i="9"/>
  <c r="F36" i="9"/>
  <c r="F39" i="9"/>
  <c r="F6" i="8"/>
  <c r="F16" i="8"/>
  <c r="F29" i="9"/>
  <c r="F42" i="9"/>
  <c r="F2" i="8"/>
  <c r="F28" i="9"/>
  <c r="F35" i="9"/>
  <c r="F7" i="8"/>
  <c r="F17" i="8"/>
  <c r="F33" i="9"/>
  <c r="F37" i="9"/>
  <c r="F9" i="8"/>
  <c r="F43" i="9"/>
  <c r="F32" i="9"/>
  <c r="F15" i="8"/>
  <c r="F31" i="9"/>
  <c r="F30" i="9"/>
  <c r="F41" i="9"/>
  <c r="F10" i="8"/>
  <c r="G17" i="8"/>
  <c r="G34" i="9"/>
  <c r="G3" i="8"/>
  <c r="G28" i="9"/>
  <c r="G39" i="9"/>
  <c r="G4" i="8"/>
  <c r="G27" i="9"/>
  <c r="G5" i="8"/>
  <c r="G26" i="9"/>
  <c r="G38" i="9"/>
  <c r="G25" i="9"/>
  <c r="G13" i="8"/>
  <c r="G24" i="9"/>
  <c r="G9" i="8"/>
  <c r="G14" i="8"/>
  <c r="G6" i="8"/>
  <c r="G42" i="9"/>
  <c r="G33" i="9"/>
  <c r="G43" i="9"/>
  <c r="G36" i="9"/>
  <c r="G37" i="9"/>
  <c r="G12" i="8"/>
  <c r="G32" i="9"/>
  <c r="G11" i="8"/>
  <c r="G10" i="8"/>
  <c r="G7" i="8"/>
  <c r="G8" i="8"/>
  <c r="G31" i="9"/>
  <c r="G15" i="8"/>
  <c r="G40" i="9"/>
  <c r="G2" i="8"/>
  <c r="G30" i="9"/>
  <c r="G35" i="9"/>
  <c r="G16" i="8"/>
  <c r="G29" i="9"/>
  <c r="G41" i="9"/>
  <c r="B17" i="8"/>
  <c r="B40" i="9"/>
  <c r="B16" i="8"/>
  <c r="B39" i="9"/>
  <c r="B2" i="8"/>
  <c r="B12" i="8"/>
  <c r="B7" i="8"/>
  <c r="B8" i="8"/>
  <c r="B15" i="8"/>
  <c r="B13" i="8"/>
  <c r="B6" i="8"/>
  <c r="B43" i="9"/>
  <c r="B36" i="9"/>
  <c r="B28" i="9"/>
  <c r="B30" i="9"/>
  <c r="B4" i="8"/>
  <c r="B33" i="9"/>
  <c r="B41" i="9"/>
  <c r="B34" i="9"/>
  <c r="B18" i="8"/>
  <c r="B37" i="9"/>
  <c r="B42" i="9"/>
  <c r="B32" i="9"/>
  <c r="B14" i="8"/>
  <c r="B25" i="9"/>
  <c r="B3" i="8"/>
  <c r="B29" i="9"/>
  <c r="B26" i="9"/>
  <c r="B38" i="9"/>
  <c r="B31" i="9"/>
  <c r="B9" i="8"/>
  <c r="B5" i="8"/>
  <c r="B27" i="9"/>
  <c r="B19" i="8"/>
  <c r="B11" i="8"/>
  <c r="B10" i="8"/>
  <c r="B35" i="9"/>
  <c r="B20" i="8"/>
  <c r="H9" i="9"/>
  <c r="H10" i="9"/>
  <c r="H6" i="9"/>
  <c r="H5" i="9"/>
  <c r="H11" i="9"/>
  <c r="H12" i="9"/>
  <c r="H2" i="9"/>
  <c r="H3" i="9"/>
  <c r="H41" i="8"/>
  <c r="H43" i="8"/>
  <c r="H4" i="9"/>
  <c r="H7" i="9"/>
  <c r="H8" i="9"/>
  <c r="H42" i="8"/>
  <c r="I3" i="9"/>
  <c r="I42" i="8"/>
  <c r="I13" i="9"/>
  <c r="I10" i="9"/>
  <c r="I6" i="9"/>
  <c r="I2" i="9"/>
  <c r="I43" i="8"/>
  <c r="I8" i="9"/>
  <c r="I9" i="9"/>
  <c r="I41" i="8"/>
  <c r="I5" i="9"/>
  <c r="I4" i="9"/>
  <c r="I7" i="9"/>
  <c r="I11" i="9"/>
  <c r="I12" i="9"/>
  <c r="J6" i="9"/>
  <c r="J42" i="8"/>
  <c r="J3" i="9"/>
  <c r="J8" i="9"/>
  <c r="J4" i="9"/>
  <c r="J10" i="9"/>
  <c r="J2" i="9"/>
  <c r="J11" i="9"/>
  <c r="J41" i="8"/>
  <c r="J13" i="9"/>
  <c r="J12" i="9"/>
  <c r="J5" i="9"/>
  <c r="J9" i="9"/>
  <c r="J7" i="9"/>
  <c r="J43" i="8"/>
  <c r="K13" i="9"/>
  <c r="K6" i="9"/>
  <c r="K5" i="9"/>
  <c r="K11" i="9"/>
  <c r="K12" i="9"/>
  <c r="K7" i="9"/>
  <c r="K2" i="9"/>
  <c r="K10" i="9"/>
  <c r="K43" i="8"/>
  <c r="K41" i="8"/>
  <c r="K4" i="9"/>
  <c r="K3" i="9"/>
  <c r="K8" i="9"/>
  <c r="K42" i="8"/>
  <c r="K9" i="9"/>
  <c r="L6" i="9"/>
  <c r="L43" i="8"/>
  <c r="L2" i="9"/>
  <c r="L7" i="9"/>
  <c r="L12" i="9"/>
  <c r="L4" i="9"/>
  <c r="L41" i="8"/>
  <c r="L10" i="9"/>
  <c r="L13" i="9"/>
  <c r="L3" i="9"/>
  <c r="L11" i="9"/>
  <c r="L42" i="8"/>
  <c r="L9" i="9"/>
  <c r="L8" i="9"/>
  <c r="L5" i="9"/>
  <c r="M6" i="9"/>
  <c r="M4" i="9"/>
  <c r="M12" i="9"/>
  <c r="M41" i="8"/>
  <c r="M3" i="9"/>
  <c r="M5" i="9"/>
  <c r="M13" i="9"/>
  <c r="M7" i="9"/>
  <c r="M9" i="9"/>
  <c r="M11" i="9"/>
  <c r="M42" i="8"/>
  <c r="M14" i="9"/>
  <c r="M8" i="9"/>
  <c r="M43" i="8"/>
  <c r="M2" i="9"/>
  <c r="M10" i="9"/>
  <c r="N5" i="9"/>
  <c r="N9" i="9"/>
  <c r="N12" i="9"/>
  <c r="N3" i="9"/>
  <c r="N11" i="9"/>
  <c r="N13" i="9"/>
  <c r="N8" i="9"/>
  <c r="N6" i="9"/>
  <c r="N14" i="9"/>
  <c r="N43" i="8"/>
  <c r="N4" i="9"/>
  <c r="N2" i="9"/>
  <c r="N41" i="8"/>
  <c r="N10" i="9"/>
  <c r="N7" i="9"/>
  <c r="N42" i="8"/>
  <c r="O8" i="9"/>
  <c r="O15" i="9"/>
  <c r="O3" i="9"/>
  <c r="O2" i="9"/>
  <c r="O9" i="9"/>
  <c r="O41" i="8"/>
  <c r="O14" i="9"/>
  <c r="O11" i="9"/>
  <c r="O13" i="9"/>
  <c r="O5" i="9"/>
  <c r="O10" i="9"/>
  <c r="O6" i="9"/>
  <c r="O7" i="9"/>
  <c r="O42" i="8"/>
  <c r="O12" i="9"/>
  <c r="O4" i="9"/>
  <c r="O43" i="8"/>
  <c r="P6" i="9"/>
  <c r="P12" i="9"/>
  <c r="P7" i="9"/>
  <c r="P14" i="9"/>
  <c r="P2" i="9"/>
  <c r="P13" i="9"/>
  <c r="P4" i="9"/>
  <c r="P3" i="9"/>
  <c r="P15" i="9"/>
  <c r="P11" i="9"/>
  <c r="P9" i="9"/>
  <c r="P5" i="9"/>
  <c r="P10" i="9"/>
  <c r="P8" i="9"/>
  <c r="P41" i="8"/>
  <c r="P42" i="8"/>
  <c r="P43" i="8"/>
  <c r="Q10" i="9"/>
  <c r="Q16" i="9"/>
  <c r="Q3" i="9"/>
  <c r="Q2" i="9"/>
  <c r="Q43" i="8"/>
  <c r="Q4" i="9"/>
  <c r="Q9" i="9"/>
  <c r="Q7" i="9"/>
  <c r="Q5" i="9"/>
  <c r="Q41" i="8"/>
  <c r="Q11" i="9"/>
  <c r="Q6" i="9"/>
  <c r="Q8" i="9"/>
  <c r="Q42" i="8"/>
  <c r="Q15" i="9"/>
  <c r="Q14" i="9"/>
  <c r="Q12" i="9"/>
  <c r="Q13" i="9"/>
  <c r="R43" i="8"/>
  <c r="R14" i="9"/>
  <c r="R2" i="9"/>
  <c r="R42" i="8"/>
  <c r="R11" i="9"/>
  <c r="R6" i="9"/>
  <c r="R12" i="9"/>
  <c r="R13" i="9"/>
  <c r="R4" i="9"/>
  <c r="R41" i="8"/>
  <c r="R9" i="9"/>
  <c r="R10" i="9"/>
  <c r="R15" i="9"/>
  <c r="R7" i="9"/>
  <c r="R16" i="9"/>
  <c r="R3" i="9"/>
  <c r="R5" i="9"/>
  <c r="R8" i="9"/>
  <c r="S10" i="9"/>
  <c r="S2" i="9"/>
  <c r="S41" i="8"/>
  <c r="S5" i="9"/>
  <c r="S15" i="9"/>
  <c r="S3" i="9"/>
  <c r="S7" i="9"/>
  <c r="S13" i="9"/>
  <c r="S16" i="9"/>
  <c r="S14" i="9"/>
  <c r="S43" i="8"/>
  <c r="S4" i="9"/>
  <c r="S11" i="9"/>
  <c r="S12" i="9"/>
  <c r="S8" i="9"/>
  <c r="S9" i="9"/>
  <c r="S6" i="9"/>
  <c r="S42" i="8"/>
  <c r="T8" i="9"/>
  <c r="T4" i="9"/>
  <c r="T43" i="8"/>
  <c r="T3" i="9"/>
  <c r="T11" i="9"/>
  <c r="T14" i="9"/>
  <c r="T2" i="9"/>
  <c r="T5" i="9"/>
  <c r="T16" i="9"/>
  <c r="T9" i="9"/>
  <c r="T17" i="9"/>
  <c r="T7" i="9"/>
  <c r="T13" i="9"/>
  <c r="T15" i="9"/>
  <c r="T6" i="9"/>
  <c r="T10" i="9"/>
  <c r="T12" i="9"/>
  <c r="T41" i="8"/>
  <c r="T42" i="8"/>
  <c r="U15" i="9"/>
  <c r="U2" i="9"/>
  <c r="U6" i="9"/>
  <c r="U42" i="8"/>
  <c r="U12" i="9"/>
  <c r="U10" i="9"/>
  <c r="U43" i="8"/>
  <c r="U5" i="9"/>
  <c r="U16" i="9"/>
  <c r="U11" i="9"/>
  <c r="U17" i="9"/>
  <c r="U3" i="9"/>
  <c r="U14" i="9"/>
  <c r="U9" i="9"/>
  <c r="U13" i="9"/>
  <c r="U8" i="9"/>
  <c r="U41" i="8"/>
  <c r="U4" i="9"/>
  <c r="U7" i="9"/>
  <c r="V14" i="9"/>
  <c r="V2" i="9"/>
  <c r="V8" i="9"/>
  <c r="V6" i="9"/>
  <c r="V17" i="9"/>
  <c r="V10" i="9"/>
  <c r="V13" i="9"/>
  <c r="V42" i="8"/>
  <c r="V5" i="9"/>
  <c r="V43" i="8"/>
  <c r="V3" i="9"/>
  <c r="V16" i="9"/>
  <c r="V41" i="8"/>
  <c r="V9" i="9"/>
  <c r="V15" i="9"/>
  <c r="V4" i="9"/>
  <c r="V12" i="9"/>
  <c r="V7" i="9"/>
  <c r="V11" i="9"/>
  <c r="W2" i="9"/>
  <c r="W10" i="9"/>
  <c r="W17" i="9"/>
  <c r="W42" i="8"/>
  <c r="W13" i="9"/>
  <c r="W3" i="9"/>
  <c r="W6" i="9"/>
  <c r="W4" i="9"/>
  <c r="W7" i="9"/>
  <c r="W15" i="9"/>
  <c r="W43" i="8"/>
  <c r="W41" i="8"/>
  <c r="W11" i="9"/>
  <c r="W12" i="9"/>
  <c r="W14" i="9"/>
  <c r="W9" i="9"/>
  <c r="W16" i="9"/>
  <c r="W8" i="9"/>
  <c r="W18" i="9"/>
  <c r="W5" i="9"/>
  <c r="X2" i="9"/>
  <c r="X6" i="9"/>
  <c r="X7" i="9"/>
  <c r="X41" i="8"/>
  <c r="X17" i="9"/>
  <c r="X13" i="9"/>
  <c r="X3" i="9"/>
  <c r="X10" i="9"/>
  <c r="X15" i="9"/>
  <c r="X4" i="9"/>
  <c r="X16" i="9"/>
  <c r="X8" i="9"/>
  <c r="X12" i="9"/>
  <c r="X11" i="9"/>
  <c r="X14" i="9"/>
  <c r="X43" i="8"/>
  <c r="X5" i="9"/>
  <c r="X9" i="9"/>
  <c r="X18" i="9"/>
  <c r="X42" i="8"/>
  <c r="X40" i="8"/>
  <c r="Y2" i="9"/>
  <c r="Y11" i="9"/>
  <c r="Y18" i="9"/>
  <c r="Y7" i="9"/>
  <c r="Y14" i="9"/>
  <c r="Y6" i="9"/>
  <c r="Y4" i="9"/>
  <c r="Y9" i="9"/>
  <c r="Y43" i="8"/>
  <c r="Y15" i="9"/>
  <c r="Y13" i="9"/>
  <c r="Y5" i="9"/>
  <c r="Y41" i="8"/>
  <c r="Y42" i="8"/>
  <c r="Y12" i="9"/>
  <c r="Y8" i="9"/>
  <c r="Y3" i="9"/>
  <c r="Y10" i="9"/>
  <c r="Y17" i="9"/>
  <c r="Y16" i="9"/>
  <c r="Y40" i="8"/>
  <c r="Z2" i="9"/>
  <c r="Z3" i="9"/>
  <c r="Z14" i="9"/>
  <c r="Z41" i="8"/>
  <c r="Z40" i="8"/>
  <c r="Z6" i="9"/>
  <c r="Z10" i="9"/>
  <c r="Z13" i="9"/>
  <c r="Z11" i="9"/>
  <c r="Z17" i="9"/>
  <c r="Z4" i="9"/>
  <c r="Z16" i="9"/>
  <c r="Z8" i="9"/>
  <c r="Z7" i="9"/>
  <c r="Z15" i="9"/>
  <c r="Z9" i="9"/>
  <c r="Z42" i="8"/>
  <c r="Z43" i="8"/>
  <c r="Z5" i="9"/>
  <c r="Z12" i="9"/>
  <c r="Z18" i="9"/>
  <c r="AA11" i="9"/>
  <c r="AA14" i="9"/>
  <c r="AA6" i="9"/>
  <c r="AA18" i="9"/>
  <c r="AA41" i="8"/>
  <c r="AA17" i="9"/>
  <c r="AA10" i="9"/>
  <c r="AA12" i="9"/>
  <c r="AA40" i="8"/>
  <c r="AA4" i="9"/>
  <c r="AA16" i="9"/>
  <c r="AA43" i="8"/>
  <c r="AA42" i="8"/>
  <c r="AA15" i="9"/>
  <c r="AA3" i="9"/>
  <c r="AA13" i="9"/>
  <c r="AA9" i="9"/>
  <c r="AA8" i="9"/>
  <c r="AA5" i="9"/>
  <c r="AA2" i="9"/>
  <c r="AA7" i="9"/>
  <c r="AB2" i="9"/>
  <c r="AB3" i="9"/>
  <c r="AB40" i="8"/>
  <c r="AB14" i="9"/>
  <c r="AB6" i="9"/>
  <c r="AB4" i="9"/>
  <c r="AB41" i="8"/>
  <c r="AB5" i="9"/>
  <c r="AB42" i="8"/>
  <c r="AB7" i="9"/>
  <c r="AB43" i="8"/>
  <c r="AB15" i="9"/>
  <c r="AB16" i="9"/>
  <c r="AB17" i="9"/>
  <c r="AB8" i="9"/>
  <c r="AB9" i="9"/>
  <c r="AB10" i="9"/>
  <c r="AB18" i="9"/>
  <c r="AB11" i="9"/>
  <c r="AB12" i="9"/>
  <c r="AB13" i="9"/>
  <c r="C8" i="9"/>
  <c r="C2" i="9"/>
  <c r="C43" i="8"/>
  <c r="C5" i="9"/>
  <c r="C16" i="9"/>
  <c r="C20" i="9"/>
  <c r="C9" i="9"/>
  <c r="C18" i="9"/>
  <c r="C10" i="9"/>
  <c r="C7" i="9"/>
  <c r="C14" i="9"/>
  <c r="C12" i="9"/>
  <c r="C6" i="9"/>
  <c r="C15" i="9"/>
  <c r="C41" i="8"/>
  <c r="C3" i="9"/>
  <c r="C42" i="8"/>
  <c r="C11" i="9"/>
  <c r="C4" i="9"/>
  <c r="C13" i="9"/>
  <c r="C17" i="9"/>
  <c r="C19" i="9"/>
  <c r="D3" i="9"/>
  <c r="D10" i="9"/>
  <c r="D15" i="9"/>
  <c r="D6" i="9"/>
  <c r="D18" i="9"/>
  <c r="D42" i="8"/>
  <c r="D4" i="9"/>
  <c r="D43" i="8"/>
  <c r="D41" i="8"/>
  <c r="D19" i="9"/>
  <c r="D13" i="9"/>
  <c r="D2" i="9"/>
  <c r="D20" i="9"/>
  <c r="D16" i="9"/>
  <c r="D9" i="9"/>
  <c r="D12" i="9"/>
  <c r="D8" i="9"/>
  <c r="D21" i="9"/>
  <c r="D14" i="9"/>
  <c r="D17" i="9"/>
  <c r="D11" i="9"/>
  <c r="D5" i="9"/>
  <c r="D7" i="9"/>
  <c r="E8" i="9"/>
  <c r="E2" i="9"/>
  <c r="E16" i="9"/>
  <c r="E14" i="9"/>
  <c r="E22" i="9"/>
  <c r="E43" i="8"/>
  <c r="E19" i="9"/>
  <c r="E9" i="9"/>
  <c r="E13" i="9"/>
  <c r="E5" i="9"/>
  <c r="E21" i="9"/>
  <c r="E42" i="8"/>
  <c r="E7" i="9"/>
  <c r="E3" i="9"/>
  <c r="E6" i="9"/>
  <c r="E17" i="9"/>
  <c r="E4" i="9"/>
  <c r="E20" i="9"/>
  <c r="E12" i="9"/>
  <c r="E41" i="8"/>
  <c r="E11" i="9"/>
  <c r="E18" i="9"/>
  <c r="E15" i="9"/>
  <c r="E10" i="9"/>
  <c r="F2" i="9"/>
  <c r="F8" i="9"/>
  <c r="F15" i="9"/>
  <c r="F14" i="9"/>
  <c r="F43" i="8"/>
  <c r="F3" i="9"/>
  <c r="F20" i="9"/>
  <c r="F13" i="9"/>
  <c r="F7" i="9"/>
  <c r="F41" i="8"/>
  <c r="F6" i="9"/>
  <c r="F11" i="9"/>
  <c r="F5" i="9"/>
  <c r="F16" i="9"/>
  <c r="F42" i="8"/>
  <c r="F21" i="9"/>
  <c r="F9" i="9"/>
  <c r="F12" i="9"/>
  <c r="F10" i="9"/>
  <c r="F19" i="9"/>
  <c r="F22" i="9"/>
  <c r="F4" i="9"/>
  <c r="F17" i="9"/>
  <c r="F18" i="9"/>
  <c r="G21" i="9"/>
  <c r="G12" i="9"/>
  <c r="G8" i="9"/>
  <c r="G14" i="9"/>
  <c r="G7" i="9"/>
  <c r="G11" i="9"/>
  <c r="G41" i="8"/>
  <c r="G23" i="9"/>
  <c r="G22" i="9"/>
  <c r="G9" i="9"/>
  <c r="G6" i="9"/>
  <c r="G15" i="9"/>
  <c r="G10" i="9"/>
  <c r="G20" i="9"/>
  <c r="G5" i="9"/>
  <c r="G42" i="8"/>
  <c r="G13" i="9"/>
  <c r="G19" i="9"/>
  <c r="G4" i="9"/>
  <c r="G16" i="9"/>
  <c r="G3" i="9"/>
  <c r="G43" i="8"/>
  <c r="G17" i="9"/>
  <c r="G2" i="9"/>
  <c r="G18" i="9"/>
  <c r="B41" i="8"/>
  <c r="B14" i="9"/>
  <c r="B23" i="9"/>
  <c r="B8" i="9"/>
  <c r="B24" i="9"/>
  <c r="B20" i="9"/>
  <c r="B3" i="9"/>
  <c r="B43" i="8"/>
  <c r="B19" i="9"/>
  <c r="B12" i="9"/>
  <c r="B11" i="9"/>
  <c r="B10" i="9"/>
  <c r="B13" i="9"/>
  <c r="B42" i="8"/>
  <c r="B4" i="9"/>
  <c r="B15" i="9"/>
  <c r="B5" i="9"/>
  <c r="B22" i="9"/>
  <c r="B17" i="9"/>
  <c r="B6" i="9"/>
  <c r="B2" i="9"/>
  <c r="B9" i="9"/>
  <c r="B7" i="9"/>
  <c r="B21" i="9"/>
  <c r="B18" i="9"/>
  <c r="B16" i="9"/>
  <c r="AE41" i="8" l="1"/>
  <c r="AE8" i="9"/>
  <c r="AE3" i="9"/>
  <c r="AE43" i="8"/>
  <c r="AE12" i="9"/>
  <c r="AE11" i="9"/>
  <c r="AE10" i="9"/>
  <c r="AE42" i="8"/>
  <c r="AE4" i="9"/>
  <c r="AE5" i="9"/>
  <c r="AE6" i="9"/>
  <c r="AE2" i="9"/>
  <c r="AE9" i="9"/>
  <c r="AE7" i="9"/>
  <c r="AE25" i="8"/>
  <c r="AE34" i="8"/>
  <c r="AE35" i="8"/>
  <c r="AE39" i="8"/>
  <c r="AE27" i="8"/>
  <c r="AE37" i="8"/>
  <c r="AE21" i="8"/>
  <c r="AE29" i="8"/>
  <c r="AE38" i="8"/>
  <c r="AE40" i="8"/>
  <c r="AE17" i="8"/>
  <c r="AE39" i="9"/>
  <c r="AE14" i="9"/>
  <c r="AE20" i="9"/>
  <c r="AE22" i="9"/>
  <c r="AE21" i="9"/>
  <c r="AE30" i="8"/>
  <c r="AE40" i="9"/>
  <c r="AE2" i="8"/>
  <c r="AE24" i="9"/>
  <c r="AE15" i="9"/>
  <c r="AE24" i="8"/>
  <c r="AE26" i="8"/>
  <c r="AE16" i="8"/>
  <c r="AE17" i="9"/>
  <c r="AE32" i="8"/>
  <c r="AE12" i="8"/>
  <c r="AE7" i="8"/>
  <c r="AE8" i="8"/>
  <c r="AE15" i="8"/>
  <c r="AE13" i="8"/>
  <c r="AE6" i="8"/>
  <c r="AE43" i="9"/>
  <c r="AE36" i="9"/>
  <c r="AE28" i="9"/>
  <c r="AE30" i="9"/>
  <c r="AE4" i="8"/>
  <c r="AE33" i="9"/>
  <c r="AE41" i="9"/>
  <c r="AE34" i="9"/>
  <c r="AE18" i="8"/>
  <c r="AE37" i="9"/>
  <c r="AE42" i="9"/>
  <c r="AE32" i="9"/>
  <c r="AE14" i="8"/>
  <c r="AE25" i="9"/>
  <c r="AE3" i="8"/>
  <c r="AE29" i="9"/>
  <c r="AE26" i="9"/>
  <c r="AE38" i="9"/>
  <c r="AE31" i="9"/>
  <c r="AE9" i="8"/>
  <c r="AE5" i="8"/>
  <c r="AE27" i="9"/>
  <c r="AE19" i="8"/>
  <c r="AE11" i="8"/>
  <c r="AE10" i="8"/>
  <c r="AE35" i="9"/>
  <c r="AE20" i="8"/>
  <c r="AE13" i="9"/>
  <c r="AE31" i="8"/>
  <c r="AE36" i="8"/>
  <c r="AE16" i="9"/>
  <c r="AE22" i="8"/>
  <c r="AE33" i="8"/>
  <c r="AE23" i="9"/>
  <c r="AE19" i="9"/>
  <c r="AE18" i="9"/>
  <c r="AE28" i="8"/>
  <c r="AE23" i="8"/>
  <c r="W44" i="8"/>
  <c r="Y44" i="8"/>
  <c r="B20" i="11"/>
  <c r="G32" i="7"/>
  <c r="J44" i="8"/>
  <c r="I44" i="9"/>
  <c r="Q44" i="8"/>
  <c r="R44" i="8"/>
  <c r="U44" i="8"/>
  <c r="D44" i="8"/>
  <c r="E44" i="8"/>
  <c r="X44" i="8"/>
  <c r="B44" i="9"/>
  <c r="H44" i="9"/>
  <c r="H44" i="8"/>
  <c r="L44" i="9"/>
  <c r="M44" i="8"/>
  <c r="N44" i="9"/>
  <c r="P44" i="9"/>
  <c r="P44" i="8"/>
  <c r="T44" i="9"/>
  <c r="AA44" i="8"/>
  <c r="AA44" i="9"/>
  <c r="I44" i="8"/>
  <c r="J44" i="9"/>
  <c r="L44" i="8"/>
  <c r="M44" i="9"/>
  <c r="O44" i="9"/>
  <c r="V44" i="9"/>
  <c r="AB44" i="8"/>
  <c r="C44" i="9"/>
  <c r="G44" i="9"/>
  <c r="K44" i="9"/>
  <c r="K44" i="8"/>
  <c r="N44" i="8"/>
  <c r="O44" i="8"/>
  <c r="Q44" i="9"/>
  <c r="Z44" i="8"/>
  <c r="F44" i="8"/>
  <c r="R44" i="9"/>
  <c r="S44" i="9"/>
  <c r="S44" i="8"/>
  <c r="T44" i="8"/>
  <c r="U44" i="9"/>
  <c r="Z44" i="9"/>
  <c r="AB44" i="9"/>
  <c r="D44" i="9"/>
  <c r="E44" i="9"/>
  <c r="G44" i="8"/>
  <c r="V44" i="8"/>
  <c r="W44" i="9"/>
  <c r="X44" i="9"/>
  <c r="Y44" i="9"/>
  <c r="C44" i="8"/>
  <c r="F44" i="9"/>
  <c r="B44" i="8"/>
  <c r="AE44" i="8" s="1"/>
  <c r="AE44" i="9" l="1"/>
  <c r="B19" i="11" s="1"/>
  <c r="C19" i="11" s="1"/>
</calcChain>
</file>

<file path=xl/sharedStrings.xml><?xml version="1.0" encoding="utf-8"?>
<sst xmlns="http://schemas.openxmlformats.org/spreadsheetml/2006/main" count="7274" uniqueCount="874">
  <si>
    <t>Date</t>
  </si>
  <si>
    <t>Customer_ID</t>
  </si>
  <si>
    <t>Type</t>
  </si>
  <si>
    <t>Amount</t>
  </si>
  <si>
    <t>Written_Balance</t>
  </si>
  <si>
    <t>Page_No</t>
  </si>
  <si>
    <t>Notes</t>
  </si>
  <si>
    <t>CUST_001</t>
  </si>
  <si>
    <t>Purchase</t>
  </si>
  <si>
    <t>Opening balance 0: earlier BAKI 985 was paid before 30/11</t>
  </si>
  <si>
    <t>Checked in book</t>
  </si>
  <si>
    <t>Book: Tot 3632</t>
  </si>
  <si>
    <t>Book: Tot 3692</t>
  </si>
  <si>
    <t>Book: total 4036</t>
  </si>
  <si>
    <t>Payment</t>
  </si>
  <si>
    <t>Checked in book: 31/12. 4036 - 3000 = 1036</t>
  </si>
  <si>
    <t>Set to 252: matches dad's totals 3778 and 6080</t>
  </si>
  <si>
    <t>Book: circled 3778 (includes 1036 carried forward)</t>
  </si>
  <si>
    <t>Book: Tot 6080. Side note 2302 = total of 17/1 to 28/1 (6080 - 3778)</t>
  </si>
  <si>
    <t>Book: 3/2 paid 3000, BAKI 3080 (6080 - 3000)</t>
  </si>
  <si>
    <t>Checked in book: purchase</t>
  </si>
  <si>
    <t>Book Tot 1630 is 69 less than the lines (31/1 = 98 and 12/2 = 99 checked). Dad's total slip</t>
  </si>
  <si>
    <t>Adjustment</t>
  </si>
  <si>
    <t>Dad's Tot 1630 is 69 less than the lines (charged less)</t>
  </si>
  <si>
    <t>Overwritten digit: 252 makes Tot 3206 match</t>
  </si>
  <si>
    <t>Book: Tot 3847 (since 3/2) + BAKI 3080 = 6927</t>
  </si>
  <si>
    <t>Checked in book: 18/3</t>
  </si>
  <si>
    <t>Book: Tot 980 (18/3 to 27/3)</t>
  </si>
  <si>
    <t>Old_Balance</t>
  </si>
  <si>
    <t>Old dues from before. Dad: 6927 + 980 + 3894 = 11801</t>
  </si>
  <si>
    <t>Date not written; paid after the 11801 total. 11801 - 1500 = 10301</t>
  </si>
  <si>
    <t>CUST_002</t>
  </si>
  <si>
    <t>Carried from earlier page (BAKI 4425 + earlier purchases)</t>
  </si>
  <si>
    <t>Book: Tot 6671</t>
  </si>
  <si>
    <t>Book: Pd 6600 on 30/11 (Tot 6671)</t>
  </si>
  <si>
    <t>Tot 6671, paid 6600: 71 let go or paid off-book</t>
  </si>
  <si>
    <t>Checked: 42</t>
  </si>
  <si>
    <t>GAS</t>
  </si>
  <si>
    <t>Checked: 55</t>
  </si>
  <si>
    <t>Book: Total 7094 (December)</t>
  </si>
  <si>
    <t>Dad's Dec total 7094 is 3 more than the lines: added, not written</t>
  </si>
  <si>
    <t>Date written like 10/12, read as 10/1</t>
  </si>
  <si>
    <t>GAS?</t>
  </si>
  <si>
    <t>Book: '16/1/25 7094' crossed = December paid in full</t>
  </si>
  <si>
    <t>Book: January total 7205</t>
  </si>
  <si>
    <t>Dad's Jan total 7205 is 200 more than the lines: added, not written</t>
  </si>
  <si>
    <t>Confirmed paid (date not written)</t>
  </si>
  <si>
    <t>Book: Total 4681 (February)</t>
  </si>
  <si>
    <t>Dad's Feb total 4681 is 140 more than the lines: added, not written</t>
  </si>
  <si>
    <t>Book: 'Bar 4681' = February paid in full (date not written)</t>
  </si>
  <si>
    <t>Date written like 1/4/25, read as 1/3</t>
  </si>
  <si>
    <t>Dates 15-18 March hard to read; amounts match the total</t>
  </si>
  <si>
    <t>18/3 43 above this is crossed out in the book, so not counted</t>
  </si>
  <si>
    <t>GAS. Book: Total 4711 (March)</t>
  </si>
  <si>
    <t>Book: 'Bar 4700' = March paid; 11 let go (round-off). Date not written</t>
  </si>
  <si>
    <t>Tot 4711, paid 4700: 11 let go</t>
  </si>
  <si>
    <t>Checked: 5</t>
  </si>
  <si>
    <t>Checked: not crossed, counted</t>
  </si>
  <si>
    <t>Checked: 12/4 purchase</t>
  </si>
  <si>
    <t>Dad's April total 4702 (top of page 115) is 180 more than the lines: added, not written</t>
  </si>
  <si>
    <t>April total paid (confirmed; date not written)</t>
  </si>
  <si>
    <t>HOW TO FILL THE LEDGER</t>
  </si>
  <si>
    <t>1. One row = one line in the book (one visit or one payment).</t>
  </si>
  <si>
    <t>2. Date: type as 02-10-2024 (day-month-year).</t>
  </si>
  <si>
    <t>3. Customer_ID: use CUST_001, CUST_002 ... never the real name. Real names go only in the Customers sheet.</t>
  </si>
  <si>
    <t>4. Type: pick Purchase (took goods) or Payment (gave money) from the dropdown.</t>
  </si>
  <si>
    <t>5. Amount: number only, no Rs sign.</t>
  </si>
  <si>
    <t>6. Written_Balance: only if dad wrote a total/balance on that line. Otherwise leave empty.</t>
  </si>
  <si>
    <t>7. Page_No: the page number in the book, so any row can be checked later.</t>
  </si>
  <si>
    <t>8. If a line is unreadable, type your best guess and write 'unclear' in Notes.</t>
  </si>
  <si>
    <t>Customer_Since</t>
  </si>
  <si>
    <t>Pays_Full_or_Carries</t>
  </si>
  <si>
    <t>Carries forward</t>
  </si>
  <si>
    <t>Pages 82-83. Last entry 27/03/2025. Visits and spend fell Jan-Mar; payments 3000, 3000, 1500</t>
  </si>
  <si>
    <t>Pays full</t>
  </si>
  <si>
    <t>Pages 114-115. Pays each month in full (small round-offs let go)</t>
  </si>
  <si>
    <t>CUST_003</t>
  </si>
  <si>
    <t>CUST_004</t>
  </si>
  <si>
    <t>CUST_005</t>
  </si>
  <si>
    <t>CUST_006</t>
  </si>
  <si>
    <t>CUST_007</t>
  </si>
  <si>
    <t>CUST_008</t>
  </si>
  <si>
    <t>CUST_009</t>
  </si>
  <si>
    <t>CUST_010</t>
  </si>
  <si>
    <t>CUST_011</t>
  </si>
  <si>
    <t>CUST_012</t>
  </si>
  <si>
    <t>CUST_013</t>
  </si>
  <si>
    <t>CUST_014</t>
  </si>
  <si>
    <t>CUST_015</t>
  </si>
  <si>
    <t>CUST_016</t>
  </si>
  <si>
    <t>CUST_017</t>
  </si>
  <si>
    <t>CUST_018</t>
  </si>
  <si>
    <t>CUST_019</t>
  </si>
  <si>
    <t>CUST_020</t>
  </si>
  <si>
    <t>EXAMPLE ONLY - made-up rows showing how to fill the Ledger sheet</t>
  </si>
  <si>
    <t>came twice same day = 2 rows</t>
  </si>
  <si>
    <t>balance written because customer asked</t>
  </si>
  <si>
    <t>paid part</t>
  </si>
  <si>
    <t>dad wrote leftover balance after payment</t>
  </si>
  <si>
    <t>Opening 0</t>
  </si>
  <si>
    <t>Book: Tot 4970</t>
  </si>
  <si>
    <t>Book TL 12664 is 3 less than the lines</t>
  </si>
  <si>
    <t>Date not written, read as 7/11</t>
  </si>
  <si>
    <t>Book: Total 15411</t>
  </si>
  <si>
    <t>Book: Tot 15667</t>
  </si>
  <si>
    <t>Book: Tot 15741</t>
  </si>
  <si>
    <t>Book: paid 6000 (date looks like 14/11), BAKI 9741</t>
  </si>
  <si>
    <t>Book: paid 7000 (date looks like 24/11), BALANCE 2741</t>
  </si>
  <si>
    <t>Book Tot 4904 is 2 more than the lines</t>
  </si>
  <si>
    <t>Book: Tot 5083</t>
  </si>
  <si>
    <t>Book: Tot 5117</t>
  </si>
  <si>
    <t>Book: paid 3000 (date looks like 11/12), BAKI 2117</t>
  </si>
  <si>
    <t>Book: Tot 2133</t>
  </si>
  <si>
    <t>Book: paid 2000 (date not clear), BAKI 133</t>
  </si>
  <si>
    <t>Opening Tot 320</t>
  </si>
  <si>
    <t>Date unclear (written like 4/9)</t>
  </si>
  <si>
    <t>Date unclear (written like 5/9)</t>
  </si>
  <si>
    <t>Date not written</t>
  </si>
  <si>
    <t>Book: paid 1000 (date not clear), BAK 836</t>
  </si>
  <si>
    <t>85 makes Tot 2013 match</t>
  </si>
  <si>
    <t>Book: Tot 2013</t>
  </si>
  <si>
    <t>Book: Tot 2233</t>
  </si>
  <si>
    <t>Book: Tot 2341</t>
  </si>
  <si>
    <t>Book: paid 1000 (date looks like 22/10)</t>
  </si>
  <si>
    <t>Book: paid 2000 on 10/11, BAKI 698</t>
  </si>
  <si>
    <t>Book: paid 4000 (written like 4060), BAKI 3773</t>
  </si>
  <si>
    <t>8/1 amount above is scribbled out, not counted</t>
  </si>
  <si>
    <t>Book: paid 5000 on 13/1, BAKI 2201</t>
  </si>
  <si>
    <t>Overwritten digit; 292 makes Tot 8078 fit</t>
  </si>
  <si>
    <t>Book: TL 8301</t>
  </si>
  <si>
    <t>Book: paid 5000 (date not clear), BAKI 3301</t>
  </si>
  <si>
    <t>Date written like 31</t>
  </si>
  <si>
    <t>Top of page</t>
  </si>
  <si>
    <t>Opening Tot 653</t>
  </si>
  <si>
    <t>Book: Tot 1073</t>
  </si>
  <si>
    <t>Book: Tot 1160</t>
  </si>
  <si>
    <t>Book: paid 800 on 10/11, BAK 360</t>
  </si>
  <si>
    <t>Book: Tot 1567</t>
  </si>
  <si>
    <t>Book: Tot 1742</t>
  </si>
  <si>
    <t>Book: paid 500, BAKI 1242</t>
  </si>
  <si>
    <t>Book Tot 2126 is 5 more than the lines</t>
  </si>
  <si>
    <t>Book: TG 2298</t>
  </si>
  <si>
    <t>Book: paid 900 (date not clear), BAKI 1398</t>
  </si>
  <si>
    <t>Date written like 29</t>
  </si>
  <si>
    <t>Book: paid 1200 (date looks like 14/3), BAKI 1034</t>
  </si>
  <si>
    <t>Date written like 28/1</t>
  </si>
  <si>
    <t>Book: Tot 2012</t>
  </si>
  <si>
    <t>Opening 0 (previous Tot 4860 shown as paid)</t>
  </si>
  <si>
    <t>Book Tot 6832 is 10 less than the lines (30/1 may be 600)</t>
  </si>
  <si>
    <t>Book: 18/2/23 6832 = paid in full</t>
  </si>
  <si>
    <t>Book: paid 7647 (date not written), BAKI 2633</t>
  </si>
  <si>
    <t>Date written like 31/4</t>
  </si>
  <si>
    <t>Pages 268-269, Sep-Dec 2022. Pays big chunks (6000, 7000, 3000, 2000)</t>
  </si>
  <si>
    <t>Pages 270-271, Sep 2022-Mar 2023. Pays 1000-5000 at a time, balance stays high</t>
  </si>
  <si>
    <t>Pages 282-283, Oct 2022-Apr 2023. Small daily buys (10-40), pays 500-1200</t>
  </si>
  <si>
    <t>Mixed</t>
  </si>
  <si>
    <t>Tot 7201 is 2 more than the lines (17/12 211 and 18/12 105 counted in the next total)</t>
  </si>
  <si>
    <t>Tot 8078 is 313 less than the lines incl. 17/12 211 + 18/12 105: not written</t>
  </si>
  <si>
    <t>Read as 656: makes total 5213 exact</t>
  </si>
  <si>
    <t>Book T 6058 is 100 more than the lines: not written</t>
  </si>
  <si>
    <t>book block total 5569 (3/10-23/10), my lines 5390 (179 less). Misread or unwritten? Total 10539 - treated as not written</t>
  </si>
  <si>
    <t>Tot 1836, my lines 1801 (35 less) - treated as not written</t>
  </si>
  <si>
    <t>Tot 2698, my lines 2710 (12 more) - treated as not written</t>
  </si>
  <si>
    <t>Tot 7569, my lines 7623 (54 more) - treated as not written</t>
  </si>
  <si>
    <t>Tot 7773, my lines 7786 (13 more) - treated as not written</t>
  </si>
  <si>
    <t>Tot 922, my lines 892 (30 less) - treated as not written</t>
  </si>
  <si>
    <t>Tot 1208, my lines 1228 (20 more) - treated as not written</t>
  </si>
  <si>
    <t>Tot 2234, my lines 2220 (14 less) - treated as not written</t>
  </si>
  <si>
    <t>total written 10308, and 10280 - 7647 paid = BAKI 2633. My lines 10228 - treated as not written</t>
  </si>
  <si>
    <t>Checked: 1715</t>
  </si>
  <si>
    <t>Paid about 7406 (10039 - 7406 = BAKI 2633). Date not written</t>
  </si>
  <si>
    <t>Dad's Tot 10039 is the full amount due; the March BAKI 2633 is not added on top</t>
  </si>
  <si>
    <t>Tot 1812, my lines 1832 (20 more) - treated as not written</t>
  </si>
  <si>
    <t>Opening Tot 6954 (older book, account 95)</t>
  </si>
  <si>
    <t>Read as 254 (looks like 234): makes Tot 7208</t>
  </si>
  <si>
    <t>Book: paid 6086 on 15/9, BAK 1122</t>
  </si>
  <si>
    <t>13/9 line above is crossed out, not counted</t>
  </si>
  <si>
    <t>Book: Tot 6641</t>
  </si>
  <si>
    <t>Book: paid 4000 on 14/10, BAK 2641</t>
  </si>
  <si>
    <t>CHECK: BAK 2641 is not in the next total (5336 = only the new lines). Assumed settled, not written</t>
  </si>
  <si>
    <t>Book: TL 5336</t>
  </si>
  <si>
    <t>Book: paid 5336 on 12/11</t>
  </si>
  <si>
    <t>Small writing, read as 614: makes Tot 3942</t>
  </si>
  <si>
    <t>Book: Tot 3942</t>
  </si>
  <si>
    <t>Book: paid 3942 (date looks like 31/12)</t>
  </si>
  <si>
    <t>Lines add to 4860 = the Total 4860 that opens CUST_006's 2023 page</t>
  </si>
  <si>
    <t>Book (page 316): Total 4860 paid</t>
  </si>
  <si>
    <t>Opening Total 14329 (account 96)</t>
  </si>
  <si>
    <t>Book: TL 15621</t>
  </si>
  <si>
    <t>Book: paid 3000 (date looks like 12/9)</t>
  </si>
  <si>
    <t>Book: paid 10000 (date looks like 13/9), BAL 2621</t>
  </si>
  <si>
    <t>Book: paid 2000 (date not clear), BAL 621</t>
  </si>
  <si>
    <t>CHECK: book writes BAL 621 then BAL 273 below it. 348 less, not explained</t>
  </si>
  <si>
    <t>Read as 1904 (looks like 1909): makes Tot 11595 exact</t>
  </si>
  <si>
    <t>Rice</t>
  </si>
  <si>
    <t>Rice (chawal)</t>
  </si>
  <si>
    <t>Book: Tot 11595</t>
  </si>
  <si>
    <t>Book: paid 11595 (date looks like 14/10)</t>
  </si>
  <si>
    <t>12/10 621 above this = old BAL 621 written again; not counted in Total 9788</t>
  </si>
  <si>
    <t>Water</t>
  </si>
  <si>
    <t>Book Total 9788 is 20 more than the lines</t>
  </si>
  <si>
    <t>Book: paid 9788 on 11/11</t>
  </si>
  <si>
    <t>Dal</t>
  </si>
  <si>
    <t>Written '39 537', read as 537</t>
  </si>
  <si>
    <t>Date not clear</t>
  </si>
  <si>
    <t>Book Tot 9013 is 56 more than the lines</t>
  </si>
  <si>
    <t>Book: paid 9013 on 12/12. Lines after this are cut off at the page edge</t>
  </si>
  <si>
    <t>Page 207 (continues page 206)</t>
  </si>
  <si>
    <t>Book: Tot 9084. Payment not on this page</t>
  </si>
  <si>
    <t>Opening Total 259 (small account, no account number; page 205 column 3)</t>
  </si>
  <si>
    <t>Book: TL 304</t>
  </si>
  <si>
    <t>First digit scribbled, read as 47: makes Tot 660 exact</t>
  </si>
  <si>
    <t>Book: TOL 660</t>
  </si>
  <si>
    <t>Book: TL 736</t>
  </si>
  <si>
    <t>Book: paid 500 (date looks like 11/10), BAK 236</t>
  </si>
  <si>
    <t>Dates written like 6/10, 7/10; read as November</t>
  </si>
  <si>
    <t>Book total 591 is 8 less than the lines</t>
  </si>
  <si>
    <t>Book: paid 500 (date not clear), BAKI 91</t>
  </si>
  <si>
    <t>Book total 559 is 3 more than the lines</t>
  </si>
  <si>
    <t>Book: paid 200 on 12/12, BAK 359</t>
  </si>
  <si>
    <t>Book: 688 written twice and crossed = paid</t>
  </si>
  <si>
    <t>Opening Total 197 (small account, no account number; page 205 column 4)</t>
  </si>
  <si>
    <t>Book: Tot 831 (still shown as 831 on a later page)</t>
  </si>
  <si>
    <t>Opening Total 2631 (account 100)</t>
  </si>
  <si>
    <t>Book: TL 2721</t>
  </si>
  <si>
    <t>Book: paid 2500 (date not clear), balance 221</t>
  </si>
  <si>
    <t>Book: Tot 2197</t>
  </si>
  <si>
    <t>Book: T 2235</t>
  </si>
  <si>
    <t>Book: paid 2000 on 13/10, BAK 235</t>
  </si>
  <si>
    <t>Book: T 1629</t>
  </si>
  <si>
    <t>Book: paid 1500 on 6/11, BAK 129</t>
  </si>
  <si>
    <t>Book: TL 2054</t>
  </si>
  <si>
    <t>Book: T 2102</t>
  </si>
  <si>
    <t>Book: paid 1800 (date not clear), 302 left</t>
  </si>
  <si>
    <t>Book: TL 1403 (crossed-out line above not counted)</t>
  </si>
  <si>
    <t>Book: paid 1403 (date looks like late December)</t>
  </si>
  <si>
    <t>Book total 1691 is 10 less than the lines</t>
  </si>
  <si>
    <t>Book: T 1869 (crossed-out line below not counted)</t>
  </si>
  <si>
    <t>Book: paid 1700, BAK 169</t>
  </si>
  <si>
    <t>Book: TL 1588</t>
  </si>
  <si>
    <t>Book: paid 1500, 88 left</t>
  </si>
  <si>
    <t>Book: Tot 1591</t>
  </si>
  <si>
    <t>Book: paid 1500, BAL 91</t>
  </si>
  <si>
    <t>Book total 1967 is 60 less than the lines</t>
  </si>
  <si>
    <t>Date not written. Book: T 2017</t>
  </si>
  <si>
    <t>Book: paid 1800 on 12/5, BAK 217</t>
  </si>
  <si>
    <t>Book: TC 1566</t>
  </si>
  <si>
    <t>Book: paid 1500 (date looks like 1/6), 66 left</t>
  </si>
  <si>
    <t>Opening Total 2508 (account 115)</t>
  </si>
  <si>
    <t>Book: TL 3157</t>
  </si>
  <si>
    <t>Book: paid 3100 (date not clear)</t>
  </si>
  <si>
    <t>57 let go: next total starts from zero</t>
  </si>
  <si>
    <t>Book: Tot 2172</t>
  </si>
  <si>
    <t>Book: +8 = 2180 (date not written)</t>
  </si>
  <si>
    <t>Book: 2180 written twice and crossed = paid</t>
  </si>
  <si>
    <t>Crossed-out 60 below not counted</t>
  </si>
  <si>
    <t>Book total 1721 is 5 less than the lines</t>
  </si>
  <si>
    <t>Date not written. Book: TL 2164</t>
  </si>
  <si>
    <t>Book: paid 2160 on 15/11</t>
  </si>
  <si>
    <t>4 let go: next total starts from zero</t>
  </si>
  <si>
    <t>Read as 185 (looks like 135): makes TL 814 exact</t>
  </si>
  <si>
    <t>Book: TL 814</t>
  </si>
  <si>
    <t>Book: paid 814 on 13/12</t>
  </si>
  <si>
    <t>Book: Total 1493</t>
  </si>
  <si>
    <t>Book: TO 1549</t>
  </si>
  <si>
    <t>Book: paid 1000 on 12/1, BAK 549</t>
  </si>
  <si>
    <t>Book: 549 written again and crossed = paid</t>
  </si>
  <si>
    <t>Scribbled; may be 21</t>
  </si>
  <si>
    <t>Book total 1706 is 50 less than the lines</t>
  </si>
  <si>
    <t>Book: 1706 written twice and crossed = paid</t>
  </si>
  <si>
    <t>Read as 173 (looks like 193): makes TB 1166 exact</t>
  </si>
  <si>
    <t>Book: TB 1166</t>
  </si>
  <si>
    <t>Book: paid 1166 (date looks like 11/3). Lines after this are cut off at the page edge</t>
  </si>
  <si>
    <t>Page 245 (continues page 244)</t>
  </si>
  <si>
    <t>Small '91' written above 270</t>
  </si>
  <si>
    <t>CHECK: Book total 1351 is 105 more than the lines</t>
  </si>
  <si>
    <t>Book: TL 1896</t>
  </si>
  <si>
    <t>Book: 1896 written twice and crossed = paid (April)</t>
  </si>
  <si>
    <t>Opening Total 1705 (account 113, 2024 book)</t>
  </si>
  <si>
    <t>Book: paid 1000 (date not clear), BAKI 705</t>
  </si>
  <si>
    <t>Book: Tol 785</t>
  </si>
  <si>
    <t>Read as 10 (looks like 20): makes Tol 1300 exact</t>
  </si>
  <si>
    <t>Book: Tol 1300</t>
  </si>
  <si>
    <t>Book: TO 1956</t>
  </si>
  <si>
    <t>Book: paid 1500 on 7/6, BAKI 456</t>
  </si>
  <si>
    <t>Last line on the page; no total yet</t>
  </si>
  <si>
    <t>Opening BAKI 2918 (account 114, 2024 book)</t>
  </si>
  <si>
    <t>May be 157</t>
  </si>
  <si>
    <t>Date written like 9/3</t>
  </si>
  <si>
    <t>Small '54' written next to it</t>
  </si>
  <si>
    <t>Date written like 14/2</t>
  </si>
  <si>
    <t>Date written like 15/2</t>
  </si>
  <si>
    <t>Written above the top line; date not clear</t>
  </si>
  <si>
    <t>Eggs</t>
  </si>
  <si>
    <t>Coconut</t>
  </si>
  <si>
    <t>GAS (1800 crossed out, 1250 written)</t>
  </si>
  <si>
    <t>May be 175</t>
  </si>
  <si>
    <t>May be 125</t>
  </si>
  <si>
    <t>May be 211</t>
  </si>
  <si>
    <t>CHECK: Book total 21679 is 794 more than the lines</t>
  </si>
  <si>
    <t>Book: paid 5000 on 7/4, BAKI 16679</t>
  </si>
  <si>
    <t>Written after a scribbled number</t>
  </si>
  <si>
    <t>Top of last column</t>
  </si>
  <si>
    <t>CHECK: Book total 29827 is 269 more than the lines</t>
  </si>
  <si>
    <t>Book: paid 15000 (date looks like 28/4), BAKI 14827</t>
  </si>
  <si>
    <t>Last line (total at the bottom is cut off)</t>
  </si>
  <si>
    <t>Account 111, 2024 book. Opening 0</t>
  </si>
  <si>
    <t>Book: Tol 3446</t>
  </si>
  <si>
    <t>Book: paid 2400 (date looks like 12/3), BAK 1046</t>
  </si>
  <si>
    <t>Book: Tol 2243 (crossed-out line not counted)</t>
  </si>
  <si>
    <t>Crossed-out line above not counted</t>
  </si>
  <si>
    <t>Book: TG 3270</t>
  </si>
  <si>
    <t>Book: paid 3000 on 5/4, BAKI 270</t>
  </si>
  <si>
    <t>Book: TL 2861</t>
  </si>
  <si>
    <t>Book: paid 500 (May), BAKI 2361</t>
  </si>
  <si>
    <t>Book: TG 4424</t>
  </si>
  <si>
    <t>Book: paid 2000 (June), BAK 2424</t>
  </si>
  <si>
    <t>Book: TOL 3063 (crossed-out line not counted)</t>
  </si>
  <si>
    <t>Book: paid 2500 (July), BAK 563</t>
  </si>
  <si>
    <t>Book: T 2993</t>
  </si>
  <si>
    <t>Opening Total 2971 (account 85)</t>
  </si>
  <si>
    <t>Book: Tol 3729</t>
  </si>
  <si>
    <t>Book: TL 1795 for 31/12-4/1</t>
  </si>
  <si>
    <t>Book: Total 5627</t>
  </si>
  <si>
    <t>Book: 5627 written again with date and crossed = paid</t>
  </si>
  <si>
    <t>Read as 380 (looks like 780): makes Tol 4443 exact</t>
  </si>
  <si>
    <t>Book: Tol 4443</t>
  </si>
  <si>
    <t>Book: 4443 written again and crossed = paid (February)</t>
  </si>
  <si>
    <t>Book total 4378 is 96 more than the lines</t>
  </si>
  <si>
    <t>Book: 4532Date written like 6/2</t>
  </si>
  <si>
    <t>Book corrected 4532 to 4542</t>
  </si>
  <si>
    <t>Book: paid 4542 on 8/3</t>
  </si>
  <si>
    <t>Page 179 (continues page 178). Big purchase on 7/3</t>
  </si>
  <si>
    <t>Red ink, may be 27</t>
  </si>
  <si>
    <t>Book total 4800 is 23 more than the lines</t>
  </si>
  <si>
    <t>Book: paid 4800 on 5/4</t>
  </si>
  <si>
    <t>Book: Tol 1899</t>
  </si>
  <si>
    <t>Book total 4856 is 40 less than the lines</t>
  </si>
  <si>
    <t>Book: paid 4856 on 3/5</t>
  </si>
  <si>
    <t>Book: TOL 1673</t>
  </si>
  <si>
    <t>Book: paid 1673 (June)</t>
  </si>
  <si>
    <t>Written 164 with red 28 after it, read as 1642</t>
  </si>
  <si>
    <t>CHECK: Book total 4063 is 126 less than the lines</t>
  </si>
  <si>
    <t>Book: TL 4109</t>
  </si>
  <si>
    <t>Opening Total 1445 (account 107)</t>
  </si>
  <si>
    <t>Book: Total 1712</t>
  </si>
  <si>
    <t>Book: paid 800 on 13/9, BAKI 912</t>
  </si>
  <si>
    <t>Small 10 under 180</t>
  </si>
  <si>
    <t>Book total 1842 is 18 more than the lines</t>
  </si>
  <si>
    <t>Book: paid 1000 (date not clear)</t>
  </si>
  <si>
    <t>BAKI written as 838 (1842 - 1000 = 842)</t>
  </si>
  <si>
    <t>Circled 1599 next to it = balance up to here</t>
  </si>
  <si>
    <t>CHECK: circled 1599 is not in the next total (2353), read as paid</t>
  </si>
  <si>
    <t>Overwritten digit, read as 70: makes TO 2353 exact</t>
  </si>
  <si>
    <t>Book: TO 2353</t>
  </si>
  <si>
    <t>Book: 2353 written again and crossed = paid</t>
  </si>
  <si>
    <t>Book: TO 3379</t>
  </si>
  <si>
    <t>Book: paid 900 (date looks like 1/12), BAKI 2479</t>
  </si>
  <si>
    <t>CHECK: BAKI 2479 is crossed out and not in the next total (2117), read as paid</t>
  </si>
  <si>
    <t>Book: TO 2117 (lines below are scribbled out)</t>
  </si>
  <si>
    <t>Page 229. Book: Total 2117, paid 700 (date looks like 14/12), BAK 1417</t>
  </si>
  <si>
    <t>Older balance from top of page 229 (806 - 200 - 200 = 406) added: Tol 1823</t>
  </si>
  <si>
    <t>Book: paid 600 (date looks like 4/9), BAK 1223</t>
  </si>
  <si>
    <t>Book: 1223 written with date 11/11 and crossed = paid</t>
  </si>
  <si>
    <t>Opening Total 12318 (account 106; same person as page 326 / account 156 in the 2023 book)</t>
  </si>
  <si>
    <t>Book: Total 13779</t>
  </si>
  <si>
    <t>Book: paid 4000 (September), BAK 9779</t>
  </si>
  <si>
    <t>CHECK: Book total 14889 is 200 more than the lines</t>
  </si>
  <si>
    <t>Book: Total 16693</t>
  </si>
  <si>
    <t>Book: paid 6000 on 12/10, BAK 10693</t>
  </si>
  <si>
    <t>Book: paid 500 on 17/10, BAKI 10193</t>
  </si>
  <si>
    <t>Book: paid 1000, balance 9193 (also written at the top of the page)</t>
  </si>
  <si>
    <t>Read as 325 (looks like 925): makes Tol 6335 exact</t>
  </si>
  <si>
    <t>Book: Tol 6335 (old 9193 kept aside, so balance 15528)</t>
  </si>
  <si>
    <t>Book: Total 7142 (+ old 9193 = 16335)</t>
  </si>
  <si>
    <t>Book: paid 7000 on 11/11, BAK 142 (+ old 9193 = 9335)</t>
  </si>
  <si>
    <t>Written after the payment</t>
  </si>
  <si>
    <t>CHECK: book TO 6866 (+ old 9193 = 16059) is 120 less than the lines</t>
  </si>
  <si>
    <t>Book: paid 7800 (December), balance 8259</t>
  </si>
  <si>
    <t>Book total 14136 is 50 more than the lines</t>
  </si>
  <si>
    <t>Year written as 22</t>
  </si>
  <si>
    <t>Book: TG 14977</t>
  </si>
  <si>
    <t>Book: paid 7000 on 10/1/23, BAK 7977. Next column cut off at page edge</t>
  </si>
  <si>
    <t>CHECK: page 227 starts with "TO 6776" written twice and crossed after BAK 7977. Read as paid 6776; 1201 unexplained</t>
  </si>
  <si>
    <t>The 4 lines 6/1-9/1 rewritten above this are already counted on page 226</t>
  </si>
  <si>
    <t>Date written like 2/1</t>
  </si>
  <si>
    <t>Date written like 4/1. Last line, no total</t>
  </si>
  <si>
    <t>Opening Tol 797 (account 110)</t>
  </si>
  <si>
    <t>Book: Total 2474</t>
  </si>
  <si>
    <t>Book: TL 2664</t>
  </si>
  <si>
    <t>Book: TC 3347</t>
  </si>
  <si>
    <t>Book: paid 1500 on 16/10, BAK 1847</t>
  </si>
  <si>
    <t>First digit scribbled, read as 60: makes TO 3202 exact</t>
  </si>
  <si>
    <t>Date written like 7/10. Book: TO 3202</t>
  </si>
  <si>
    <t>Book: TO 3436</t>
  </si>
  <si>
    <t>Book: paid 3000 on 13/11</t>
  </si>
  <si>
    <t>Book: Total 1860</t>
  </si>
  <si>
    <t>Book: 1860 written again and crossed = paid</t>
  </si>
  <si>
    <t>Book: TO 1852</t>
  </si>
  <si>
    <t>Book: 1852 written again and crossed = paid (January)</t>
  </si>
  <si>
    <t>Book: TC 1965</t>
  </si>
  <si>
    <t>Book: 1965 written again and crossed = paid (February)</t>
  </si>
  <si>
    <t>Date written as 18</t>
  </si>
  <si>
    <t>Book: TO 1868</t>
  </si>
  <si>
    <t>Book: paid 1504, BAK 364</t>
  </si>
  <si>
    <t>Book total 1924 is 59 less than the lines</t>
  </si>
  <si>
    <t>Book: TL 3172</t>
  </si>
  <si>
    <t>Opening Total 10988 (account 105)</t>
  </si>
  <si>
    <t>Book: paid 6000 (date not clear), BAKI 4988</t>
  </si>
  <si>
    <t>Book total 10827 is 60 less than the lines</t>
  </si>
  <si>
    <t>Book: paid 6000 (date not clear), BAK 4827</t>
  </si>
  <si>
    <t>CHECK: Book total 11826 is 108 more than the lines</t>
  </si>
  <si>
    <t>Payment not written: Total 11826 then BAK 5826 at top of next column</t>
  </si>
  <si>
    <t>Book: Total 11237</t>
  </si>
  <si>
    <t>Book: paid 6000 (date looks like 14/12), BAKI 5237</t>
  </si>
  <si>
    <t>Book: TO 10563</t>
  </si>
  <si>
    <t>Book: paid 5000 (January), BAK 5563</t>
  </si>
  <si>
    <t>Book total 12113 is 60 less than the lines</t>
  </si>
  <si>
    <t>Book: paid 5000, BAK 7113</t>
  </si>
  <si>
    <t>Book total 12942 is 22 less than the lines</t>
  </si>
  <si>
    <t>Book: paid 6000 on 13/3/23, BAK 6942</t>
  </si>
  <si>
    <t>Book total 12321 is 58 less than the lines</t>
  </si>
  <si>
    <t>Book total 14903 is 4 less than the lines</t>
  </si>
  <si>
    <t>Read as 817: makes TL 15720 exact. Book: TL 15720</t>
  </si>
  <si>
    <t>Book: TO 16318</t>
  </si>
  <si>
    <t>Book: paid 8000 (May), balance 8318</t>
  </si>
  <si>
    <t>Book total 11796 is 6 less than the lines</t>
  </si>
  <si>
    <t>Page 225 (first column already entered from page 224 photo)</t>
  </si>
  <si>
    <t>Last line</t>
  </si>
  <si>
    <t>Opening Total 7233 (account 104)</t>
  </si>
  <si>
    <t>First digit scribbled out</t>
  </si>
  <si>
    <t>CHECK: Book total 8419 is 100 less than the lines</t>
  </si>
  <si>
    <t>Book: paid 8000 on 15/9, BAKI 419</t>
  </si>
  <si>
    <t>Eggs?</t>
  </si>
  <si>
    <t>CHECK: Book total 9546 is 160 less than the lines</t>
  </si>
  <si>
    <t>Book: paid 2000, BAK 7546</t>
  </si>
  <si>
    <t>Book: paid 4600 (date looks like 5/11?)</t>
  </si>
  <si>
    <t>CHECK: 2946 written with a date and crossed; the next total (3000) starts from zero, so read as paid</t>
  </si>
  <si>
    <t>Book total 3000 is 10 more than the lines</t>
  </si>
  <si>
    <t>Book: TO 3000 crossed = paid</t>
  </si>
  <si>
    <t>CHECK: written as 'BALANCE 1900'. Counted as a purchase because the next total needs it</t>
  </si>
  <si>
    <t>Book total 5176 is 20 less than the lines</t>
  </si>
  <si>
    <t>Book total 5836 is 60 less than the lines</t>
  </si>
  <si>
    <t>Book: paid 4000 (date looks like 14/12), BAK 1836</t>
  </si>
  <si>
    <t>Book: TO 1981</t>
  </si>
  <si>
    <t>Read clearly on page 223 photo. Book: TO 2181</t>
  </si>
  <si>
    <t>CUST_021</t>
  </si>
  <si>
    <t>Opening BAKI 3462 (account 103)</t>
  </si>
  <si>
    <t>Book: TC 3602</t>
  </si>
  <si>
    <t>Book: paid 3000 on 7/9, BAK 602</t>
  </si>
  <si>
    <t>Book: Tol 5540</t>
  </si>
  <si>
    <t>Book: paid 1000, BAKI 4540</t>
  </si>
  <si>
    <t>Book: paid 800, BAK 3740</t>
  </si>
  <si>
    <t>Book: paid 1000 on 3/10</t>
  </si>
  <si>
    <t>Book: paid 1000 on 6/10, BAK 1740 (scribbled lines above not counted)</t>
  </si>
  <si>
    <t>Book: paid 1500, BAK 240</t>
  </si>
  <si>
    <t>Read as 1324 (looks like 1724): makes Tol 6872 exact</t>
  </si>
  <si>
    <t>Book: Tol 6872</t>
  </si>
  <si>
    <t>Book: paid 800 on 5/11, BAK 6072</t>
  </si>
  <si>
    <t>Book: paid 5000, BAKI 1072</t>
  </si>
  <si>
    <t>Book: 7/11 CASH, balance written as 672</t>
  </si>
  <si>
    <t>CHECK: Book total 8201 is 220 less than the lines</t>
  </si>
  <si>
    <t>Book: paid 1000, BAK 7201 (crossed lines below not counted)</t>
  </si>
  <si>
    <t>Book: paid 1000, BAKI 6201</t>
  </si>
  <si>
    <t>Book: paid 1000 on 7/12, BAKI 5201</t>
  </si>
  <si>
    <t>Book: paid 500 on 11/12</t>
  </si>
  <si>
    <t>Book: paid 500 on 12/12</t>
  </si>
  <si>
    <t>Book: paid 500 on 14/12</t>
  </si>
  <si>
    <t>Book: paid 500 on 15/12</t>
  </si>
  <si>
    <t>Page 221 top: paid 1000, BAKI 2201</t>
  </si>
  <si>
    <t>Page 221 top: paid 500, BAK 1701</t>
  </si>
  <si>
    <t>Page 221 top: paid 500, BAK 1201</t>
  </si>
  <si>
    <t>Date written like 15/1</t>
  </si>
  <si>
    <t>Book total 4450 is 61 less than the lines</t>
  </si>
  <si>
    <t>Book: paid 800, BAKI 3650</t>
  </si>
  <si>
    <t>Book: paid 500, BAKI 3150</t>
  </si>
  <si>
    <t>Book: paid 500, BAKI 2650</t>
  </si>
  <si>
    <t>Book: paid 900, BAKI 1750</t>
  </si>
  <si>
    <t>Book: paid 500, BAKI 1250</t>
  </si>
  <si>
    <t>Book: paid 500, BAK 750. Next column cut off at page edge</t>
  </si>
  <si>
    <t>Page 221 column 2</t>
  </si>
  <si>
    <t>Book: Total 4037</t>
  </si>
  <si>
    <t>Book: Tol 4119</t>
  </si>
  <si>
    <t>Book: paid 1500 on 2/2/23, BAKI 2619</t>
  </si>
  <si>
    <t>Book: TOL 2639</t>
  </si>
  <si>
    <t>Book: paid 500 on 7/2, BAKI 2139</t>
  </si>
  <si>
    <t>Book: paid 600 on 11/2, BAKI 1539</t>
  </si>
  <si>
    <t>Book: paid 500 on 12/2/23, BAKI 1039</t>
  </si>
  <si>
    <t>Book: paid 1000 on 2/3/23, BAK 39</t>
  </si>
  <si>
    <t>CUST_022</t>
  </si>
  <si>
    <t>Account 69, printed page number not visible. Opening 0</t>
  </si>
  <si>
    <t>Book: TL 3006</t>
  </si>
  <si>
    <t>Book: TG 3484</t>
  </si>
  <si>
    <t>Book: paid 2000 on 9/10</t>
  </si>
  <si>
    <t>Book total 5379 is 60 less than the lines</t>
  </si>
  <si>
    <t>Book total 7876 is 3 less than the lines</t>
  </si>
  <si>
    <t>Book: TG 8579</t>
  </si>
  <si>
    <t>Book: paid 2000 (December), BAK 6579</t>
  </si>
  <si>
    <t>CHECK: Book total 9972 is 611 less than the lines</t>
  </si>
  <si>
    <t>500 added with a Kannada label: Total 10472</t>
  </si>
  <si>
    <t>Book: paid 4000, BAK 6472</t>
  </si>
  <si>
    <t>INTEREST: book writes "int 200" and adds it: TG 6672</t>
  </si>
  <si>
    <t>CUST_023</t>
  </si>
  <si>
    <t>Account 68. Opening 0</t>
  </si>
  <si>
    <t>Book: TL 2470</t>
  </si>
  <si>
    <t>Book: 2470 written with a date and crossed = paid</t>
  </si>
  <si>
    <t>Book: Tol 2878</t>
  </si>
  <si>
    <t>Date not written. Book: TL 2938</t>
  </si>
  <si>
    <t>Book: paid 2935</t>
  </si>
  <si>
    <t>3 let go</t>
  </si>
  <si>
    <t>Date written like 18/1</t>
  </si>
  <si>
    <t>Book: TL 4336</t>
  </si>
  <si>
    <t>Book: paid 2000 on 6/2/23, BAKI 2336</t>
  </si>
  <si>
    <t>Book: Tol 5226</t>
  </si>
  <si>
    <t>Book: Tol 5918</t>
  </si>
  <si>
    <t>Book: paid 5000, BAK 918</t>
  </si>
  <si>
    <t>Read as 193: makes Tol 4570 exact</t>
  </si>
  <si>
    <t>Book: Tol 4570</t>
  </si>
  <si>
    <t>Book: paid 4000 (date looks like 9/4), BAK 570</t>
  </si>
  <si>
    <t>Book: TL 3239</t>
  </si>
  <si>
    <t>Kannada label, date not written. Book: Tol 3399</t>
  </si>
  <si>
    <t>CUST_024</t>
  </si>
  <si>
    <t>Opening BAK 1465 (account 56). Year read from '12/3/22' later on the page</t>
  </si>
  <si>
    <t>Book: TL 1773</t>
  </si>
  <si>
    <t>Date not written. Book: TG 2597</t>
  </si>
  <si>
    <t>Book: paid 500</t>
  </si>
  <si>
    <t>Date written as 18/. Book: TL 2960</t>
  </si>
  <si>
    <t>Book: paid 600</t>
  </si>
  <si>
    <t>Date written like 3/11. Book: TL 2645</t>
  </si>
  <si>
    <t>Book: paid 2000, BAL 645</t>
  </si>
  <si>
    <t>Book: T 1129</t>
  </si>
  <si>
    <t>Date not written. Book: TL 1271</t>
  </si>
  <si>
    <t>Book: TL 2294</t>
  </si>
  <si>
    <t>Book: paid 2000 (March), BAK 294</t>
  </si>
  <si>
    <t>Book: TL 2945</t>
  </si>
  <si>
    <t>Book: TG 2965</t>
  </si>
  <si>
    <t>Book: paid 1000 (date looks like 5/4)</t>
  </si>
  <si>
    <t>Book: 1965 written twice and crossed = paid</t>
  </si>
  <si>
    <t>Book: Tol 2738</t>
  </si>
  <si>
    <t>Book: Tol 3602</t>
  </si>
  <si>
    <t>Book: paid 500, BAK 3102</t>
  </si>
  <si>
    <t>Book: T 4110</t>
  </si>
  <si>
    <t>Book: TL 5130</t>
  </si>
  <si>
    <t>Book: paid 5000 (June), BAK 130</t>
  </si>
  <si>
    <t>Book: T 985</t>
  </si>
  <si>
    <t>CUST_025</t>
  </si>
  <si>
    <t>Opening Total 2051 (account 30)</t>
  </si>
  <si>
    <t>Book: Tol 2751</t>
  </si>
  <si>
    <t>Book: paid 2000 on 8/10, BAKI 751</t>
  </si>
  <si>
    <t>Overwritten, read as 350: makes Tol 2586 exact</t>
  </si>
  <si>
    <t>Read as 85: makes Tol 2586 exact</t>
  </si>
  <si>
    <t>Book: Tol 2586</t>
  </si>
  <si>
    <t>Book: Total 3286</t>
  </si>
  <si>
    <t>Book: paid 2500 on 7/12</t>
  </si>
  <si>
    <t>Book: TL 2248</t>
  </si>
  <si>
    <t>Book: TL 3052</t>
  </si>
  <si>
    <t>Small 20 under 700. Book: Tol 3960</t>
  </si>
  <si>
    <t>Book: Tol 4917</t>
  </si>
  <si>
    <t>Book: 5162</t>
  </si>
  <si>
    <t>Book: paid 2500 (early February), BAKI 2662</t>
  </si>
  <si>
    <t>Book: TL 5006</t>
  </si>
  <si>
    <t>Book: Total 5668</t>
  </si>
  <si>
    <t>Book: TL 6799</t>
  </si>
  <si>
    <t>Book: TL 6830</t>
  </si>
  <si>
    <t>CUST_026</t>
  </si>
  <si>
    <t>Opening Total 4427 (account 63)</t>
  </si>
  <si>
    <t>Book: paid 4427 on 8/9</t>
  </si>
  <si>
    <t>Book: TL 2731</t>
  </si>
  <si>
    <t>Date written like 3/9. Book: TG 3603</t>
  </si>
  <si>
    <t>Book: paid 3000 on 9/10</t>
  </si>
  <si>
    <t>Book total 6148 is 1 less than the lines</t>
  </si>
  <si>
    <t>Book: paid 6000 on 6/11</t>
  </si>
  <si>
    <t>Book: Total 6595</t>
  </si>
  <si>
    <t>Book: paid 6500 (late November)</t>
  </si>
  <si>
    <t>Crossed-out 80 above not counted</t>
  </si>
  <si>
    <t>Book: TC 6680</t>
  </si>
  <si>
    <t>Book: paid 3000, BAK 3680</t>
  </si>
  <si>
    <t>Book: paid 500 on 5/1, BAKI 3180</t>
  </si>
  <si>
    <t>CASH given to the customer (written '200 CASH')</t>
  </si>
  <si>
    <t>Book total 7003 is 11 more than the lines</t>
  </si>
  <si>
    <t>Book: paid 5000, BAK 2003</t>
  </si>
  <si>
    <t>CHECK: Book total 7321 is 158 less than the lines</t>
  </si>
  <si>
    <t>Book: paid 5000 (date looks like 7/3), BAL 2321</t>
  </si>
  <si>
    <t>Book: Total 4514</t>
  </si>
  <si>
    <t>Book: TL 5294</t>
  </si>
  <si>
    <t>Book: paid 5000 (April), BAK 294</t>
  </si>
  <si>
    <t>Date written like 24/6</t>
  </si>
  <si>
    <t>Book total 3680 is 30 more than the lines</t>
  </si>
  <si>
    <t>Book: paid 3600, balance 80</t>
  </si>
  <si>
    <t>Book: Total 2942</t>
  </si>
  <si>
    <t>CUST_027</t>
  </si>
  <si>
    <t>Opening Total 7444 (account 87, older book of the S.P.S. account)</t>
  </si>
  <si>
    <t>Book: Total 8227</t>
  </si>
  <si>
    <t>Book: paid 6000 (September), BAK 2227</t>
  </si>
  <si>
    <t>Book: 2227 written again and crossed = paid</t>
  </si>
  <si>
    <t>Dates in this block written like 9/8, 10/8 (read as September)</t>
  </si>
  <si>
    <t>Book total 6193 is 80 less than the lines</t>
  </si>
  <si>
    <t>Book: paid 3000, BAK 3193</t>
  </si>
  <si>
    <t>Book: paid 2700 on 12/10, BAK 493</t>
  </si>
  <si>
    <t>CHECK: BAK 493 is not in the next total (9074 = only the new lines), read as paid</t>
  </si>
  <si>
    <t>Book: Tol 9074</t>
  </si>
  <si>
    <t>Book: paid 8000 on 11/11, BAK 1074</t>
  </si>
  <si>
    <t>Book: paid 500, BAKI 574</t>
  </si>
  <si>
    <t>CHECK: next total 8131 = new lines + 74, so another 500 was paid</t>
  </si>
  <si>
    <t>Book: Tot 8131</t>
  </si>
  <si>
    <t>Book: paid 8100 on 10/12</t>
  </si>
  <si>
    <t>31 let go</t>
  </si>
  <si>
    <t>Older book (pages 188-189), same S.P.S. account. Starts after Tol 8131 paid 8100 on 10/12</t>
  </si>
  <si>
    <t>Scribbled line below not counted</t>
  </si>
  <si>
    <t>Book total 9107 is 62 more than the lines</t>
  </si>
  <si>
    <t>Book: paid 9100</t>
  </si>
  <si>
    <t>7 let go</t>
  </si>
  <si>
    <t>Book total 9542 is 7 less than the lines</t>
  </si>
  <si>
    <t>Book: paid 8500 on 14/2, balance 1042</t>
  </si>
  <si>
    <t>Opening Total 6768 (account 52)</t>
  </si>
  <si>
    <t>Book: Total 15061</t>
  </si>
  <si>
    <t>Book: Total 15194</t>
  </si>
  <si>
    <t>Book: paid 11000 (date looks like 9/1), BAKI 4194</t>
  </si>
  <si>
    <t>Book: 4194 written again and crossed, next total starts from zero = paid</t>
  </si>
  <si>
    <t>Crossed-out rice line above not counted</t>
  </si>
  <si>
    <t>Gas and rice</t>
  </si>
  <si>
    <t>Book: Total 11712</t>
  </si>
  <si>
    <t>Rice. Book: Total 12752</t>
  </si>
  <si>
    <t>Book: paid 10000 (February), BAKI 2752</t>
  </si>
  <si>
    <t>Read as 5014 (looks like 504): makes Total 17415 exact</t>
  </si>
  <si>
    <t>Oil</t>
  </si>
  <si>
    <t>Read as 303: makes Total 17415 exact</t>
  </si>
  <si>
    <t>Book: Total 17415</t>
  </si>
  <si>
    <t>Date written like 10/2. Book: TL 17656</t>
  </si>
  <si>
    <t>Book: paid 17100 (date looks like 15/3), BALANCE 556</t>
  </si>
  <si>
    <t>Soap</t>
  </si>
  <si>
    <t>Book total 14456 is 14 more than the lines</t>
  </si>
  <si>
    <t>Book: paid 12500 (April), BAKI 1956</t>
  </si>
  <si>
    <t>Book: BAKI 1956 crossed and not in the next total = paid</t>
  </si>
  <si>
    <t>Rice and gas</t>
  </si>
  <si>
    <t>Book total 12131 is 16 more than the lines</t>
  </si>
  <si>
    <t>Book: 12231. Continues on page 113</t>
  </si>
  <si>
    <t>CHECK: page 113 opens with BAKI 191 after Total 12231, so about 12040 was paid (not written)</t>
  </si>
  <si>
    <t>Book: Tol 17203</t>
  </si>
  <si>
    <t>Book: paid 4320 (June), T 12883</t>
  </si>
  <si>
    <t>Book: 12880 written and crossed = paid</t>
  </si>
  <si>
    <t>Book total 14778 is 4 less than the lines</t>
  </si>
  <si>
    <t>Book: paid 14000 (date looks like 12/7), BAK 778</t>
  </si>
  <si>
    <t>CHECK: BAK 778 is not in the next total (6350), read as paid</t>
  </si>
  <si>
    <t>Book: T 6350</t>
  </si>
  <si>
    <t>Account_No</t>
  </si>
  <si>
    <t>151, 95</t>
  </si>
  <si>
    <t>Pages 204 (2022, acct 95) and 316-317 (2023, acct 151). Paid in full most months, old 2633 owed in 2023</t>
  </si>
  <si>
    <t>Pages 206-207, Sep-Dec 2022. Big totals (9-15k) paid in full</t>
  </si>
  <si>
    <t>none (p205)</t>
  </si>
  <si>
    <t>Small account on page 205, Sep 2022-Jan 2023. Buys 10-80, pays 200-688</t>
  </si>
  <si>
    <t>Small account on page 205, Sep 2022. Owes 831, no payment seen</t>
  </si>
  <si>
    <t>Page 219, Sep 2022-Jun 2023. Pays most of each bill, leaves small balance</t>
  </si>
  <si>
    <t>Pages 244-245, Sep 2022-Apr 2023</t>
  </si>
  <si>
    <t>Page 238, Mar-Jul 2024. Daily small buys, lump payments</t>
  </si>
  <si>
    <t>Pages 236-237, Mar-May 2024. Very heavy buyer, owes ~16k</t>
  </si>
  <si>
    <t>Page 230, Feb-Jul 2024. Pays part each month</t>
  </si>
  <si>
    <t>Pages 178-179, Dec 2023-Jul 2024</t>
  </si>
  <si>
    <t>Pages 228-229, Sep 2022-2023. Settled fully at the end</t>
  </si>
  <si>
    <t>106, 156</t>
  </si>
  <si>
    <t>Pages 226-227, Sep 2022-Feb 2023. Big balance 8-10k carried. Page 326 (acct 156) skipped, blurry</t>
  </si>
  <si>
    <t>Page 234, Sep 2022-May 2023</t>
  </si>
  <si>
    <t>Pages 224-225, Sep 2022-Jun 2023. Very large, pays 5-8k chunks</t>
  </si>
  <si>
    <t>Pages 222-223, Sep-Dec 2022. Pays in big chunks</t>
  </si>
  <si>
    <t>Pages 220-221, Sep 2022-Mar 2023. Many 500 instalments</t>
  </si>
  <si>
    <t>Sep 2022-Jan 2023. Dad charged INTEREST (int 200)</t>
  </si>
  <si>
    <t>Page 150, Sep 2022-May 2023. Few big buys, regular payments</t>
  </si>
  <si>
    <t>Page 126, ~Nov 2021-Jun 2022 (year inferred)</t>
  </si>
  <si>
    <t>Page 74, Sep 2022-Apr 2023. Balance growing to 6830</t>
  </si>
  <si>
    <t>Page 140, Sep 2022-Jun 2023. Big buyer, pays 5-6.5k</t>
  </si>
  <si>
    <t>52, 87</t>
  </si>
  <si>
    <t>Pages 188-189 (2022-23, acct 87) and 112-113 (2023-24, acct 52). Business-size buyer. Balance is per book: older book ended 1042 in Feb 2023</t>
  </si>
  <si>
    <t>Row Labels</t>
  </si>
  <si>
    <t>Grand Total</t>
  </si>
  <si>
    <t>Sum of Amount</t>
  </si>
  <si>
    <t>2024-07</t>
  </si>
  <si>
    <t>2024-06</t>
  </si>
  <si>
    <t>2024-05</t>
  </si>
  <si>
    <t>2024-04</t>
  </si>
  <si>
    <t>2024-03</t>
  </si>
  <si>
    <t>2024-02</t>
  </si>
  <si>
    <t>2024-01</t>
  </si>
  <si>
    <t>2023-12</t>
  </si>
  <si>
    <t>2023-02</t>
  </si>
  <si>
    <t>2023-01</t>
  </si>
  <si>
    <t>2022-12</t>
  </si>
  <si>
    <t>2022-11</t>
  </si>
  <si>
    <t>2022-10</t>
  </si>
  <si>
    <t>2022-09</t>
  </si>
  <si>
    <t>Total_Bought</t>
  </si>
  <si>
    <t>Month</t>
  </si>
  <si>
    <t>Total_Paid</t>
  </si>
  <si>
    <t>Adjustments</t>
  </si>
  <si>
    <t>Owes_Now</t>
  </si>
  <si>
    <t>Pct_Paid</t>
  </si>
  <si>
    <t>Share_of_Sales</t>
  </si>
  <si>
    <t>Purchase_Entries</t>
  </si>
  <si>
    <t>Last_Purchase</t>
  </si>
  <si>
    <t>Customer_Type</t>
  </si>
  <si>
    <t>TOTAL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</si>
  <si>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</si>
  <si>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</si>
  <si>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</si>
  <si>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</si>
  <si>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</si>
  <si>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</si>
  <si>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</si>
  <si>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</si>
  <si>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</si>
  <si>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</si>
  <si>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</si>
  <si>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</si>
  <si>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</si>
  <si>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</si>
  <si>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</si>
  <si>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</si>
  <si>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</si>
  <si>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</si>
  <si>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</si>
  <si>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</si>
  <si>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</si>
  <si>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</si>
  <si>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</si>
  <si>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</si>
  <si>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</si>
  <si>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</si>
  <si>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</si>
  <si>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</si>
  <si>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All_Customers</t>
  </si>
  <si>
    <t>Business question: who is buying less over time? (early warning)</t>
  </si>
  <si>
    <t>CUST_001 fell from Rs 4,702 (Jan 2025) to Rs 1,621 (Mar 2025) and bought nothing in Apr 2025, while still owing Rs 10,301. CUST_002 stayed between Rs 4,500 and Rs 7,100 a month and owes nothing.</t>
  </si>
  <si>
    <t>Note: Nov 2024 is the first month in the book for both, so it is a part month.</t>
  </si>
  <si>
    <t>Check</t>
  </si>
  <si>
    <t>Result</t>
  </si>
  <si>
    <t>Status</t>
  </si>
  <si>
    <t>What it means</t>
  </si>
  <si>
    <t>Total rows in Ledger</t>
  </si>
  <si>
    <t>Every line from dad's book</t>
  </si>
  <si>
    <t>Rows with blank Date</t>
  </si>
  <si>
    <t>Mostly payments where dad wrote no date; they still count in balances</t>
  </si>
  <si>
    <t>Rows with blank Customer_ID</t>
  </si>
  <si>
    <t>Every row must belong to a customer</t>
  </si>
  <si>
    <t>Rows with blank Amount</t>
  </si>
  <si>
    <t>Every row must have an amount</t>
  </si>
  <si>
    <t>Purchase rows</t>
  </si>
  <si>
    <t>Payment rows</t>
  </si>
  <si>
    <t>Old_Balance rows</t>
  </si>
  <si>
    <t>Adjustment rows</t>
  </si>
  <si>
    <t>Rows with any other Type</t>
  </si>
  <si>
    <t>Should be 0: every row is one of the 4 types</t>
  </si>
  <si>
    <t>Total of Adjustments (Rs)</t>
  </si>
  <si>
    <t>Net money in dad's totals with no written line; small = book is reliable</t>
  </si>
  <si>
    <t>Yellow CHECK rows</t>
  </si>
  <si>
    <t>Purchases below zero</t>
  </si>
  <si>
    <t>A purchase can never be negative</t>
  </si>
  <si>
    <t>Customer IDs not in Customers sheet</t>
  </si>
  <si>
    <t>XLOOKUP found a type for every row</t>
  </si>
  <si>
    <t>Earliest date</t>
  </si>
  <si>
    <t>Latest date</t>
  </si>
  <si>
    <t>Purchases: Ledger total (Rs)</t>
  </si>
  <si>
    <t>Purchases: Customer_Summary total (Rs)</t>
  </si>
  <si>
    <t>Two methods give the same total</t>
  </si>
  <si>
    <t>Purchases: Monthly_Purchases total (Rs)</t>
  </si>
  <si>
    <t>No purchase row is missing a month</t>
  </si>
  <si>
    <t>Total owed by all customers now (Rs)</t>
  </si>
  <si>
    <t>Money the shop is waiting to collect</t>
  </si>
  <si>
    <t>Unclear entries to confirm with dad (notes starting 'CHECK:'; 'Checked' notes are already confirmed)</t>
  </si>
  <si>
    <t>Where</t>
  </si>
  <si>
    <t>Formula (row 2)</t>
  </si>
  <si>
    <t>In plain English</t>
  </si>
  <si>
    <t>Business question</t>
  </si>
  <si>
    <t>Top_Customers (pivot)</t>
  </si>
  <si>
    <t>Show Values As &gt; % of Grand Total</t>
  </si>
  <si>
    <t>Each customer's purchases as a share of all purchases</t>
  </si>
  <si>
    <t>How much does the shop depend on its biggest customers?</t>
  </si>
  <si>
    <t>Customer_Summary B Total_Bought</t>
  </si>
  <si>
    <t>=SUMIFS(Table1[Amount],Table1[Customer_ID],A2,Table1[Type],"Purchase")</t>
  </si>
  <si>
    <t>Add Amount where Customer_ID = this customer AND Type = Purchase</t>
  </si>
  <si>
    <t>How much has each customer bought?</t>
  </si>
  <si>
    <t>Customer_Summary C Total_Paid</t>
  </si>
  <si>
    <t>=SUMIFS(Table1[Amount],Table1[Customer_ID],A2,Table1[Type],"Payment")</t>
  </si>
  <si>
    <t>Same, but Type = Payment</t>
  </si>
  <si>
    <t>How much has each customer paid?</t>
  </si>
  <si>
    <t>Customer_Summary D Old_Balance</t>
  </si>
  <si>
    <t>=SUMIFS(... "Old_Balance")</t>
  </si>
  <si>
    <t>Dues already owed when dad started a page/book</t>
  </si>
  <si>
    <t>How much was owed before our data starts?</t>
  </si>
  <si>
    <t>Customer_Summary E Adjustments</t>
  </si>
  <si>
    <t>=SUMIFS(... "Adjustment")</t>
  </si>
  <si>
    <t>Amounts in dad's totals with no written line (can be minus)</t>
  </si>
  <si>
    <t>Does our balance match dad's book?</t>
  </si>
  <si>
    <t>Customer_Summary F Owes_Now</t>
  </si>
  <si>
    <t>=D2+B2+E2-C2</t>
  </si>
  <si>
    <t>Old balance + bought + adjustments - paid</t>
  </si>
  <si>
    <t>Who owes the most right now?</t>
  </si>
  <si>
    <t>Customer_Summary G Pct_Paid</t>
  </si>
  <si>
    <t>=IFERROR(C2/(B2+D2+E2),0)</t>
  </si>
  <si>
    <t>Paid / everything billed. IFERROR shows 0 instead of an error if nothing was billed. Red if below 70% (Conditional Formatting)</t>
  </si>
  <si>
    <t>Who pays in full vs who keeps a balance?</t>
  </si>
  <si>
    <t>Customer_Summary H Share_of_Sales</t>
  </si>
  <si>
    <t>=B2/SUM($B$2:$B$28)</t>
  </si>
  <si>
    <t>This customer's purchases / all purchases. $ locks the range so it does not move when filled down</t>
  </si>
  <si>
    <t>Concentration risk, same as the pivot</t>
  </si>
  <si>
    <t>Customer_Summary I Purchase_Entries</t>
  </si>
  <si>
    <t>=COUNTIFS(Table1[Customer_ID],A2,Table1[Type],"Purchase")</t>
  </si>
  <si>
    <t>COUNT rows (not add) that match both conditions</t>
  </si>
  <si>
    <t>How often does each customer buy?</t>
  </si>
  <si>
    <t>Customer_Summary J Last_Purchase</t>
  </si>
  <si>
    <t>=MAXIFS(Table1[Date],Table1[Customer_ID],A2,Table1[Type],"Purchase")</t>
  </si>
  <si>
    <t>Latest date among this customer's purchases</t>
  </si>
  <si>
    <t>Who has stopped coming?</t>
  </si>
  <si>
    <t>Customer_Summary K Customer_Type</t>
  </si>
  <si>
    <t>=XLOOKUP(A2,Customers!$A$2:$A$28,Customers!$D$2:$D$28,"Not found")</t>
  </si>
  <si>
    <t>Find A2 in the Customers ID list, return the type from the same row</t>
  </si>
  <si>
    <t>Does dad's label match the numbers?</t>
  </si>
  <si>
    <t>Ledger I Customer_Type</t>
  </si>
  <si>
    <t>=XLOOKUP([@[Customer_ID]],Customers!$A$2:$A$28,Customers!$D$2:$D$28,"Not found")</t>
  </si>
  <si>
    <t>Same lookup inside the Table; [@[Customer_ID]] means 'this row's Customer_ID'</t>
  </si>
  <si>
    <t>Lets you filter the Ledger by customer type</t>
  </si>
  <si>
    <t>Monthly_Visits B2</t>
  </si>
  <si>
    <t>=COUNTIFS(Table1[Customer_ID],B$1,Table1[Month],$A2,Table1[Type],"Purchase")</t>
  </si>
  <si>
    <t>B$1 locks the ROW (customer header), $A2 locks the COLUMN (month), so one formula fills the whole grid</t>
  </si>
  <si>
    <t>Who is buying less often over time?</t>
  </si>
  <si>
    <t>Monthly_Purchases B2</t>
  </si>
  <si>
    <t>=SUMIFS(Table1[Amount],Table1[Customer_ID],B$1,Table1[Month],$A2,Table1[Type],"Purchase")</t>
  </si>
  <si>
    <t>Same grid, but adds Rs instead of counting</t>
  </si>
  <si>
    <t>Who is spending less over time?</t>
  </si>
  <si>
    <t>Charts</t>
  </si>
  <si>
    <t>Insert &gt; Line chart from Monthly_Purchases A38:C43</t>
  </si>
  <si>
    <t>Line chart, months on X axis, one line per customer</t>
  </si>
  <si>
    <t>Early warning: CUST_001 falling vs CUST_002 steady</t>
  </si>
  <si>
    <t>Data_Checks</t>
  </si>
  <si>
    <t>COUNTBLANK, COUNTIF, ROWS, MIN, MAX</t>
  </si>
  <si>
    <t>Count blanks, count CHECK notes, compare totals from 3 methods</t>
  </si>
  <si>
    <t>Can we trust the data before analysing it?</t>
  </si>
  <si>
    <t>KEY FINDINGS</t>
  </si>
  <si>
    <t>1</t>
  </si>
  <si>
    <t>CUST_027 = 20.9% of credit purchases; top 5 customers = 47.9%</t>
  </si>
  <si>
    <t>2</t>
  </si>
  <si>
    <t>Customers owe Rs 1,15,826 in total. Biggest: CUST_013 16,273, CUST_019 13,007, CUST_001 10,301</t>
  </si>
  <si>
    <t>3</t>
  </si>
  <si>
    <t>Overall 85.3% of everything billed has been paid. 7 customers have paid less than 70% (red in column G)</t>
  </si>
  <si>
    <t>4</t>
  </si>
  <si>
    <t>CUST_007, CUST_015 and CUST_018 are labelled 'Pays full' but still owe 9,084 / 4,109 / 3,172 - ask dad</t>
  </si>
  <si>
    <t>5</t>
  </si>
  <si>
    <t>CUST_001 purchases fell from Rs 4,702 (Jan 2025) to Rs 1,621 (Mar 2025) and stopped in Apr 2025 while owing Rs 10,301</t>
  </si>
  <si>
    <t>CUST_028</t>
  </si>
  <si>
    <t>Tot 2858 at the top of the page = older dues</t>
  </si>
  <si>
    <t>Read as 143 (looks like 149) so dad's Tot 3987 matches</t>
  </si>
  <si>
    <t>Book: Tot 4525</t>
  </si>
  <si>
    <t>Book: paid 7/12 4500; BAKI 25</t>
  </si>
  <si>
    <t>Date written 12/11</t>
  </si>
  <si>
    <t>CHECK: digit overwritten (278 or 288); 288 makes dad's Total 3183 match</t>
  </si>
  <si>
    <t>Book: Total 3183</t>
  </si>
  <si>
    <t>Book: Tot 3205</t>
  </si>
  <si>
    <t>Date not written; paid after Tot 3205 (6/1/25); BAKI 05</t>
  </si>
  <si>
    <t>CHECK: middle digit overwritten (428 or 498); no total yet to confirm</t>
  </si>
  <si>
    <t>CHECK: page continues in a 4th column (25/1/25 - 7/2/25 with Tot 4446) that is cut off in the photo; retake the right side</t>
  </si>
  <si>
    <t>CUST_029</t>
  </si>
  <si>
    <t>CHECK: 5520 in one day; may be older dues carried from the previous page</t>
  </si>
  <si>
    <t>CHAVAL (rice)</t>
  </si>
  <si>
    <t>Book: Tot 9093</t>
  </si>
  <si>
    <t>Book: 5/1/24 3000 (year slip; read as 2025); BAKI 6093</t>
  </si>
  <si>
    <t>Book: 11/1 4000; BAKI 2093</t>
  </si>
  <si>
    <t>CHECK: BAKI 2093 written again with 11/1 and crossed; read as paid (next total 7238 does not include it)</t>
  </si>
  <si>
    <t>CHECK: dad's Tot 7238 is 7 more than the lines (7231); one digit may be misread</t>
  </si>
  <si>
    <t>Book: Pd 10/2 7238; balance 0</t>
  </si>
  <si>
    <t>Written 12/2 OIL</t>
  </si>
  <si>
    <t>CHECK: first digit overwritten (72 or 82); no total to confirm</t>
  </si>
  <si>
    <t>CHECK: CHAVAL (rice); page continues on the next page (cut off at the right edge); no total yet to confirm Feb</t>
  </si>
  <si>
    <t>Page 200, Nov 2024-Feb 2025. Old dues 2858; paid 4500 (7/12) and 3200 (Jan). 4th column (25/1-7/2) cut off in photo - retake</t>
  </si>
  <si>
    <t>Page 244, Dec 2024-Feb 2025. Big buyer (rice, gas). Paid Dec total 9093 and Jan total 7238 in full. Acct number unclear (114?)</t>
  </si>
  <si>
    <t>114?</t>
  </si>
  <si>
    <t>Public copy: the customer names column has been removed from the Customers sheet.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</si>
</sst>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[&gt;=10000000]##\,##\,##\,##0;[&gt;=100000]##\,##\,##0;##,##0"/>
    <numFmt numFmtId="166" formatCode="0.0%"/>
  </numFmts>
  <fonts count="9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9A3412"/>
      <name val="Calibri"/>
    </font>
    <font>
      <b/>
      <sz val="13"/>
      <name val="Calibri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8"/>
      <name val="Calibri"/>
      <family val="2"/>
      <scheme val="minor"/>
    </font>
    <font>
      <b/>
      <sz val="10"/>
      <color theme="1"/>
      <name val="Arial Unicode MS"/>
    </font>
  </fonts>
  <fills count="7">
    <fill>
      <patternFill patternType="none"/>
    </fill>
    <fill>
      <patternFill patternType="gray125"/>
    </fill>
    <fill>
      <patternFill patternType="solid">
        <fgColor rgb="FF1F5F5B"/>
      </patternFill>
    </fill>
    <fill>
      <patternFill patternType="solid">
        <fgColor rgb="FFFFF2CC"/>
        <bgColor indexed="64"/>
      </patternFill>
    </fill>
    <fill>
      <patternFill patternType="solid">
        <fgColor rgb="FF1F5F5B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Font="1"/>
    <xf numFmtId="0" fontId="1" fillId="2" borderId="0" xfId="0" applyFont="1" applyFill="1" applyAlignment="1">
      <alignment horizontal="center"/>
    </xf>
    <xf numFmtId="164" fontId="0" fillId="0" borderId="0" xfId="0" applyNumberFormat="1"/>
    <xf numFmtId="3" fontId="0" fillId="0" borderId="0" xfId="0" applyNumberFormat="1"/>
    <xf numFmtId="0" fontId="1" fillId="2" borderId="0" xfId="0" applyFont="1" applyFill="1"/>
    <xf numFmtId="0" fontId="2" fillId="0" borderId="0" xfId="0" applyFont="1"/>
    <xf numFmtId="0" fontId="0" fillId="3" borderId="0" xfId="0" applyFill="1"/>
    <xf numFmtId="3" fontId="0" fillId="3" borderId="0" xfId="0" applyNumberFormat="1" applyFill="1"/>
    <xf numFmtId="14" fontId="0" fillId="0" borderId="0" xfId="0" applyNumberFormat="1"/>
    <xf numFmtId="14" fontId="0" fillId="3" borderId="0" xfId="0" applyNumberFormat="1" applyFill="1"/>
    <xf numFmtId="0" fontId="4" fillId="4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5" fillId="0" borderId="0" xfId="0" applyFont="1"/>
    <xf numFmtId="165" fontId="0" fillId="0" borderId="0" xfId="0" applyNumberFormat="1"/>
    <xf numFmtId="166" fontId="0" fillId="0" borderId="0" xfId="0" applyNumberFormat="1"/>
    <xf numFmtId="1" fontId="0" fillId="0" borderId="0" xfId="0" applyNumberFormat="1"/>
    <xf numFmtId="165" fontId="5" fillId="0" borderId="0" xfId="0" applyNumberFormat="1" applyFont="1"/>
    <xf numFmtId="1" fontId="5" fillId="0" borderId="0" xfId="0" applyNumberFormat="1" applyFont="1"/>
    <xf numFmtId="0" fontId="5" fillId="0" borderId="1" xfId="0" applyFont="1" applyBorder="1"/>
    <xf numFmtId="165" fontId="5" fillId="0" borderId="1" xfId="0" applyNumberFormat="1" applyFont="1" applyBorder="1"/>
    <xf numFmtId="166" fontId="5" fillId="0" borderId="1" xfId="0" applyNumberFormat="1" applyFont="1" applyBorder="1"/>
    <xf numFmtId="1" fontId="5" fillId="0" borderId="1" xfId="0" applyNumberFormat="1" applyFont="1" applyBorder="1"/>
    <xf numFmtId="0" fontId="5" fillId="5" borderId="0" xfId="0" applyFont="1" applyFill="1"/>
    <xf numFmtId="0" fontId="8" fillId="5" borderId="0" xfId="0" applyFont="1" applyFill="1"/>
    <xf numFmtId="49" fontId="0" fillId="0" borderId="0" xfId="0" applyNumberFormat="1"/>
    <xf numFmtId="0" fontId="6" fillId="4" borderId="0" xfId="0" applyFont="1" applyFill="1" applyAlignment="1">
      <alignment horizontal="center"/>
    </xf>
    <xf numFmtId="0" fontId="5" fillId="5" borderId="0" xfId="0" quotePrefix="1" applyFont="1" applyFill="1" applyAlignment="1">
      <alignment vertical="top" wrapText="1"/>
    </xf>
    <xf numFmtId="0" fontId="0" fillId="0" borderId="0" xfId="0" quotePrefix="1" applyAlignment="1">
      <alignment vertical="top" wrapText="1"/>
    </xf>
    <xf numFmtId="0" fontId="0" fillId="0" borderId="0" xfId="0" applyAlignment="1">
      <alignment vertical="top" wrapText="1"/>
    </xf>
    <xf numFmtId="0" fontId="5" fillId="0" borderId="0" xfId="0" quotePrefix="1" applyFont="1" applyAlignment="1">
      <alignment vertical="top" wrapText="1"/>
    </xf>
    <xf numFmtId="14" fontId="0" fillId="6" borderId="0" xfId="0" applyNumberFormat="1" applyFill="1"/>
    <xf numFmtId="0" fontId="0" fillId="6" borderId="0" xfId="0" applyFill="1"/>
    <xf numFmtId="3" fontId="0" fillId="6" borderId="0" xfId="0" applyNumberFormat="1" applyFill="1"/>
  </cellXfs>
  <cellStyles count="1">
    <cellStyle name="Normal" xfId="0" builtinId="0"/>
  </cellStyles>
  <dxfs count="11">
    <dxf>
      <font>
        <b/>
        <i val="0"/>
        <color rgb="FFFF0000"/>
      </font>
    </dxf>
    <dxf>
      <font>
        <b/>
        <i val="0"/>
        <color rgb="FF008000"/>
      </font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3" formatCode="#,##0"/>
      <fill>
        <patternFill patternType="none">
          <fgColor indexed="64"/>
          <bgColor indexed="65"/>
        </patternFill>
      </fill>
    </dxf>
    <dxf>
      <numFmt numFmtId="3" formatCode="#,##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9" formatCode="dd/mm/yyyy"/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5F5B"/>
        </patternFill>
      </fill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purchases (Rs): CUST_001 falling vs CUST_002 steady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Monthly_Purchases!$B$1</c:f>
              <c:strCache>
                <c:ptCount val="1"/>
                <c:pt idx="0">
                  <c:v>CUST_001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Monthly_Purchases!$A$38:$A$43</c:f>
              <c:strCache>
                <c:ptCount val="6"/>
                <c:pt idx="0">
                  <c:v>2024-11</c:v>
                </c:pt>
                <c:pt idx="1">
                  <c:v>2024-12</c:v>
                </c:pt>
                <c:pt idx="2">
                  <c:v>2025-01</c:v>
                </c:pt>
                <c:pt idx="3">
                  <c:v>2025-02</c:v>
                </c:pt>
                <c:pt idx="4">
                  <c:v>2025-03</c:v>
                </c:pt>
                <c:pt idx="5">
                  <c:v>2025-04</c:v>
                </c:pt>
              </c:strCache>
            </c:strRef>
          </c:cat>
          <c:val>
            <c:numRef>
              <c:f>Monthly_Purchases!$B$38:$B$43</c:f>
              <c:numCache>
                <c:formatCode>[&gt;=10000000]##\,##\,##\,##0;[&gt;=100000]##\,##\,##0;##,##0</c:formatCode>
                <c:ptCount val="6"/>
                <c:pt idx="0">
                  <c:v>302</c:v>
                </c:pt>
                <c:pt idx="1">
                  <c:v>4184</c:v>
                </c:pt>
                <c:pt idx="2">
                  <c:v>4702</c:v>
                </c:pt>
                <c:pt idx="3">
                  <c:v>3167</c:v>
                </c:pt>
                <c:pt idx="4">
                  <c:v>1621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5E-4435-AC84-C7C64B53D354}"/>
            </c:ext>
          </c:extLst>
        </c:ser>
        <c:ser>
          <c:idx val="1"/>
          <c:order val="1"/>
          <c:tx>
            <c:strRef>
              <c:f>Monthly_Purchases!$C$1</c:f>
              <c:strCache>
                <c:ptCount val="1"/>
                <c:pt idx="0">
                  <c:v>CUST_002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Monthly_Purchases!$A$38:$A$43</c:f>
              <c:strCache>
                <c:ptCount val="6"/>
                <c:pt idx="0">
                  <c:v>2024-11</c:v>
                </c:pt>
                <c:pt idx="1">
                  <c:v>2024-12</c:v>
                </c:pt>
                <c:pt idx="2">
                  <c:v>2025-01</c:v>
                </c:pt>
                <c:pt idx="3">
                  <c:v>2025-02</c:v>
                </c:pt>
                <c:pt idx="4">
                  <c:v>2025-03</c:v>
                </c:pt>
                <c:pt idx="5">
                  <c:v>2025-04</c:v>
                </c:pt>
              </c:strCache>
            </c:strRef>
          </c:cat>
          <c:val>
            <c:numRef>
              <c:f>Monthly_Purchases!$C$38:$C$43</c:f>
              <c:numCache>
                <c:formatCode>[&gt;=10000000]##\,##\,##\,##0;[&gt;=100000]##\,##\,##0;##,##0</c:formatCode>
                <c:ptCount val="6"/>
                <c:pt idx="0">
                  <c:v>982</c:v>
                </c:pt>
                <c:pt idx="1">
                  <c:v>7091</c:v>
                </c:pt>
                <c:pt idx="2">
                  <c:v>7005</c:v>
                </c:pt>
                <c:pt idx="3">
                  <c:v>4541</c:v>
                </c:pt>
                <c:pt idx="4">
                  <c:v>4711</c:v>
                </c:pt>
                <c:pt idx="5">
                  <c:v>4522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5E-4435-AC84-C7C64B53D3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3828224"/>
        <c:axId val="813842624"/>
      </c:lineChart>
      <c:catAx>
        <c:axId val="813828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842624"/>
        <c:crosses val="autoZero"/>
        <c:auto val="1"/>
        <c:lblAlgn val="ctr"/>
        <c:lblOffset val="100"/>
        <c:noMultiLvlLbl val="0"/>
      </c:catAx>
      <c:valAx>
        <c:axId val="813842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Purchases (Rs)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&gt;=10000000]##\,##\,##\,##0;[&gt;=100000]##\,##\,##0;#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828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250190</xdr:colOff>
      <xdr:row>2</xdr:row>
      <xdr:rowOff>146050</xdr:rowOff>
    </xdr:from>
    <xdr:to>
      <xdr:col>13</xdr:col>
      <xdr:colOff>197485</xdr:colOff>
      <xdr:row>25</xdr:row>
      <xdr:rowOff>178435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D36FE3-07E7-4A2A-6619-20B8CE88A4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ethan gowda" refreshedDate="46316.827249768518" createdVersion="8" refreshedVersion="8" minRefreshableVersion="3" recordCount="3065" xr:uid="{CA18CEC7-1E87-48A7-8863-CEF5419C872D}">
  <cacheSource type="worksheet">
    <worksheetSource name="Table1"/>
  </cacheSource>
  <cacheFields count="9">
    <cacheField name="Date" numFmtId="0">
      <sharedItems containsNonDate="0" containsDate="1" containsString="0" containsBlank="1" minDate="2021-11-20T00:00:00" maxDate="2025-04-13T00:00:00"/>
    </cacheField>
    <cacheField name="Customer_ID" numFmtId="0">
      <sharedItems count="29">
        <s v="CUST_001"/>
        <s v="CUST_002"/>
        <s v="CUST_003"/>
        <s v="CUST_004"/>
        <s v="CUST_005"/>
        <s v="CUST_006"/>
        <s v="CUST_007"/>
        <s v="CUST_008"/>
        <s v="CUST_009"/>
        <s v="CUST_010"/>
        <s v="CUST_011"/>
        <s v="CUST_012"/>
        <s v="CUST_013"/>
        <s v="CUST_014"/>
        <s v="CUST_015"/>
        <s v="CUST_016"/>
        <s v="CUST_017"/>
        <s v="CUST_018"/>
        <s v="CUST_019"/>
        <s v="CUST_020"/>
        <s v="CUST_021"/>
        <s v="CUST_022"/>
        <s v="CUST_023"/>
        <s v="CUST_024"/>
        <s v="CUST_025"/>
        <s v="CUST_026"/>
        <s v="CUST_027"/>
        <s v="CUST_028"/>
        <s v="CUST_029"/>
      </sharedItems>
    </cacheField>
    <cacheField name="Type" numFmtId="0">
      <sharedItems count="4">
        <s v="Purchase"/>
        <s v="Payment"/>
        <s v="Adjustment"/>
        <s v="Old_Balance"/>
      </sharedItems>
    </cacheField>
    <cacheField name="Amount" numFmtId="3">
      <sharedItems containsSemiMixedTypes="0" containsString="0" containsNumber="1" containsInteger="1" minValue="-2605" maxValue="17100"/>
    </cacheField>
    <cacheField name="Written_Balance" numFmtId="3">
      <sharedItems containsString="0" containsBlank="1" containsNumber="1" containsInteger="1" minValue="0" maxValue="29827"/>
    </cacheField>
    <cacheField name="Page_No" numFmtId="0">
      <sharedItems containsSemiMixedTypes="0" containsString="0" containsNumber="1" containsInteger="1" minValue="0" maxValue="317"/>
    </cacheField>
    <cacheField name="Notes" numFmtId="0">
      <sharedItems containsBlank="1"/>
    </cacheField>
    <cacheField name="Month" numFmtId="0">
      <sharedItems/>
    </cacheField>
    <cacheField name="Customer_Typ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65">
  <r>
    <d v="2024-11-30T00:00:00"/>
    <x v="0"/>
    <x v="0"/>
    <n v="202"/>
    <m/>
    <n v="82"/>
    <s v="Opening balance 0: earlier BAKI 985 was paid before 30/11"/>
    <s v="2024-11"/>
    <s v="Carries forward"/>
  </r>
  <r>
    <d v="2024-11-30T00:00:00"/>
    <x v="0"/>
    <x v="0"/>
    <n v="100"/>
    <m/>
    <n v="82"/>
    <m/>
    <s v="2024-11"/>
    <s v="Carries forward"/>
  </r>
  <r>
    <d v="2024-12-02T00:00:00"/>
    <x v="0"/>
    <x v="0"/>
    <n v="70"/>
    <m/>
    <n v="82"/>
    <m/>
    <s v="2024-12"/>
    <s v="Carries forward"/>
  </r>
  <r>
    <d v="2024-12-05T00:00:00"/>
    <x v="0"/>
    <x v="0"/>
    <n v="2348"/>
    <m/>
    <n v="82"/>
    <s v="Checked in book"/>
    <s v="2024-12"/>
    <s v="Carries forward"/>
  </r>
  <r>
    <d v="2024-12-08T00:00:00"/>
    <x v="0"/>
    <x v="0"/>
    <n v="79"/>
    <m/>
    <n v="82"/>
    <m/>
    <s v="2024-12"/>
    <s v="Carries forward"/>
  </r>
  <r>
    <d v="2024-12-08T00:00:00"/>
    <x v="0"/>
    <x v="0"/>
    <n v="13"/>
    <m/>
    <n v="82"/>
    <m/>
    <s v="2024-12"/>
    <s v="Carries forward"/>
  </r>
  <r>
    <d v="2024-12-08T00:00:00"/>
    <x v="0"/>
    <x v="0"/>
    <n v="110"/>
    <m/>
    <n v="82"/>
    <m/>
    <s v="2024-12"/>
    <s v="Carries forward"/>
  </r>
  <r>
    <d v="2024-12-11T00:00:00"/>
    <x v="0"/>
    <x v="0"/>
    <n v="15"/>
    <m/>
    <n v="82"/>
    <s v="Checked in book"/>
    <s v="2024-12"/>
    <s v="Carries forward"/>
  </r>
  <r>
    <d v="2024-12-16T00:00:00"/>
    <x v="0"/>
    <x v="0"/>
    <n v="142"/>
    <m/>
    <n v="82"/>
    <m/>
    <s v="2024-12"/>
    <s v="Carries forward"/>
  </r>
  <r>
    <d v="2024-12-17T00:00:00"/>
    <x v="0"/>
    <x v="0"/>
    <n v="553"/>
    <n v="3632"/>
    <n v="82"/>
    <s v="Book: Tot 3632"/>
    <s v="2024-12"/>
    <s v="Carries forward"/>
  </r>
  <r>
    <d v="2024-12-18T00:00:00"/>
    <x v="0"/>
    <x v="0"/>
    <n v="60"/>
    <n v="3692"/>
    <n v="82"/>
    <s v="Book: Tot 3692"/>
    <s v="2024-12"/>
    <s v="Carries forward"/>
  </r>
  <r>
    <d v="2024-12-18T00:00:00"/>
    <x v="0"/>
    <x v="0"/>
    <n v="10"/>
    <m/>
    <n v="82"/>
    <m/>
    <s v="2024-12"/>
    <s v="Carries forward"/>
  </r>
  <r>
    <d v="2024-12-19T00:00:00"/>
    <x v="0"/>
    <x v="0"/>
    <n v="259"/>
    <m/>
    <n v="82"/>
    <m/>
    <s v="2024-12"/>
    <s v="Carries forward"/>
  </r>
  <r>
    <d v="2024-12-19T00:00:00"/>
    <x v="0"/>
    <x v="0"/>
    <n v="75"/>
    <n v="4036"/>
    <n v="82"/>
    <s v="Book: total 4036"/>
    <s v="2024-12"/>
    <s v="Carries forward"/>
  </r>
  <r>
    <d v="2024-12-31T00:00:00"/>
    <x v="0"/>
    <x v="1"/>
    <n v="3000"/>
    <n v="1036"/>
    <n v="82"/>
    <s v="Checked in book: 31/12. 4036 - 3000 = 1036"/>
    <s v="2024-12"/>
    <s v="Carries forward"/>
  </r>
  <r>
    <d v="2024-12-31T00:00:00"/>
    <x v="0"/>
    <x v="0"/>
    <n v="420"/>
    <m/>
    <n v="82"/>
    <m/>
    <s v="2024-12"/>
    <s v="Carries forward"/>
  </r>
  <r>
    <d v="2024-12-31T00:00:00"/>
    <x v="0"/>
    <x v="0"/>
    <n v="30"/>
    <m/>
    <n v="82"/>
    <m/>
    <s v="2024-12"/>
    <s v="Carries forward"/>
  </r>
  <r>
    <d v="2025-01-01T00:00:00"/>
    <x v="0"/>
    <x v="0"/>
    <n v="80"/>
    <m/>
    <n v="82"/>
    <m/>
    <s v="2025-01"/>
    <s v="Carries forward"/>
  </r>
  <r>
    <d v="2025-01-04T00:00:00"/>
    <x v="0"/>
    <x v="0"/>
    <n v="388"/>
    <m/>
    <n v="82"/>
    <m/>
    <s v="2025-01"/>
    <s v="Carries forward"/>
  </r>
  <r>
    <d v="2025-01-06T00:00:00"/>
    <x v="0"/>
    <x v="0"/>
    <n v="55"/>
    <m/>
    <n v="82"/>
    <m/>
    <s v="2025-01"/>
    <s v="Carries forward"/>
  </r>
  <r>
    <d v="2025-01-07T00:00:00"/>
    <x v="0"/>
    <x v="0"/>
    <n v="190"/>
    <m/>
    <n v="82"/>
    <m/>
    <s v="2025-01"/>
    <s v="Carries forward"/>
  </r>
  <r>
    <d v="2025-01-08T00:00:00"/>
    <x v="0"/>
    <x v="0"/>
    <n v="160"/>
    <m/>
    <n v="82"/>
    <m/>
    <s v="2025-01"/>
    <s v="Carries forward"/>
  </r>
  <r>
    <d v="2025-01-10T00:00:00"/>
    <x v="0"/>
    <x v="0"/>
    <n v="194"/>
    <m/>
    <n v="82"/>
    <m/>
    <s v="2025-01"/>
    <s v="Carries forward"/>
  </r>
  <r>
    <d v="2025-01-12T00:00:00"/>
    <x v="0"/>
    <x v="0"/>
    <n v="889"/>
    <m/>
    <n v="82"/>
    <m/>
    <s v="2025-01"/>
    <s v="Carries forward"/>
  </r>
  <r>
    <d v="2025-01-12T00:00:00"/>
    <x v="0"/>
    <x v="0"/>
    <n v="74"/>
    <m/>
    <n v="82"/>
    <s v="Checked in book"/>
    <s v="2025-01"/>
    <s v="Carries forward"/>
  </r>
  <r>
    <d v="2025-01-14T00:00:00"/>
    <x v="0"/>
    <x v="0"/>
    <n v="252"/>
    <m/>
    <n v="82"/>
    <s v="Set to 252: matches dad's totals 3778 and 6080"/>
    <s v="2025-01"/>
    <s v="Carries forward"/>
  </r>
  <r>
    <d v="2025-01-15T00:00:00"/>
    <x v="0"/>
    <x v="0"/>
    <n v="10"/>
    <n v="3778"/>
    <n v="82"/>
    <s v="Book: circled 3778 (includes 1036 carried forward)"/>
    <s v="2025-01"/>
    <s v="Carries forward"/>
  </r>
  <r>
    <d v="2025-01-17T00:00:00"/>
    <x v="0"/>
    <x v="0"/>
    <n v="262"/>
    <m/>
    <n v="82"/>
    <m/>
    <s v="2025-01"/>
    <s v="Carries forward"/>
  </r>
  <r>
    <d v="2025-01-17T00:00:00"/>
    <x v="0"/>
    <x v="0"/>
    <n v="88"/>
    <m/>
    <n v="82"/>
    <m/>
    <s v="2025-01"/>
    <s v="Carries forward"/>
  </r>
  <r>
    <d v="2025-01-17T00:00:00"/>
    <x v="0"/>
    <x v="0"/>
    <n v="70"/>
    <m/>
    <n v="82"/>
    <m/>
    <s v="2025-01"/>
    <s v="Carries forward"/>
  </r>
  <r>
    <d v="2025-01-20T00:00:00"/>
    <x v="0"/>
    <x v="0"/>
    <n v="328"/>
    <m/>
    <n v="82"/>
    <m/>
    <s v="2025-01"/>
    <s v="Carries forward"/>
  </r>
  <r>
    <d v="2025-01-21T00:00:00"/>
    <x v="0"/>
    <x v="0"/>
    <n v="20"/>
    <m/>
    <n v="82"/>
    <m/>
    <s v="2025-01"/>
    <s v="Carries forward"/>
  </r>
  <r>
    <d v="2025-01-22T00:00:00"/>
    <x v="0"/>
    <x v="0"/>
    <n v="185"/>
    <m/>
    <n v="82"/>
    <m/>
    <s v="2025-01"/>
    <s v="Carries forward"/>
  </r>
  <r>
    <d v="2025-01-23T00:00:00"/>
    <x v="0"/>
    <x v="0"/>
    <n v="201"/>
    <m/>
    <n v="82"/>
    <m/>
    <s v="2025-01"/>
    <s v="Carries forward"/>
  </r>
  <r>
    <d v="2025-01-24T00:00:00"/>
    <x v="0"/>
    <x v="0"/>
    <n v="67"/>
    <m/>
    <n v="82"/>
    <m/>
    <s v="2025-01"/>
    <s v="Carries forward"/>
  </r>
  <r>
    <d v="2025-01-25T00:00:00"/>
    <x v="0"/>
    <x v="0"/>
    <n v="395"/>
    <m/>
    <n v="82"/>
    <m/>
    <s v="2025-01"/>
    <s v="Carries forward"/>
  </r>
  <r>
    <d v="2025-01-27T00:00:00"/>
    <x v="0"/>
    <x v="0"/>
    <n v="13"/>
    <m/>
    <n v="82"/>
    <m/>
    <s v="2025-01"/>
    <s v="Carries forward"/>
  </r>
  <r>
    <d v="2025-01-28T00:00:00"/>
    <x v="0"/>
    <x v="0"/>
    <n v="673"/>
    <n v="6080"/>
    <n v="82"/>
    <s v="Book: Tot 6080. Side note 2302 = total of 17/1 to 28/1 (6080 - 3778)"/>
    <s v="2025-01"/>
    <s v="Carries forward"/>
  </r>
  <r>
    <d v="2025-01-31T00:00:00"/>
    <x v="0"/>
    <x v="0"/>
    <n v="98"/>
    <m/>
    <n v="82"/>
    <s v="Checked in book"/>
    <s v="2025-01"/>
    <s v="Carries forward"/>
  </r>
  <r>
    <d v="2025-01-31T00:00:00"/>
    <x v="0"/>
    <x v="0"/>
    <n v="10"/>
    <m/>
    <n v="82"/>
    <m/>
    <s v="2025-01"/>
    <s v="Carries forward"/>
  </r>
  <r>
    <d v="2025-02-03T00:00:00"/>
    <x v="0"/>
    <x v="1"/>
    <n v="3000"/>
    <n v="3080"/>
    <n v="82"/>
    <s v="Book: 3/2 paid 3000, BAKI 3080 (6080 - 3000)"/>
    <s v="2025-02"/>
    <s v="Carries forward"/>
  </r>
  <r>
    <d v="2025-02-03T00:00:00"/>
    <x v="0"/>
    <x v="0"/>
    <n v="800"/>
    <m/>
    <n v="82"/>
    <s v="Checked in book: purchase"/>
    <s v="2025-02"/>
    <s v="Carries forward"/>
  </r>
  <r>
    <d v="2025-02-05T00:00:00"/>
    <x v="0"/>
    <x v="0"/>
    <n v="38"/>
    <m/>
    <n v="82"/>
    <m/>
    <s v="2025-02"/>
    <s v="Carries forward"/>
  </r>
  <r>
    <d v="2025-02-06T00:00:00"/>
    <x v="0"/>
    <x v="0"/>
    <n v="250"/>
    <m/>
    <n v="82"/>
    <m/>
    <s v="2025-02"/>
    <s v="Carries forward"/>
  </r>
  <r>
    <d v="2025-02-09T00:00:00"/>
    <x v="0"/>
    <x v="0"/>
    <n v="90"/>
    <m/>
    <n v="82"/>
    <m/>
    <s v="2025-02"/>
    <s v="Carries forward"/>
  </r>
  <r>
    <d v="2025-02-09T00:00:00"/>
    <x v="0"/>
    <x v="0"/>
    <n v="26"/>
    <m/>
    <n v="82"/>
    <m/>
    <s v="2025-02"/>
    <s v="Carries forward"/>
  </r>
  <r>
    <d v="2025-02-12T00:00:00"/>
    <x v="0"/>
    <x v="0"/>
    <n v="99"/>
    <m/>
    <n v="82"/>
    <s v="Checked in book"/>
    <s v="2025-02"/>
    <s v="Carries forward"/>
  </r>
  <r>
    <d v="2025-02-14T00:00:00"/>
    <x v="0"/>
    <x v="0"/>
    <n v="73"/>
    <m/>
    <n v="83"/>
    <m/>
    <s v="2025-02"/>
    <s v="Carries forward"/>
  </r>
  <r>
    <d v="2025-02-16T00:00:00"/>
    <x v="0"/>
    <x v="0"/>
    <n v="215"/>
    <m/>
    <n v="83"/>
    <s v="Book Tot 1630 is 69 less than the lines (31/1 = 98 and 12/2 = 99 checked). Dad's total slip"/>
    <s v="2025-02"/>
    <s v="Carries forward"/>
  </r>
  <r>
    <d v="2025-02-16T00:00:00"/>
    <x v="0"/>
    <x v="2"/>
    <n v="-69"/>
    <m/>
    <n v="83"/>
    <s v="Dad's Tot 1630 is 69 less than the lines (charged less)"/>
    <s v="2025-02"/>
    <s v="Carries forward"/>
  </r>
  <r>
    <d v="2025-02-18T00:00:00"/>
    <x v="0"/>
    <x v="0"/>
    <n v="660"/>
    <m/>
    <n v="83"/>
    <m/>
    <s v="2025-02"/>
    <s v="Carries forward"/>
  </r>
  <r>
    <d v="2025-02-19T00:00:00"/>
    <x v="0"/>
    <x v="0"/>
    <n v="116"/>
    <m/>
    <n v="83"/>
    <m/>
    <s v="2025-02"/>
    <s v="Carries forward"/>
  </r>
  <r>
    <d v="2025-02-21T00:00:00"/>
    <x v="0"/>
    <x v="0"/>
    <n v="20"/>
    <m/>
    <n v="83"/>
    <m/>
    <s v="2025-02"/>
    <s v="Carries forward"/>
  </r>
  <r>
    <d v="2025-02-24T00:00:00"/>
    <x v="0"/>
    <x v="0"/>
    <n v="528"/>
    <m/>
    <n v="83"/>
    <m/>
    <s v="2025-02"/>
    <s v="Carries forward"/>
  </r>
  <r>
    <d v="2025-02-27T00:00:00"/>
    <x v="0"/>
    <x v="0"/>
    <n v="252"/>
    <m/>
    <n v="83"/>
    <s v="Overwritten digit: 252 makes Tot 3206 match"/>
    <s v="2025-02"/>
    <s v="Carries forward"/>
  </r>
  <r>
    <d v="2025-03-02T00:00:00"/>
    <x v="0"/>
    <x v="0"/>
    <n v="300"/>
    <m/>
    <n v="83"/>
    <m/>
    <s v="2025-03"/>
    <s v="Carries forward"/>
  </r>
  <r>
    <d v="2025-03-03T00:00:00"/>
    <x v="0"/>
    <x v="0"/>
    <n v="198"/>
    <m/>
    <n v="83"/>
    <m/>
    <s v="2025-03"/>
    <s v="Carries forward"/>
  </r>
  <r>
    <d v="2025-03-04T00:00:00"/>
    <x v="0"/>
    <x v="0"/>
    <n v="143"/>
    <n v="6927"/>
    <n v="83"/>
    <s v="Book: Tot 3847 (since 3/2) + BAKI 3080 = 6927"/>
    <s v="2025-03"/>
    <s v="Carries forward"/>
  </r>
  <r>
    <d v="2025-03-18T00:00:00"/>
    <x v="0"/>
    <x v="0"/>
    <n v="645"/>
    <m/>
    <n v="83"/>
    <s v="Checked in book: 18/3"/>
    <s v="2025-03"/>
    <s v="Carries forward"/>
  </r>
  <r>
    <d v="2025-03-19T00:00:00"/>
    <x v="0"/>
    <x v="0"/>
    <n v="110"/>
    <m/>
    <n v="83"/>
    <m/>
    <s v="2025-03"/>
    <s v="Carries forward"/>
  </r>
  <r>
    <d v="2025-03-23T00:00:00"/>
    <x v="0"/>
    <x v="0"/>
    <n v="85"/>
    <m/>
    <n v="83"/>
    <m/>
    <s v="2025-03"/>
    <s v="Carries forward"/>
  </r>
  <r>
    <d v="2025-03-24T00:00:00"/>
    <x v="0"/>
    <x v="0"/>
    <n v="85"/>
    <m/>
    <n v="83"/>
    <m/>
    <s v="2025-03"/>
    <s v="Carries forward"/>
  </r>
  <r>
    <d v="2025-03-27T00:00:00"/>
    <x v="0"/>
    <x v="0"/>
    <n v="55"/>
    <m/>
    <n v="83"/>
    <s v="Book: Tot 980 (18/3 to 27/3)"/>
    <s v="2025-03"/>
    <s v="Carries forward"/>
  </r>
  <r>
    <d v="2025-03-27T00:00:00"/>
    <x v="0"/>
    <x v="3"/>
    <n v="3894"/>
    <n v="11801"/>
    <n v="83"/>
    <s v="Old dues from before. Dad: 6927 + 980 + 3894 = 11801"/>
    <s v="2025-03"/>
    <s v="Carries forward"/>
  </r>
  <r>
    <m/>
    <x v="0"/>
    <x v="1"/>
    <n v="1500"/>
    <m/>
    <n v="83"/>
    <s v="Date not written; paid after the 11801 total. 11801 - 1500 = 10301"/>
    <s v=""/>
    <s v="Carries forward"/>
  </r>
  <r>
    <d v="2024-11-27T00:00:00"/>
    <x v="1"/>
    <x v="3"/>
    <n v="5689"/>
    <n v="5689"/>
    <n v="114"/>
    <s v="Carried from earlier page (BAKI 4425 + earlier purchases)"/>
    <s v="2024-11"/>
    <s v="Pays full"/>
  </r>
  <r>
    <d v="2024-11-27T00:00:00"/>
    <x v="1"/>
    <x v="0"/>
    <n v="116"/>
    <m/>
    <n v="114"/>
    <m/>
    <s v="2024-11"/>
    <s v="Pays full"/>
  </r>
  <r>
    <d v="2024-11-27T00:00:00"/>
    <x v="1"/>
    <x v="0"/>
    <n v="758"/>
    <m/>
    <n v="114"/>
    <m/>
    <s v="2024-11"/>
    <s v="Pays full"/>
  </r>
  <r>
    <d v="2024-11-29T00:00:00"/>
    <x v="1"/>
    <x v="0"/>
    <n v="45"/>
    <m/>
    <n v="114"/>
    <m/>
    <s v="2024-11"/>
    <s v="Pays full"/>
  </r>
  <r>
    <d v="2024-11-30T00:00:00"/>
    <x v="1"/>
    <x v="0"/>
    <n v="30"/>
    <m/>
    <n v="114"/>
    <m/>
    <s v="2024-11"/>
    <s v="Pays full"/>
  </r>
  <r>
    <d v="2024-11-30T00:00:00"/>
    <x v="1"/>
    <x v="0"/>
    <n v="33"/>
    <n v="6671"/>
    <n v="114"/>
    <s v="Book: Tot 6671"/>
    <s v="2024-11"/>
    <s v="Pays full"/>
  </r>
  <r>
    <d v="2024-11-30T00:00:00"/>
    <x v="1"/>
    <x v="1"/>
    <n v="6600"/>
    <m/>
    <n v="114"/>
    <s v="Book: Pd 6600 on 30/11 (Tot 6671)"/>
    <s v="2024-11"/>
    <s v="Pays full"/>
  </r>
  <r>
    <d v="2024-11-30T00:00:00"/>
    <x v="1"/>
    <x v="2"/>
    <n v="-71"/>
    <m/>
    <n v="114"/>
    <s v="Tot 6671, paid 6600: 71 let go or paid off-book"/>
    <s v="2024-11"/>
    <s v="Pays full"/>
  </r>
  <r>
    <d v="2024-12-01T00:00:00"/>
    <x v="1"/>
    <x v="0"/>
    <n v="206"/>
    <m/>
    <n v="114"/>
    <m/>
    <s v="2024-12"/>
    <s v="Pays full"/>
  </r>
  <r>
    <d v="2024-12-02T00:00:00"/>
    <x v="1"/>
    <x v="0"/>
    <n v="540"/>
    <m/>
    <n v="114"/>
    <m/>
    <s v="2024-12"/>
    <s v="Pays full"/>
  </r>
  <r>
    <d v="2024-12-02T00:00:00"/>
    <x v="1"/>
    <x v="0"/>
    <n v="1760"/>
    <m/>
    <n v="114"/>
    <m/>
    <s v="2024-12"/>
    <s v="Pays full"/>
  </r>
  <r>
    <d v="2024-12-03T00:00:00"/>
    <x v="1"/>
    <x v="0"/>
    <n v="55"/>
    <m/>
    <n v="114"/>
    <m/>
    <s v="2024-12"/>
    <s v="Pays full"/>
  </r>
  <r>
    <d v="2024-12-04T00:00:00"/>
    <x v="1"/>
    <x v="0"/>
    <n v="301"/>
    <m/>
    <n v="114"/>
    <m/>
    <s v="2024-12"/>
    <s v="Pays full"/>
  </r>
  <r>
    <d v="2024-12-04T00:00:00"/>
    <x v="1"/>
    <x v="0"/>
    <n v="150"/>
    <m/>
    <n v="114"/>
    <m/>
    <s v="2024-12"/>
    <s v="Pays full"/>
  </r>
  <r>
    <d v="2024-12-05T00:00:00"/>
    <x v="1"/>
    <x v="0"/>
    <n v="80"/>
    <m/>
    <n v="114"/>
    <m/>
    <s v="2024-12"/>
    <s v="Pays full"/>
  </r>
  <r>
    <d v="2024-12-05T00:00:00"/>
    <x v="1"/>
    <x v="0"/>
    <n v="40"/>
    <m/>
    <n v="114"/>
    <m/>
    <s v="2024-12"/>
    <s v="Pays full"/>
  </r>
  <r>
    <d v="2024-12-06T00:00:00"/>
    <x v="1"/>
    <x v="0"/>
    <n v="42"/>
    <m/>
    <n v="114"/>
    <s v="Checked: 42"/>
    <s v="2024-12"/>
    <s v="Pays full"/>
  </r>
  <r>
    <d v="2024-12-07T00:00:00"/>
    <x v="1"/>
    <x v="0"/>
    <n v="383"/>
    <m/>
    <n v="114"/>
    <m/>
    <s v="2024-12"/>
    <s v="Pays full"/>
  </r>
  <r>
    <d v="2024-12-07T00:00:00"/>
    <x v="1"/>
    <x v="0"/>
    <n v="47"/>
    <m/>
    <n v="114"/>
    <m/>
    <s v="2024-12"/>
    <s v="Pays full"/>
  </r>
  <r>
    <d v="2024-12-08T00:00:00"/>
    <x v="1"/>
    <x v="0"/>
    <n v="40"/>
    <m/>
    <n v="114"/>
    <m/>
    <s v="2024-12"/>
    <s v="Pays full"/>
  </r>
  <r>
    <d v="2024-12-08T00:00:00"/>
    <x v="1"/>
    <x v="0"/>
    <n v="38"/>
    <m/>
    <n v="114"/>
    <m/>
    <s v="2024-12"/>
    <s v="Pays full"/>
  </r>
  <r>
    <d v="2024-12-12T00:00:00"/>
    <x v="1"/>
    <x v="0"/>
    <n v="70"/>
    <m/>
    <n v="114"/>
    <m/>
    <s v="2024-12"/>
    <s v="Pays full"/>
  </r>
  <r>
    <d v="2024-12-13T00:00:00"/>
    <x v="1"/>
    <x v="0"/>
    <n v="147"/>
    <m/>
    <n v="114"/>
    <m/>
    <s v="2024-12"/>
    <s v="Pays full"/>
  </r>
  <r>
    <d v="2024-12-14T00:00:00"/>
    <x v="1"/>
    <x v="0"/>
    <n v="410"/>
    <m/>
    <n v="114"/>
    <m/>
    <s v="2024-12"/>
    <s v="Pays full"/>
  </r>
  <r>
    <d v="2024-12-14T00:00:00"/>
    <x v="1"/>
    <x v="0"/>
    <n v="58"/>
    <m/>
    <n v="114"/>
    <m/>
    <s v="2024-12"/>
    <s v="Pays full"/>
  </r>
  <r>
    <d v="2024-12-19T00:00:00"/>
    <x v="1"/>
    <x v="0"/>
    <n v="464"/>
    <m/>
    <n v="114"/>
    <m/>
    <s v="2024-12"/>
    <s v="Pays full"/>
  </r>
  <r>
    <d v="2024-12-20T00:00:00"/>
    <x v="1"/>
    <x v="0"/>
    <n v="200"/>
    <m/>
    <n v="114"/>
    <m/>
    <s v="2024-12"/>
    <s v="Pays full"/>
  </r>
  <r>
    <d v="2024-12-20T00:00:00"/>
    <x v="1"/>
    <x v="0"/>
    <n v="48"/>
    <m/>
    <n v="114"/>
    <m/>
    <s v="2024-12"/>
    <s v="Pays full"/>
  </r>
  <r>
    <d v="2024-12-21T00:00:00"/>
    <x v="1"/>
    <x v="0"/>
    <n v="53"/>
    <m/>
    <n v="114"/>
    <m/>
    <s v="2024-12"/>
    <s v="Pays full"/>
  </r>
  <r>
    <d v="2024-12-22T00:00:00"/>
    <x v="1"/>
    <x v="0"/>
    <n v="221"/>
    <m/>
    <n v="114"/>
    <m/>
    <s v="2024-12"/>
    <s v="Pays full"/>
  </r>
  <r>
    <d v="2024-12-23T00:00:00"/>
    <x v="1"/>
    <x v="0"/>
    <n v="165"/>
    <m/>
    <n v="114"/>
    <m/>
    <s v="2024-12"/>
    <s v="Pays full"/>
  </r>
  <r>
    <d v="2024-12-23T00:00:00"/>
    <x v="1"/>
    <x v="0"/>
    <n v="596"/>
    <m/>
    <n v="114"/>
    <s v="GAS"/>
    <s v="2024-12"/>
    <s v="Pays full"/>
  </r>
  <r>
    <d v="2024-12-24T00:00:00"/>
    <x v="1"/>
    <x v="0"/>
    <n v="40"/>
    <m/>
    <n v="114"/>
    <m/>
    <s v="2024-12"/>
    <s v="Pays full"/>
  </r>
  <r>
    <d v="2024-12-24T00:00:00"/>
    <x v="1"/>
    <x v="0"/>
    <n v="80"/>
    <m/>
    <n v="114"/>
    <m/>
    <s v="2024-12"/>
    <s v="Pays full"/>
  </r>
  <r>
    <d v="2024-12-25T00:00:00"/>
    <x v="1"/>
    <x v="0"/>
    <n v="63"/>
    <m/>
    <n v="114"/>
    <m/>
    <s v="2024-12"/>
    <s v="Pays full"/>
  </r>
  <r>
    <d v="2024-12-26T00:00:00"/>
    <x v="1"/>
    <x v="0"/>
    <n v="50"/>
    <m/>
    <n v="114"/>
    <m/>
    <s v="2024-12"/>
    <s v="Pays full"/>
  </r>
  <r>
    <d v="2024-12-26T00:00:00"/>
    <x v="1"/>
    <x v="0"/>
    <n v="25"/>
    <m/>
    <n v="114"/>
    <m/>
    <s v="2024-12"/>
    <s v="Pays full"/>
  </r>
  <r>
    <d v="2024-12-27T00:00:00"/>
    <x v="1"/>
    <x v="0"/>
    <n v="20"/>
    <m/>
    <n v="114"/>
    <m/>
    <s v="2024-12"/>
    <s v="Pays full"/>
  </r>
  <r>
    <d v="2024-12-27T00:00:00"/>
    <x v="1"/>
    <x v="0"/>
    <n v="65"/>
    <m/>
    <n v="114"/>
    <m/>
    <s v="2024-12"/>
    <s v="Pays full"/>
  </r>
  <r>
    <d v="2024-12-28T00:00:00"/>
    <x v="1"/>
    <x v="0"/>
    <n v="25"/>
    <m/>
    <n v="114"/>
    <m/>
    <s v="2024-12"/>
    <s v="Pays full"/>
  </r>
  <r>
    <d v="2024-12-28T00:00:00"/>
    <x v="1"/>
    <x v="0"/>
    <n v="55"/>
    <m/>
    <n v="114"/>
    <s v="Checked: 55"/>
    <s v="2024-12"/>
    <s v="Pays full"/>
  </r>
  <r>
    <d v="2024-12-29T00:00:00"/>
    <x v="1"/>
    <x v="0"/>
    <n v="191"/>
    <m/>
    <n v="114"/>
    <m/>
    <s v="2024-12"/>
    <s v="Pays full"/>
  </r>
  <r>
    <d v="2024-12-29T00:00:00"/>
    <x v="1"/>
    <x v="0"/>
    <n v="208"/>
    <m/>
    <n v="114"/>
    <m/>
    <s v="2024-12"/>
    <s v="Pays full"/>
  </r>
  <r>
    <d v="2024-12-30T00:00:00"/>
    <x v="1"/>
    <x v="0"/>
    <n v="117"/>
    <m/>
    <n v="114"/>
    <m/>
    <s v="2024-12"/>
    <s v="Pays full"/>
  </r>
  <r>
    <d v="2024-12-31T00:00:00"/>
    <x v="1"/>
    <x v="0"/>
    <n v="38"/>
    <m/>
    <n v="114"/>
    <s v="Book: Total 7094 (December)"/>
    <s v="2024-12"/>
    <s v="Pays full"/>
  </r>
  <r>
    <d v="2024-12-31T00:00:00"/>
    <x v="1"/>
    <x v="2"/>
    <n v="3"/>
    <m/>
    <n v="114"/>
    <s v="Dad's Dec total 7094 is 3 more than the lines: added, not written"/>
    <s v="2024-12"/>
    <s v="Pays full"/>
  </r>
  <r>
    <d v="2025-01-01T00:00:00"/>
    <x v="1"/>
    <x v="0"/>
    <n v="80"/>
    <m/>
    <n v="114"/>
    <m/>
    <s v="2025-01"/>
    <s v="Pays full"/>
  </r>
  <r>
    <d v="2025-01-01T00:00:00"/>
    <x v="1"/>
    <x v="0"/>
    <n v="64"/>
    <m/>
    <n v="114"/>
    <m/>
    <s v="2025-01"/>
    <s v="Pays full"/>
  </r>
  <r>
    <d v="2025-01-01T00:00:00"/>
    <x v="1"/>
    <x v="0"/>
    <n v="15"/>
    <m/>
    <n v="114"/>
    <m/>
    <s v="2025-01"/>
    <s v="Pays full"/>
  </r>
  <r>
    <d v="2025-01-02T00:00:00"/>
    <x v="1"/>
    <x v="0"/>
    <n v="57"/>
    <m/>
    <n v="114"/>
    <m/>
    <s v="2025-01"/>
    <s v="Pays full"/>
  </r>
  <r>
    <d v="2025-01-02T00:00:00"/>
    <x v="1"/>
    <x v="0"/>
    <n v="60"/>
    <m/>
    <n v="114"/>
    <m/>
    <s v="2025-01"/>
    <s v="Pays full"/>
  </r>
  <r>
    <d v="2025-01-03T00:00:00"/>
    <x v="1"/>
    <x v="0"/>
    <n v="315"/>
    <m/>
    <n v="114"/>
    <m/>
    <s v="2025-01"/>
    <s v="Pays full"/>
  </r>
  <r>
    <d v="2025-01-04T00:00:00"/>
    <x v="1"/>
    <x v="0"/>
    <n v="60"/>
    <m/>
    <n v="114"/>
    <m/>
    <s v="2025-01"/>
    <s v="Pays full"/>
  </r>
  <r>
    <d v="2025-01-05T00:00:00"/>
    <x v="1"/>
    <x v="0"/>
    <n v="314"/>
    <m/>
    <n v="114"/>
    <m/>
    <s v="2025-01"/>
    <s v="Pays full"/>
  </r>
  <r>
    <d v="2025-01-05T00:00:00"/>
    <x v="1"/>
    <x v="0"/>
    <n v="15"/>
    <m/>
    <n v="114"/>
    <m/>
    <s v="2025-01"/>
    <s v="Pays full"/>
  </r>
  <r>
    <d v="2025-01-05T00:00:00"/>
    <x v="1"/>
    <x v="0"/>
    <n v="95"/>
    <m/>
    <n v="114"/>
    <m/>
    <s v="2025-01"/>
    <s v="Pays full"/>
  </r>
  <r>
    <d v="2025-01-06T00:00:00"/>
    <x v="1"/>
    <x v="0"/>
    <n v="50"/>
    <m/>
    <n v="114"/>
    <m/>
    <s v="2025-01"/>
    <s v="Pays full"/>
  </r>
  <r>
    <d v="2025-01-07T00:00:00"/>
    <x v="1"/>
    <x v="0"/>
    <n v="63"/>
    <m/>
    <n v="114"/>
    <m/>
    <s v="2025-01"/>
    <s v="Pays full"/>
  </r>
  <r>
    <d v="2025-01-08T00:00:00"/>
    <x v="1"/>
    <x v="0"/>
    <n v="88"/>
    <m/>
    <n v="114"/>
    <m/>
    <s v="2025-01"/>
    <s v="Pays full"/>
  </r>
  <r>
    <d v="2025-01-10T00:00:00"/>
    <x v="1"/>
    <x v="0"/>
    <n v="375"/>
    <m/>
    <n v="114"/>
    <s v="Date written like 10/12, read as 10/1"/>
    <s v="2025-01"/>
    <s v="Pays full"/>
  </r>
  <r>
    <d v="2025-01-10T00:00:00"/>
    <x v="1"/>
    <x v="0"/>
    <n v="81"/>
    <m/>
    <n v="114"/>
    <m/>
    <s v="2025-01"/>
    <s v="Pays full"/>
  </r>
  <r>
    <d v="2025-01-11T00:00:00"/>
    <x v="1"/>
    <x v="0"/>
    <n v="25"/>
    <m/>
    <n v="114"/>
    <m/>
    <s v="2025-01"/>
    <s v="Pays full"/>
  </r>
  <r>
    <d v="2025-01-12T00:00:00"/>
    <x v="1"/>
    <x v="0"/>
    <n v="74"/>
    <m/>
    <n v="114"/>
    <m/>
    <s v="2025-01"/>
    <s v="Pays full"/>
  </r>
  <r>
    <d v="2025-01-12T00:00:00"/>
    <x v="1"/>
    <x v="0"/>
    <n v="40"/>
    <m/>
    <n v="114"/>
    <m/>
    <s v="2025-01"/>
    <s v="Pays full"/>
  </r>
  <r>
    <d v="2025-01-13T00:00:00"/>
    <x v="1"/>
    <x v="0"/>
    <n v="98"/>
    <m/>
    <n v="114"/>
    <m/>
    <s v="2025-01"/>
    <s v="Pays full"/>
  </r>
  <r>
    <d v="2025-01-14T00:00:00"/>
    <x v="1"/>
    <x v="0"/>
    <n v="156"/>
    <m/>
    <n v="114"/>
    <m/>
    <s v="2025-01"/>
    <s v="Pays full"/>
  </r>
  <r>
    <d v="2025-01-14T00:00:00"/>
    <x v="1"/>
    <x v="0"/>
    <n v="130"/>
    <m/>
    <n v="114"/>
    <m/>
    <s v="2025-01"/>
    <s v="Pays full"/>
  </r>
  <r>
    <d v="2025-01-15T00:00:00"/>
    <x v="1"/>
    <x v="0"/>
    <n v="455"/>
    <m/>
    <n v="114"/>
    <s v="GAS?"/>
    <s v="2025-01"/>
    <s v="Pays full"/>
  </r>
  <r>
    <d v="2025-01-15T00:00:00"/>
    <x v="1"/>
    <x v="0"/>
    <n v="15"/>
    <m/>
    <n v="114"/>
    <m/>
    <s v="2025-01"/>
    <s v="Pays full"/>
  </r>
  <r>
    <d v="2025-01-16T00:00:00"/>
    <x v="1"/>
    <x v="0"/>
    <n v="500"/>
    <m/>
    <n v="114"/>
    <s v="GAS?"/>
    <s v="2025-01"/>
    <s v="Pays full"/>
  </r>
  <r>
    <d v="2025-01-16T00:00:00"/>
    <x v="1"/>
    <x v="1"/>
    <n v="7094"/>
    <m/>
    <n v="114"/>
    <s v="Book: '16/1/25 7094' crossed = December paid in full"/>
    <s v="2025-01"/>
    <s v="Pays full"/>
  </r>
  <r>
    <d v="2025-01-17T00:00:00"/>
    <x v="1"/>
    <x v="0"/>
    <n v="299"/>
    <m/>
    <n v="114"/>
    <m/>
    <s v="2025-01"/>
    <s v="Pays full"/>
  </r>
  <r>
    <d v="2025-01-17T00:00:00"/>
    <x v="1"/>
    <x v="0"/>
    <n v="25"/>
    <m/>
    <n v="114"/>
    <m/>
    <s v="2025-01"/>
    <s v="Pays full"/>
  </r>
  <r>
    <d v="2025-01-18T00:00:00"/>
    <x v="1"/>
    <x v="0"/>
    <n v="280"/>
    <m/>
    <n v="114"/>
    <m/>
    <s v="2025-01"/>
    <s v="Pays full"/>
  </r>
  <r>
    <d v="2025-01-18T00:00:00"/>
    <x v="1"/>
    <x v="0"/>
    <n v="78"/>
    <m/>
    <n v="114"/>
    <m/>
    <s v="2025-01"/>
    <s v="Pays full"/>
  </r>
  <r>
    <d v="2025-01-20T00:00:00"/>
    <x v="1"/>
    <x v="0"/>
    <n v="33"/>
    <m/>
    <n v="114"/>
    <m/>
    <s v="2025-01"/>
    <s v="Pays full"/>
  </r>
  <r>
    <d v="2025-01-21T00:00:00"/>
    <x v="1"/>
    <x v="0"/>
    <n v="20"/>
    <m/>
    <n v="114"/>
    <m/>
    <s v="2025-01"/>
    <s v="Pays full"/>
  </r>
  <r>
    <d v="2025-01-21T00:00:00"/>
    <x v="1"/>
    <x v="0"/>
    <n v="85"/>
    <m/>
    <n v="114"/>
    <m/>
    <s v="2025-01"/>
    <s v="Pays full"/>
  </r>
  <r>
    <d v="2025-01-22T00:00:00"/>
    <x v="1"/>
    <x v="0"/>
    <n v="77"/>
    <m/>
    <n v="114"/>
    <m/>
    <s v="2025-01"/>
    <s v="Pays full"/>
  </r>
  <r>
    <d v="2025-01-23T00:00:00"/>
    <x v="1"/>
    <x v="0"/>
    <n v="175"/>
    <m/>
    <n v="114"/>
    <m/>
    <s v="2025-01"/>
    <s v="Pays full"/>
  </r>
  <r>
    <d v="2025-01-24T00:00:00"/>
    <x v="1"/>
    <x v="0"/>
    <n v="95"/>
    <m/>
    <n v="114"/>
    <m/>
    <s v="2025-01"/>
    <s v="Pays full"/>
  </r>
  <r>
    <d v="2025-01-25T00:00:00"/>
    <x v="1"/>
    <x v="0"/>
    <n v="38"/>
    <m/>
    <n v="114"/>
    <m/>
    <s v="2025-01"/>
    <s v="Pays full"/>
  </r>
  <r>
    <d v="2025-01-26T00:00:00"/>
    <x v="1"/>
    <x v="0"/>
    <n v="2125"/>
    <m/>
    <n v="114"/>
    <m/>
    <s v="2025-01"/>
    <s v="Pays full"/>
  </r>
  <r>
    <d v="2025-01-26T00:00:00"/>
    <x v="1"/>
    <x v="0"/>
    <n v="72"/>
    <m/>
    <n v="114"/>
    <m/>
    <s v="2025-01"/>
    <s v="Pays full"/>
  </r>
  <r>
    <d v="2025-01-27T00:00:00"/>
    <x v="1"/>
    <x v="0"/>
    <n v="118"/>
    <m/>
    <n v="114"/>
    <m/>
    <s v="2025-01"/>
    <s v="Pays full"/>
  </r>
  <r>
    <d v="2025-01-30T00:00:00"/>
    <x v="1"/>
    <x v="0"/>
    <n v="229"/>
    <m/>
    <n v="114"/>
    <m/>
    <s v="2025-01"/>
    <s v="Pays full"/>
  </r>
  <r>
    <d v="2025-01-31T00:00:00"/>
    <x v="1"/>
    <x v="0"/>
    <n v="31"/>
    <m/>
    <n v="114"/>
    <s v="Book: January total 7205"/>
    <s v="2025-01"/>
    <s v="Pays full"/>
  </r>
  <r>
    <d v="2025-01-31T00:00:00"/>
    <x v="1"/>
    <x v="2"/>
    <n v="200"/>
    <m/>
    <n v="114"/>
    <s v="Dad's Jan total 7205 is 200 more than the lines: added, not written"/>
    <s v="2025-01"/>
    <s v="Pays full"/>
  </r>
  <r>
    <m/>
    <x v="1"/>
    <x v="1"/>
    <n v="7205"/>
    <m/>
    <n v="114"/>
    <s v="Confirmed paid (date not written)"/>
    <s v=""/>
    <s v="Pays full"/>
  </r>
  <r>
    <d v="2025-02-01T00:00:00"/>
    <x v="1"/>
    <x v="0"/>
    <n v="58"/>
    <m/>
    <n v="115"/>
    <m/>
    <s v="2025-02"/>
    <s v="Pays full"/>
  </r>
  <r>
    <d v="2025-02-02T00:00:00"/>
    <x v="1"/>
    <x v="0"/>
    <n v="342"/>
    <m/>
    <n v="115"/>
    <m/>
    <s v="2025-02"/>
    <s v="Pays full"/>
  </r>
  <r>
    <d v="2025-02-03T00:00:00"/>
    <x v="1"/>
    <x v="0"/>
    <n v="33"/>
    <m/>
    <n v="115"/>
    <m/>
    <s v="2025-02"/>
    <s v="Pays full"/>
  </r>
  <r>
    <d v="2025-02-05T00:00:00"/>
    <x v="1"/>
    <x v="0"/>
    <n v="260"/>
    <m/>
    <n v="115"/>
    <m/>
    <s v="2025-02"/>
    <s v="Pays full"/>
  </r>
  <r>
    <d v="2025-02-05T00:00:00"/>
    <x v="1"/>
    <x v="0"/>
    <n v="128"/>
    <m/>
    <n v="115"/>
    <m/>
    <s v="2025-02"/>
    <s v="Pays full"/>
  </r>
  <r>
    <d v="2025-02-06T00:00:00"/>
    <x v="1"/>
    <x v="0"/>
    <n v="160"/>
    <m/>
    <n v="115"/>
    <m/>
    <s v="2025-02"/>
    <s v="Pays full"/>
  </r>
  <r>
    <d v="2025-02-07T00:00:00"/>
    <x v="1"/>
    <x v="0"/>
    <n v="48"/>
    <m/>
    <n v="115"/>
    <m/>
    <s v="2025-02"/>
    <s v="Pays full"/>
  </r>
  <r>
    <d v="2025-02-08T00:00:00"/>
    <x v="1"/>
    <x v="0"/>
    <n v="240"/>
    <m/>
    <n v="115"/>
    <m/>
    <s v="2025-02"/>
    <s v="Pays full"/>
  </r>
  <r>
    <d v="2025-02-08T00:00:00"/>
    <x v="1"/>
    <x v="0"/>
    <n v="33"/>
    <m/>
    <n v="115"/>
    <m/>
    <s v="2025-02"/>
    <s v="Pays full"/>
  </r>
  <r>
    <d v="2025-02-09T00:00:00"/>
    <x v="1"/>
    <x v="0"/>
    <n v="58"/>
    <m/>
    <n v="115"/>
    <m/>
    <s v="2025-02"/>
    <s v="Pays full"/>
  </r>
  <r>
    <d v="2025-02-10T00:00:00"/>
    <x v="1"/>
    <x v="0"/>
    <n v="80"/>
    <m/>
    <n v="115"/>
    <m/>
    <s v="2025-02"/>
    <s v="Pays full"/>
  </r>
  <r>
    <d v="2025-02-10T00:00:00"/>
    <x v="1"/>
    <x v="0"/>
    <n v="63"/>
    <m/>
    <n v="115"/>
    <m/>
    <s v="2025-02"/>
    <s v="Pays full"/>
  </r>
  <r>
    <d v="2025-02-11T00:00:00"/>
    <x v="1"/>
    <x v="0"/>
    <n v="25"/>
    <m/>
    <n v="115"/>
    <m/>
    <s v="2025-02"/>
    <s v="Pays full"/>
  </r>
  <r>
    <d v="2025-02-13T00:00:00"/>
    <x v="1"/>
    <x v="0"/>
    <n v="172"/>
    <m/>
    <n v="115"/>
    <m/>
    <s v="2025-02"/>
    <s v="Pays full"/>
  </r>
  <r>
    <d v="2025-02-14T00:00:00"/>
    <x v="1"/>
    <x v="0"/>
    <n v="60"/>
    <m/>
    <n v="115"/>
    <m/>
    <s v="2025-02"/>
    <s v="Pays full"/>
  </r>
  <r>
    <d v="2025-02-14T00:00:00"/>
    <x v="1"/>
    <x v="0"/>
    <n v="73"/>
    <m/>
    <n v="115"/>
    <m/>
    <s v="2025-02"/>
    <s v="Pays full"/>
  </r>
  <r>
    <d v="2025-02-15T00:00:00"/>
    <x v="1"/>
    <x v="0"/>
    <n v="28"/>
    <m/>
    <n v="115"/>
    <m/>
    <s v="2025-02"/>
    <s v="Pays full"/>
  </r>
  <r>
    <d v="2025-02-16T00:00:00"/>
    <x v="1"/>
    <x v="0"/>
    <n v="425"/>
    <m/>
    <n v="115"/>
    <m/>
    <s v="2025-02"/>
    <s v="Pays full"/>
  </r>
  <r>
    <d v="2025-02-17T00:00:00"/>
    <x v="1"/>
    <x v="0"/>
    <n v="65"/>
    <m/>
    <n v="115"/>
    <m/>
    <s v="2025-02"/>
    <s v="Pays full"/>
  </r>
  <r>
    <d v="2025-02-18T00:00:00"/>
    <x v="1"/>
    <x v="0"/>
    <n v="77"/>
    <m/>
    <n v="115"/>
    <m/>
    <s v="2025-02"/>
    <s v="Pays full"/>
  </r>
  <r>
    <d v="2025-02-20T00:00:00"/>
    <x v="1"/>
    <x v="0"/>
    <n v="88"/>
    <m/>
    <n v="115"/>
    <m/>
    <s v="2025-02"/>
    <s v="Pays full"/>
  </r>
  <r>
    <d v="2025-02-21T00:00:00"/>
    <x v="1"/>
    <x v="0"/>
    <n v="65"/>
    <m/>
    <n v="115"/>
    <m/>
    <s v="2025-02"/>
    <s v="Pays full"/>
  </r>
  <r>
    <d v="2025-02-21T00:00:00"/>
    <x v="1"/>
    <x v="0"/>
    <n v="28"/>
    <m/>
    <n v="115"/>
    <m/>
    <s v="2025-02"/>
    <s v="Pays full"/>
  </r>
  <r>
    <d v="2025-02-22T00:00:00"/>
    <x v="1"/>
    <x v="0"/>
    <n v="360"/>
    <m/>
    <n v="115"/>
    <m/>
    <s v="2025-02"/>
    <s v="Pays full"/>
  </r>
  <r>
    <d v="2025-02-22T00:00:00"/>
    <x v="1"/>
    <x v="0"/>
    <n v="73"/>
    <m/>
    <n v="115"/>
    <m/>
    <s v="2025-02"/>
    <s v="Pays full"/>
  </r>
  <r>
    <d v="2025-02-23T00:00:00"/>
    <x v="1"/>
    <x v="0"/>
    <n v="870"/>
    <m/>
    <n v="115"/>
    <s v="GAS?"/>
    <s v="2025-02"/>
    <s v="Pays full"/>
  </r>
  <r>
    <d v="2025-02-23T00:00:00"/>
    <x v="1"/>
    <x v="0"/>
    <n v="28"/>
    <m/>
    <n v="115"/>
    <m/>
    <s v="2025-02"/>
    <s v="Pays full"/>
  </r>
  <r>
    <d v="2025-02-24T00:00:00"/>
    <x v="1"/>
    <x v="0"/>
    <n v="175"/>
    <m/>
    <n v="115"/>
    <m/>
    <s v="2025-02"/>
    <s v="Pays full"/>
  </r>
  <r>
    <d v="2025-02-24T00:00:00"/>
    <x v="1"/>
    <x v="0"/>
    <n v="28"/>
    <m/>
    <n v="115"/>
    <m/>
    <s v="2025-02"/>
    <s v="Pays full"/>
  </r>
  <r>
    <d v="2025-02-26T00:00:00"/>
    <x v="1"/>
    <x v="0"/>
    <n v="158"/>
    <m/>
    <n v="115"/>
    <m/>
    <s v="2025-02"/>
    <s v="Pays full"/>
  </r>
  <r>
    <d v="2025-02-27T00:00:00"/>
    <x v="1"/>
    <x v="0"/>
    <n v="94"/>
    <m/>
    <n v="115"/>
    <m/>
    <s v="2025-02"/>
    <s v="Pays full"/>
  </r>
  <r>
    <d v="2025-02-28T00:00:00"/>
    <x v="1"/>
    <x v="0"/>
    <n v="28"/>
    <m/>
    <n v="115"/>
    <m/>
    <s v="2025-02"/>
    <s v="Pays full"/>
  </r>
  <r>
    <d v="2025-02-28T00:00:00"/>
    <x v="1"/>
    <x v="0"/>
    <n v="70"/>
    <m/>
    <n v="115"/>
    <m/>
    <s v="2025-02"/>
    <s v="Pays full"/>
  </r>
  <r>
    <d v="2025-02-28T00:00:00"/>
    <x v="1"/>
    <x v="0"/>
    <n v="48"/>
    <m/>
    <n v="115"/>
    <s v="Book: Total 4681 (February)"/>
    <s v="2025-02"/>
    <s v="Pays full"/>
  </r>
  <r>
    <d v="2025-02-28T00:00:00"/>
    <x v="1"/>
    <x v="2"/>
    <n v="140"/>
    <m/>
    <n v="115"/>
    <s v="Dad's Feb total 4681 is 140 more than the lines: added, not written"/>
    <s v="2025-02"/>
    <s v="Pays full"/>
  </r>
  <r>
    <m/>
    <x v="1"/>
    <x v="1"/>
    <n v="4681"/>
    <m/>
    <n v="115"/>
    <s v="Book: 'Bar 4681' = February paid in full (date not written)"/>
    <s v=""/>
    <s v="Pays full"/>
  </r>
  <r>
    <d v="2025-03-01T00:00:00"/>
    <x v="1"/>
    <x v="0"/>
    <n v="112"/>
    <m/>
    <n v="115"/>
    <m/>
    <s v="2025-03"/>
    <s v="Pays full"/>
  </r>
  <r>
    <d v="2025-03-01T00:00:00"/>
    <x v="1"/>
    <x v="0"/>
    <n v="188"/>
    <m/>
    <n v="115"/>
    <s v="Date written like 1/4/25, read as 1/3"/>
    <s v="2025-03"/>
    <s v="Pays full"/>
  </r>
  <r>
    <d v="2025-03-02T00:00:00"/>
    <x v="1"/>
    <x v="0"/>
    <n v="60"/>
    <m/>
    <n v="115"/>
    <m/>
    <s v="2025-03"/>
    <s v="Pays full"/>
  </r>
  <r>
    <d v="2025-03-03T00:00:00"/>
    <x v="1"/>
    <x v="0"/>
    <n v="243"/>
    <m/>
    <n v="115"/>
    <m/>
    <s v="2025-03"/>
    <s v="Pays full"/>
  </r>
  <r>
    <d v="2025-03-03T00:00:00"/>
    <x v="1"/>
    <x v="0"/>
    <n v="28"/>
    <m/>
    <n v="115"/>
    <m/>
    <s v="2025-03"/>
    <s v="Pays full"/>
  </r>
  <r>
    <d v="2025-03-04T00:00:00"/>
    <x v="1"/>
    <x v="0"/>
    <n v="28"/>
    <m/>
    <n v="115"/>
    <m/>
    <s v="2025-03"/>
    <s v="Pays full"/>
  </r>
  <r>
    <d v="2025-03-05T00:00:00"/>
    <x v="1"/>
    <x v="0"/>
    <n v="120"/>
    <m/>
    <n v="115"/>
    <m/>
    <s v="2025-03"/>
    <s v="Pays full"/>
  </r>
  <r>
    <d v="2025-03-05T00:00:00"/>
    <x v="1"/>
    <x v="0"/>
    <n v="48"/>
    <m/>
    <n v="115"/>
    <m/>
    <s v="2025-03"/>
    <s v="Pays full"/>
  </r>
  <r>
    <d v="2025-03-07T00:00:00"/>
    <x v="1"/>
    <x v="0"/>
    <n v="280"/>
    <m/>
    <n v="115"/>
    <m/>
    <s v="2025-03"/>
    <s v="Pays full"/>
  </r>
  <r>
    <d v="2025-03-11T00:00:00"/>
    <x v="1"/>
    <x v="0"/>
    <n v="182"/>
    <m/>
    <n v="115"/>
    <m/>
    <s v="2025-03"/>
    <s v="Pays full"/>
  </r>
  <r>
    <d v="2025-03-11T00:00:00"/>
    <x v="1"/>
    <x v="0"/>
    <n v="227"/>
    <m/>
    <n v="115"/>
    <m/>
    <s v="2025-03"/>
    <s v="Pays full"/>
  </r>
  <r>
    <d v="2025-03-13T00:00:00"/>
    <x v="1"/>
    <x v="0"/>
    <n v="355"/>
    <m/>
    <n v="115"/>
    <m/>
    <s v="2025-03"/>
    <s v="Pays full"/>
  </r>
  <r>
    <d v="2025-03-15T00:00:00"/>
    <x v="1"/>
    <x v="0"/>
    <n v="30"/>
    <m/>
    <n v="115"/>
    <s v="Dates 15-18 March hard to read; amounts match the total"/>
    <s v="2025-03"/>
    <s v="Pays full"/>
  </r>
  <r>
    <d v="2025-03-16T00:00:00"/>
    <x v="1"/>
    <x v="0"/>
    <n v="10"/>
    <m/>
    <n v="115"/>
    <m/>
    <s v="2025-03"/>
    <s v="Pays full"/>
  </r>
  <r>
    <d v="2025-03-15T00:00:00"/>
    <x v="1"/>
    <x v="0"/>
    <n v="373"/>
    <m/>
    <n v="115"/>
    <m/>
    <s v="2025-03"/>
    <s v="Pays full"/>
  </r>
  <r>
    <d v="2025-03-18T00:00:00"/>
    <x v="1"/>
    <x v="0"/>
    <n v="30"/>
    <m/>
    <n v="115"/>
    <m/>
    <s v="2025-03"/>
    <s v="Pays full"/>
  </r>
  <r>
    <d v="2025-03-16T00:00:00"/>
    <x v="1"/>
    <x v="0"/>
    <n v="280"/>
    <m/>
    <n v="115"/>
    <m/>
    <s v="2025-03"/>
    <s v="Pays full"/>
  </r>
  <r>
    <d v="2025-03-16T00:00:00"/>
    <x v="1"/>
    <x v="0"/>
    <n v="121"/>
    <m/>
    <n v="115"/>
    <m/>
    <s v="2025-03"/>
    <s v="Pays full"/>
  </r>
  <r>
    <d v="2025-03-17T00:00:00"/>
    <x v="1"/>
    <x v="0"/>
    <n v="50"/>
    <m/>
    <n v="115"/>
    <m/>
    <s v="2025-03"/>
    <s v="Pays full"/>
  </r>
  <r>
    <d v="2025-03-18T00:00:00"/>
    <x v="1"/>
    <x v="0"/>
    <n v="285"/>
    <m/>
    <n v="115"/>
    <m/>
    <s v="2025-03"/>
    <s v="Pays full"/>
  </r>
  <r>
    <d v="2025-03-19T00:00:00"/>
    <x v="1"/>
    <x v="0"/>
    <n v="110"/>
    <m/>
    <n v="115"/>
    <s v="18/3 43 above this is crossed out in the book, so not counted"/>
    <s v="2025-03"/>
    <s v="Pays full"/>
  </r>
  <r>
    <d v="2025-03-20T00:00:00"/>
    <x v="1"/>
    <x v="0"/>
    <n v="30"/>
    <m/>
    <n v="115"/>
    <m/>
    <s v="2025-03"/>
    <s v="Pays full"/>
  </r>
  <r>
    <d v="2025-03-21T00:00:00"/>
    <x v="1"/>
    <x v="0"/>
    <n v="309"/>
    <m/>
    <n v="115"/>
    <m/>
    <s v="2025-03"/>
    <s v="Pays full"/>
  </r>
  <r>
    <d v="2025-03-21T00:00:00"/>
    <x v="1"/>
    <x v="0"/>
    <n v="192"/>
    <m/>
    <n v="115"/>
    <m/>
    <s v="2025-03"/>
    <s v="Pays full"/>
  </r>
  <r>
    <d v="2025-03-22T00:00:00"/>
    <x v="1"/>
    <x v="0"/>
    <n v="38"/>
    <m/>
    <n v="115"/>
    <m/>
    <s v="2025-03"/>
    <s v="Pays full"/>
  </r>
  <r>
    <d v="2025-03-23T00:00:00"/>
    <x v="1"/>
    <x v="0"/>
    <n v="27"/>
    <m/>
    <n v="115"/>
    <m/>
    <s v="2025-03"/>
    <s v="Pays full"/>
  </r>
  <r>
    <d v="2025-03-24T00:00:00"/>
    <x v="1"/>
    <x v="0"/>
    <n v="79"/>
    <m/>
    <n v="115"/>
    <m/>
    <s v="2025-03"/>
    <s v="Pays full"/>
  </r>
  <r>
    <d v="2025-03-25T00:00:00"/>
    <x v="1"/>
    <x v="0"/>
    <n v="58"/>
    <m/>
    <n v="115"/>
    <m/>
    <s v="2025-03"/>
    <s v="Pays full"/>
  </r>
  <r>
    <d v="2025-03-26T00:00:00"/>
    <x v="1"/>
    <x v="0"/>
    <n v="73"/>
    <m/>
    <n v="115"/>
    <m/>
    <s v="2025-03"/>
    <s v="Pays full"/>
  </r>
  <r>
    <d v="2025-03-27T00:00:00"/>
    <x v="1"/>
    <x v="0"/>
    <n v="10"/>
    <m/>
    <n v="115"/>
    <m/>
    <s v="2025-03"/>
    <s v="Pays full"/>
  </r>
  <r>
    <d v="2025-03-27T00:00:00"/>
    <x v="1"/>
    <x v="0"/>
    <n v="60"/>
    <m/>
    <n v="115"/>
    <m/>
    <s v="2025-03"/>
    <s v="Pays full"/>
  </r>
  <r>
    <d v="2025-03-28T00:00:00"/>
    <x v="1"/>
    <x v="0"/>
    <n v="25"/>
    <m/>
    <n v="115"/>
    <m/>
    <s v="2025-03"/>
    <s v="Pays full"/>
  </r>
  <r>
    <d v="2025-03-29T00:00:00"/>
    <x v="1"/>
    <x v="0"/>
    <n v="152"/>
    <m/>
    <n v="115"/>
    <m/>
    <s v="2025-03"/>
    <s v="Pays full"/>
  </r>
  <r>
    <d v="2025-03-30T00:00:00"/>
    <x v="1"/>
    <x v="0"/>
    <n v="98"/>
    <m/>
    <n v="115"/>
    <m/>
    <s v="2025-03"/>
    <s v="Pays full"/>
  </r>
  <r>
    <d v="2025-03-30T00:00:00"/>
    <x v="1"/>
    <x v="0"/>
    <n v="400"/>
    <m/>
    <n v="115"/>
    <s v="GAS. Book: Total 4711 (March)"/>
    <s v="2025-03"/>
    <s v="Pays full"/>
  </r>
  <r>
    <m/>
    <x v="1"/>
    <x v="1"/>
    <n v="4700"/>
    <m/>
    <n v="115"/>
    <s v="Book: 'Bar 4700' = March paid; 11 let go (round-off). Date not written"/>
    <s v=""/>
    <s v="Pays full"/>
  </r>
  <r>
    <d v="2025-03-30T00:00:00"/>
    <x v="1"/>
    <x v="2"/>
    <n v="-11"/>
    <m/>
    <n v="115"/>
    <s v="Tot 4711, paid 4700: 11 let go"/>
    <s v="2025-03"/>
    <s v="Pays full"/>
  </r>
  <r>
    <d v="2025-04-02T00:00:00"/>
    <x v="1"/>
    <x v="0"/>
    <n v="150"/>
    <m/>
    <n v="115"/>
    <m/>
    <s v="2025-04"/>
    <s v="Pays full"/>
  </r>
  <r>
    <d v="2025-04-03T00:00:00"/>
    <x v="1"/>
    <x v="0"/>
    <n v="46"/>
    <m/>
    <n v="115"/>
    <m/>
    <s v="2025-04"/>
    <s v="Pays full"/>
  </r>
  <r>
    <d v="2025-04-04T00:00:00"/>
    <x v="1"/>
    <x v="0"/>
    <n v="5"/>
    <m/>
    <n v="115"/>
    <s v="Checked: 5"/>
    <s v="2025-04"/>
    <s v="Pays full"/>
  </r>
  <r>
    <d v="2025-04-05T00:00:00"/>
    <x v="1"/>
    <x v="0"/>
    <n v="172"/>
    <m/>
    <n v="115"/>
    <m/>
    <s v="2025-04"/>
    <s v="Pays full"/>
  </r>
  <r>
    <d v="2025-04-05T00:00:00"/>
    <x v="1"/>
    <x v="0"/>
    <n v="79"/>
    <m/>
    <n v="115"/>
    <s v="Checked: not crossed, counted"/>
    <s v="2025-04"/>
    <s v="Pays full"/>
  </r>
  <r>
    <d v="2025-04-06T00:00:00"/>
    <x v="1"/>
    <x v="0"/>
    <n v="244"/>
    <m/>
    <n v="115"/>
    <m/>
    <s v="2025-04"/>
    <s v="Pays full"/>
  </r>
  <r>
    <d v="2025-04-07T00:00:00"/>
    <x v="1"/>
    <x v="0"/>
    <n v="59"/>
    <m/>
    <n v="115"/>
    <m/>
    <s v="2025-04"/>
    <s v="Pays full"/>
  </r>
  <r>
    <d v="2025-04-08T00:00:00"/>
    <x v="1"/>
    <x v="0"/>
    <n v="181"/>
    <m/>
    <n v="115"/>
    <m/>
    <s v="2025-04"/>
    <s v="Pays full"/>
  </r>
  <r>
    <d v="2025-04-09T00:00:00"/>
    <x v="1"/>
    <x v="0"/>
    <n v="34"/>
    <m/>
    <n v="115"/>
    <m/>
    <s v="2025-04"/>
    <s v="Pays full"/>
  </r>
  <r>
    <d v="2025-04-10T00:00:00"/>
    <x v="1"/>
    <x v="0"/>
    <n v="60"/>
    <m/>
    <n v="115"/>
    <m/>
    <s v="2025-04"/>
    <s v="Pays full"/>
  </r>
  <r>
    <d v="2025-04-10T00:00:00"/>
    <x v="1"/>
    <x v="0"/>
    <n v="430"/>
    <m/>
    <n v="115"/>
    <m/>
    <s v="2025-04"/>
    <s v="Pays full"/>
  </r>
  <r>
    <d v="2025-04-10T00:00:00"/>
    <x v="1"/>
    <x v="0"/>
    <n v="50"/>
    <m/>
    <n v="115"/>
    <s v="GAS?"/>
    <s v="2025-04"/>
    <s v="Pays full"/>
  </r>
  <r>
    <d v="2025-04-12T00:00:00"/>
    <x v="1"/>
    <x v="0"/>
    <n v="3012"/>
    <m/>
    <n v="115"/>
    <s v="Checked: 12/4 purchase"/>
    <s v="2025-04"/>
    <s v="Pays full"/>
  </r>
  <r>
    <d v="2025-04-12T00:00:00"/>
    <x v="1"/>
    <x v="2"/>
    <n v="180"/>
    <n v="4702"/>
    <n v="115"/>
    <s v="Dad's April total 4702 (top of page 115) is 180 more than the lines: added, not written"/>
    <s v="2025-04"/>
    <s v="Pays full"/>
  </r>
  <r>
    <m/>
    <x v="1"/>
    <x v="1"/>
    <n v="4702"/>
    <m/>
    <n v="115"/>
    <s v="April total paid (confirmed; date not written)"/>
    <s v=""/>
    <s v="Pays full"/>
  </r>
  <r>
    <d v="2022-09-21T00:00:00"/>
    <x v="2"/>
    <x v="0"/>
    <n v="2570"/>
    <m/>
    <n v="268"/>
    <s v="Opening 0"/>
    <s v="2022-09"/>
    <s v="Carries forward"/>
  </r>
  <r>
    <d v="2022-09-22T00:00:00"/>
    <x v="2"/>
    <x v="0"/>
    <n v="380"/>
    <m/>
    <n v="268"/>
    <m/>
    <s v="2022-09"/>
    <s v="Carries forward"/>
  </r>
  <r>
    <d v="2022-09-23T00:00:00"/>
    <x v="2"/>
    <x v="0"/>
    <n v="93"/>
    <m/>
    <n v="268"/>
    <m/>
    <s v="2022-09"/>
    <s v="Carries forward"/>
  </r>
  <r>
    <d v="2022-09-25T00:00:00"/>
    <x v="2"/>
    <x v="0"/>
    <n v="486"/>
    <m/>
    <n v="268"/>
    <m/>
    <s v="2022-09"/>
    <s v="Carries forward"/>
  </r>
  <r>
    <d v="2022-09-26T00:00:00"/>
    <x v="2"/>
    <x v="0"/>
    <n v="92"/>
    <m/>
    <n v="268"/>
    <m/>
    <s v="2022-09"/>
    <s v="Carries forward"/>
  </r>
  <r>
    <d v="2022-09-27T00:00:00"/>
    <x v="2"/>
    <x v="0"/>
    <n v="462"/>
    <m/>
    <n v="268"/>
    <m/>
    <s v="2022-09"/>
    <s v="Carries forward"/>
  </r>
  <r>
    <d v="2022-09-28T00:00:00"/>
    <x v="2"/>
    <x v="0"/>
    <n v="200"/>
    <m/>
    <n v="268"/>
    <m/>
    <s v="2022-09"/>
    <s v="Carries forward"/>
  </r>
  <r>
    <d v="2022-09-29T00:00:00"/>
    <x v="2"/>
    <x v="0"/>
    <n v="157"/>
    <m/>
    <n v="268"/>
    <m/>
    <s v="2022-09"/>
    <s v="Carries forward"/>
  </r>
  <r>
    <d v="2022-09-29T00:00:00"/>
    <x v="2"/>
    <x v="0"/>
    <n v="38"/>
    <m/>
    <n v="268"/>
    <m/>
    <s v="2022-09"/>
    <s v="Carries forward"/>
  </r>
  <r>
    <d v="2022-09-30T00:00:00"/>
    <x v="2"/>
    <x v="0"/>
    <n v="50"/>
    <m/>
    <n v="268"/>
    <m/>
    <s v="2022-09"/>
    <s v="Carries forward"/>
  </r>
  <r>
    <d v="2022-09-30T00:00:00"/>
    <x v="2"/>
    <x v="0"/>
    <n v="196"/>
    <m/>
    <n v="268"/>
    <m/>
    <s v="2022-09"/>
    <s v="Carries forward"/>
  </r>
  <r>
    <d v="2022-10-01T00:00:00"/>
    <x v="2"/>
    <x v="0"/>
    <n v="51"/>
    <m/>
    <n v="268"/>
    <m/>
    <s v="2022-10"/>
    <s v="Carries forward"/>
  </r>
  <r>
    <d v="2022-10-01T00:00:00"/>
    <x v="2"/>
    <x v="0"/>
    <n v="66"/>
    <m/>
    <n v="268"/>
    <m/>
    <s v="2022-10"/>
    <s v="Carries forward"/>
  </r>
  <r>
    <d v="2022-10-02T00:00:00"/>
    <x v="2"/>
    <x v="0"/>
    <n v="50"/>
    <m/>
    <n v="268"/>
    <m/>
    <s v="2022-10"/>
    <s v="Carries forward"/>
  </r>
  <r>
    <d v="2022-10-02T00:00:00"/>
    <x v="2"/>
    <x v="0"/>
    <n v="34"/>
    <m/>
    <n v="268"/>
    <m/>
    <s v="2022-10"/>
    <s v="Carries forward"/>
  </r>
  <r>
    <d v="2022-10-03T00:00:00"/>
    <x v="2"/>
    <x v="0"/>
    <n v="45"/>
    <n v="4970"/>
    <n v="268"/>
    <s v="Book: Tot 4970"/>
    <s v="2022-10"/>
    <s v="Carries forward"/>
  </r>
  <r>
    <d v="2022-10-03T00:00:00"/>
    <x v="2"/>
    <x v="0"/>
    <n v="151"/>
    <m/>
    <n v="268"/>
    <m/>
    <s v="2022-10"/>
    <s v="Carries forward"/>
  </r>
  <r>
    <d v="2022-10-04T00:00:00"/>
    <x v="2"/>
    <x v="0"/>
    <n v="29"/>
    <m/>
    <n v="268"/>
    <m/>
    <s v="2022-10"/>
    <s v="Carries forward"/>
  </r>
  <r>
    <d v="2022-10-04T00:00:00"/>
    <x v="2"/>
    <x v="0"/>
    <n v="589"/>
    <m/>
    <n v="268"/>
    <m/>
    <s v="2022-10"/>
    <s v="Carries forward"/>
  </r>
  <r>
    <d v="2022-10-05T00:00:00"/>
    <x v="2"/>
    <x v="0"/>
    <n v="56"/>
    <m/>
    <n v="268"/>
    <m/>
    <s v="2022-10"/>
    <s v="Carries forward"/>
  </r>
  <r>
    <d v="2022-10-05T00:00:00"/>
    <x v="2"/>
    <x v="0"/>
    <n v="26"/>
    <m/>
    <n v="268"/>
    <m/>
    <s v="2022-10"/>
    <s v="Carries forward"/>
  </r>
  <r>
    <d v="2022-10-06T00:00:00"/>
    <x v="2"/>
    <x v="0"/>
    <n v="29"/>
    <m/>
    <n v="268"/>
    <m/>
    <s v="2022-10"/>
    <s v="Carries forward"/>
  </r>
  <r>
    <d v="2022-10-06T00:00:00"/>
    <x v="2"/>
    <x v="0"/>
    <n v="453"/>
    <m/>
    <n v="268"/>
    <m/>
    <s v="2022-10"/>
    <s v="Carries forward"/>
  </r>
  <r>
    <d v="2022-10-06T00:00:00"/>
    <x v="2"/>
    <x v="0"/>
    <n v="29"/>
    <m/>
    <n v="268"/>
    <m/>
    <s v="2022-10"/>
    <s v="Carries forward"/>
  </r>
  <r>
    <d v="2022-10-08T00:00:00"/>
    <x v="2"/>
    <x v="0"/>
    <n v="39"/>
    <m/>
    <n v="268"/>
    <m/>
    <s v="2022-10"/>
    <s v="Carries forward"/>
  </r>
  <r>
    <d v="2022-10-09T00:00:00"/>
    <x v="2"/>
    <x v="0"/>
    <n v="34"/>
    <m/>
    <n v="268"/>
    <m/>
    <s v="2022-10"/>
    <s v="Carries forward"/>
  </r>
  <r>
    <d v="2022-10-07T00:00:00"/>
    <x v="2"/>
    <x v="0"/>
    <n v="20"/>
    <m/>
    <n v="268"/>
    <m/>
    <s v="2022-10"/>
    <s v="Carries forward"/>
  </r>
  <r>
    <d v="2022-10-09T00:00:00"/>
    <x v="2"/>
    <x v="0"/>
    <n v="207"/>
    <m/>
    <n v="268"/>
    <m/>
    <s v="2022-10"/>
    <s v="Carries forward"/>
  </r>
  <r>
    <d v="2022-10-10T00:00:00"/>
    <x v="2"/>
    <x v="0"/>
    <n v="68"/>
    <m/>
    <n v="268"/>
    <m/>
    <s v="2022-10"/>
    <s v="Carries forward"/>
  </r>
  <r>
    <d v="2022-10-10T00:00:00"/>
    <x v="2"/>
    <x v="0"/>
    <n v="35"/>
    <m/>
    <n v="268"/>
    <m/>
    <s v="2022-10"/>
    <s v="Carries forward"/>
  </r>
  <r>
    <d v="2022-10-11T00:00:00"/>
    <x v="2"/>
    <x v="0"/>
    <n v="38"/>
    <m/>
    <n v="268"/>
    <m/>
    <s v="2022-10"/>
    <s v="Carries forward"/>
  </r>
  <r>
    <d v="2022-10-11T00:00:00"/>
    <x v="2"/>
    <x v="0"/>
    <n v="180"/>
    <m/>
    <n v="268"/>
    <m/>
    <s v="2022-10"/>
    <s v="Carries forward"/>
  </r>
  <r>
    <d v="2022-10-11T00:00:00"/>
    <x v="2"/>
    <x v="0"/>
    <n v="245"/>
    <m/>
    <n v="268"/>
    <m/>
    <s v="2022-10"/>
    <s v="Carries forward"/>
  </r>
  <r>
    <d v="2022-10-12T00:00:00"/>
    <x v="2"/>
    <x v="0"/>
    <n v="40"/>
    <m/>
    <n v="268"/>
    <m/>
    <s v="2022-10"/>
    <s v="Carries forward"/>
  </r>
  <r>
    <d v="2022-10-12T00:00:00"/>
    <x v="2"/>
    <x v="0"/>
    <n v="104"/>
    <m/>
    <n v="268"/>
    <m/>
    <s v="2022-10"/>
    <s v="Carries forward"/>
  </r>
  <r>
    <d v="2022-10-13T00:00:00"/>
    <x v="2"/>
    <x v="0"/>
    <n v="29"/>
    <m/>
    <n v="268"/>
    <m/>
    <s v="2022-10"/>
    <s v="Carries forward"/>
  </r>
  <r>
    <d v="2022-10-13T00:00:00"/>
    <x v="2"/>
    <x v="0"/>
    <n v="130"/>
    <m/>
    <n v="268"/>
    <m/>
    <s v="2022-10"/>
    <s v="Carries forward"/>
  </r>
  <r>
    <d v="2022-10-13T00:00:00"/>
    <x v="2"/>
    <x v="0"/>
    <n v="34"/>
    <m/>
    <n v="268"/>
    <m/>
    <s v="2022-10"/>
    <s v="Carries forward"/>
  </r>
  <r>
    <d v="2022-10-14T00:00:00"/>
    <x v="2"/>
    <x v="0"/>
    <n v="97"/>
    <m/>
    <n v="268"/>
    <m/>
    <s v="2022-10"/>
    <s v="Carries forward"/>
  </r>
  <r>
    <d v="2022-10-15T00:00:00"/>
    <x v="2"/>
    <x v="0"/>
    <n v="34"/>
    <m/>
    <n v="268"/>
    <m/>
    <s v="2022-10"/>
    <s v="Carries forward"/>
  </r>
  <r>
    <d v="2022-10-15T00:00:00"/>
    <x v="2"/>
    <x v="0"/>
    <n v="29"/>
    <m/>
    <n v="268"/>
    <m/>
    <s v="2022-10"/>
    <s v="Carries forward"/>
  </r>
  <r>
    <d v="2022-10-15T00:00:00"/>
    <x v="2"/>
    <x v="0"/>
    <n v="141"/>
    <m/>
    <n v="268"/>
    <m/>
    <s v="2022-10"/>
    <s v="Carries forward"/>
  </r>
  <r>
    <d v="2022-10-16T00:00:00"/>
    <x v="2"/>
    <x v="0"/>
    <n v="34"/>
    <m/>
    <n v="268"/>
    <m/>
    <s v="2022-10"/>
    <s v="Carries forward"/>
  </r>
  <r>
    <d v="2022-10-16T00:00:00"/>
    <x v="2"/>
    <x v="0"/>
    <n v="34"/>
    <m/>
    <n v="268"/>
    <m/>
    <s v="2022-10"/>
    <s v="Carries forward"/>
  </r>
  <r>
    <d v="2022-10-17T00:00:00"/>
    <x v="2"/>
    <x v="0"/>
    <n v="34"/>
    <m/>
    <n v="268"/>
    <m/>
    <s v="2022-10"/>
    <s v="Carries forward"/>
  </r>
  <r>
    <d v="2022-10-17T00:00:00"/>
    <x v="2"/>
    <x v="0"/>
    <n v="140"/>
    <m/>
    <n v="268"/>
    <m/>
    <s v="2022-10"/>
    <s v="Carries forward"/>
  </r>
  <r>
    <d v="2022-10-18T00:00:00"/>
    <x v="2"/>
    <x v="0"/>
    <n v="34"/>
    <m/>
    <n v="268"/>
    <m/>
    <s v="2022-10"/>
    <s v="Carries forward"/>
  </r>
  <r>
    <d v="2022-10-18T00:00:00"/>
    <x v="2"/>
    <x v="0"/>
    <n v="37"/>
    <m/>
    <n v="268"/>
    <m/>
    <s v="2022-10"/>
    <s v="Carries forward"/>
  </r>
  <r>
    <d v="2022-10-18T00:00:00"/>
    <x v="2"/>
    <x v="0"/>
    <n v="90"/>
    <m/>
    <n v="268"/>
    <m/>
    <s v="2022-10"/>
    <s v="Carries forward"/>
  </r>
  <r>
    <d v="2022-10-19T00:00:00"/>
    <x v="2"/>
    <x v="0"/>
    <n v="34"/>
    <m/>
    <n v="268"/>
    <m/>
    <s v="2022-10"/>
    <s v="Carries forward"/>
  </r>
  <r>
    <d v="2022-10-19T00:00:00"/>
    <x v="2"/>
    <x v="0"/>
    <n v="1225"/>
    <m/>
    <n v="268"/>
    <m/>
    <s v="2022-10"/>
    <s v="Carries forward"/>
  </r>
  <r>
    <d v="2022-10-19T00:00:00"/>
    <x v="2"/>
    <x v="0"/>
    <n v="31"/>
    <m/>
    <n v="268"/>
    <m/>
    <s v="2022-10"/>
    <s v="Carries forward"/>
  </r>
  <r>
    <d v="2022-10-20T00:00:00"/>
    <x v="2"/>
    <x v="0"/>
    <n v="44"/>
    <m/>
    <n v="268"/>
    <m/>
    <s v="2022-10"/>
    <s v="Carries forward"/>
  </r>
  <r>
    <d v="2022-10-20T00:00:00"/>
    <x v="2"/>
    <x v="0"/>
    <n v="72"/>
    <m/>
    <n v="268"/>
    <m/>
    <s v="2022-10"/>
    <s v="Carries forward"/>
  </r>
  <r>
    <d v="2022-10-20T00:00:00"/>
    <x v="2"/>
    <x v="0"/>
    <n v="354"/>
    <m/>
    <n v="268"/>
    <m/>
    <s v="2022-10"/>
    <s v="Carries forward"/>
  </r>
  <r>
    <d v="2022-10-21T00:00:00"/>
    <x v="2"/>
    <x v="0"/>
    <n v="114"/>
    <m/>
    <n v="268"/>
    <m/>
    <s v="2022-10"/>
    <s v="Carries forward"/>
  </r>
  <r>
    <d v="2022-10-21T00:00:00"/>
    <x v="2"/>
    <x v="0"/>
    <n v="34"/>
    <m/>
    <n v="268"/>
    <m/>
    <s v="2022-10"/>
    <s v="Carries forward"/>
  </r>
  <r>
    <d v="2022-10-22T00:00:00"/>
    <x v="2"/>
    <x v="0"/>
    <n v="37"/>
    <m/>
    <n v="268"/>
    <m/>
    <s v="2022-10"/>
    <s v="Carries forward"/>
  </r>
  <r>
    <d v="2022-10-22T00:00:00"/>
    <x v="2"/>
    <x v="0"/>
    <n v="142"/>
    <m/>
    <n v="268"/>
    <m/>
    <s v="2022-10"/>
    <s v="Carries forward"/>
  </r>
  <r>
    <d v="2022-10-23T00:00:00"/>
    <x v="2"/>
    <x v="0"/>
    <n v="34"/>
    <m/>
    <n v="268"/>
    <m/>
    <s v="2022-10"/>
    <s v="Carries forward"/>
  </r>
  <r>
    <d v="2022-10-23T00:00:00"/>
    <x v="2"/>
    <x v="2"/>
    <n v="179"/>
    <n v="10539"/>
    <n v="268"/>
    <s v="book block total 5569 (3/10-23/10), my lines 5390 (179 less). Misread or unwritten? Total 10539 - treated as not written"/>
    <s v="2022-10"/>
    <s v="Carries forward"/>
  </r>
  <r>
    <d v="2022-10-23T00:00:00"/>
    <x v="2"/>
    <x v="0"/>
    <n v="34"/>
    <m/>
    <n v="268"/>
    <m/>
    <s v="2022-10"/>
    <s v="Carries forward"/>
  </r>
  <r>
    <d v="2022-10-23T00:00:00"/>
    <x v="2"/>
    <x v="0"/>
    <n v="184"/>
    <m/>
    <n v="268"/>
    <m/>
    <s v="2022-10"/>
    <s v="Carries forward"/>
  </r>
  <r>
    <d v="2022-10-24T00:00:00"/>
    <x v="2"/>
    <x v="0"/>
    <n v="34"/>
    <m/>
    <n v="268"/>
    <m/>
    <s v="2022-10"/>
    <s v="Carries forward"/>
  </r>
  <r>
    <d v="2022-10-24T00:00:00"/>
    <x v="2"/>
    <x v="0"/>
    <n v="29"/>
    <m/>
    <n v="268"/>
    <m/>
    <s v="2022-10"/>
    <s v="Carries forward"/>
  </r>
  <r>
    <d v="2022-10-24T00:00:00"/>
    <x v="2"/>
    <x v="0"/>
    <n v="113"/>
    <m/>
    <n v="268"/>
    <m/>
    <s v="2022-10"/>
    <s v="Carries forward"/>
  </r>
  <r>
    <d v="2022-10-24T00:00:00"/>
    <x v="2"/>
    <x v="0"/>
    <n v="29"/>
    <m/>
    <n v="268"/>
    <m/>
    <s v="2022-10"/>
    <s v="Carries forward"/>
  </r>
  <r>
    <d v="2022-10-25T00:00:00"/>
    <x v="2"/>
    <x v="0"/>
    <n v="102"/>
    <m/>
    <n v="268"/>
    <m/>
    <s v="2022-10"/>
    <s v="Carries forward"/>
  </r>
  <r>
    <d v="2022-10-26T00:00:00"/>
    <x v="2"/>
    <x v="0"/>
    <n v="37"/>
    <m/>
    <n v="268"/>
    <m/>
    <s v="2022-10"/>
    <s v="Carries forward"/>
  </r>
  <r>
    <d v="2022-10-26T00:00:00"/>
    <x v="2"/>
    <x v="0"/>
    <n v="117"/>
    <m/>
    <n v="268"/>
    <m/>
    <s v="2022-10"/>
    <s v="Carries forward"/>
  </r>
  <r>
    <d v="2022-10-26T00:00:00"/>
    <x v="2"/>
    <x v="0"/>
    <n v="150"/>
    <m/>
    <n v="268"/>
    <m/>
    <s v="2022-10"/>
    <s v="Carries forward"/>
  </r>
  <r>
    <d v="2022-10-27T00:00:00"/>
    <x v="2"/>
    <x v="0"/>
    <n v="37"/>
    <m/>
    <n v="268"/>
    <m/>
    <s v="2022-10"/>
    <s v="Carries forward"/>
  </r>
  <r>
    <d v="2022-10-27T00:00:00"/>
    <x v="2"/>
    <x v="0"/>
    <n v="32"/>
    <m/>
    <n v="268"/>
    <m/>
    <s v="2022-10"/>
    <s v="Carries forward"/>
  </r>
  <r>
    <d v="2022-10-28T00:00:00"/>
    <x v="2"/>
    <x v="0"/>
    <n v="80"/>
    <m/>
    <n v="268"/>
    <m/>
    <s v="2022-10"/>
    <s v="Carries forward"/>
  </r>
  <r>
    <d v="2022-10-28T00:00:00"/>
    <x v="2"/>
    <x v="0"/>
    <n v="157"/>
    <m/>
    <n v="268"/>
    <m/>
    <s v="2022-10"/>
    <s v="Carries forward"/>
  </r>
  <r>
    <d v="2022-10-28T00:00:00"/>
    <x v="2"/>
    <x v="0"/>
    <n v="78"/>
    <m/>
    <n v="268"/>
    <m/>
    <s v="2022-10"/>
    <s v="Carries forward"/>
  </r>
  <r>
    <d v="2022-10-29T00:00:00"/>
    <x v="2"/>
    <x v="0"/>
    <n v="37"/>
    <m/>
    <n v="268"/>
    <m/>
    <s v="2022-10"/>
    <s v="Carries forward"/>
  </r>
  <r>
    <d v="2022-10-29T00:00:00"/>
    <x v="2"/>
    <x v="0"/>
    <n v="37"/>
    <m/>
    <n v="268"/>
    <m/>
    <s v="2022-10"/>
    <s v="Carries forward"/>
  </r>
  <r>
    <d v="2022-10-29T00:00:00"/>
    <x v="2"/>
    <x v="0"/>
    <n v="148"/>
    <m/>
    <n v="268"/>
    <m/>
    <s v="2022-10"/>
    <s v="Carries forward"/>
  </r>
  <r>
    <d v="2022-10-30T00:00:00"/>
    <x v="2"/>
    <x v="0"/>
    <n v="52"/>
    <m/>
    <n v="268"/>
    <m/>
    <s v="2022-10"/>
    <s v="Carries forward"/>
  </r>
  <r>
    <d v="2022-10-30T00:00:00"/>
    <x v="2"/>
    <x v="0"/>
    <n v="451"/>
    <m/>
    <n v="268"/>
    <m/>
    <s v="2022-10"/>
    <s v="Carries forward"/>
  </r>
  <r>
    <d v="2022-10-31T00:00:00"/>
    <x v="2"/>
    <x v="0"/>
    <n v="42"/>
    <m/>
    <n v="268"/>
    <m/>
    <s v="2022-10"/>
    <s v="Carries forward"/>
  </r>
  <r>
    <d v="2022-11-01T00:00:00"/>
    <x v="2"/>
    <x v="0"/>
    <n v="37"/>
    <m/>
    <n v="268"/>
    <m/>
    <s v="2022-11"/>
    <s v="Carries forward"/>
  </r>
  <r>
    <d v="2022-11-01T00:00:00"/>
    <x v="2"/>
    <x v="0"/>
    <n v="111"/>
    <m/>
    <n v="268"/>
    <m/>
    <s v="2022-11"/>
    <s v="Carries forward"/>
  </r>
  <r>
    <d v="2022-11-01T00:00:00"/>
    <x v="2"/>
    <x v="2"/>
    <n v="-3"/>
    <n v="12664"/>
    <n v="268"/>
    <s v="Book TL 12664 is 3 less than the lines"/>
    <s v="2022-11"/>
    <s v="Carries forward"/>
  </r>
  <r>
    <d v="2022-11-02T00:00:00"/>
    <x v="2"/>
    <x v="0"/>
    <n v="55"/>
    <m/>
    <n v="268"/>
    <m/>
    <s v="2022-11"/>
    <s v="Carries forward"/>
  </r>
  <r>
    <d v="2022-11-02T00:00:00"/>
    <x v="2"/>
    <x v="0"/>
    <n v="37"/>
    <m/>
    <n v="268"/>
    <m/>
    <s v="2022-11"/>
    <s v="Carries forward"/>
  </r>
  <r>
    <d v="2022-11-03T00:00:00"/>
    <x v="2"/>
    <x v="0"/>
    <n v="37"/>
    <m/>
    <n v="268"/>
    <m/>
    <s v="2022-11"/>
    <s v="Carries forward"/>
  </r>
  <r>
    <d v="2022-11-03T00:00:00"/>
    <x v="2"/>
    <x v="0"/>
    <n v="489"/>
    <m/>
    <n v="268"/>
    <m/>
    <s v="2022-11"/>
    <s v="Carries forward"/>
  </r>
  <r>
    <d v="2022-11-06T00:00:00"/>
    <x v="2"/>
    <x v="0"/>
    <n v="28"/>
    <m/>
    <n v="268"/>
    <m/>
    <s v="2022-11"/>
    <s v="Carries forward"/>
  </r>
  <r>
    <d v="2022-11-07T00:00:00"/>
    <x v="2"/>
    <x v="0"/>
    <n v="37"/>
    <m/>
    <n v="269"/>
    <m/>
    <s v="2022-11"/>
    <s v="Carries forward"/>
  </r>
  <r>
    <d v="2022-11-07T00:00:00"/>
    <x v="2"/>
    <x v="0"/>
    <n v="102"/>
    <m/>
    <n v="269"/>
    <m/>
    <s v="2022-11"/>
    <s v="Carries forward"/>
  </r>
  <r>
    <d v="2022-11-07T00:00:00"/>
    <x v="2"/>
    <x v="0"/>
    <n v="96"/>
    <m/>
    <n v="269"/>
    <m/>
    <s v="2022-11"/>
    <s v="Carries forward"/>
  </r>
  <r>
    <d v="2022-11-07T00:00:00"/>
    <x v="2"/>
    <x v="0"/>
    <n v="1422"/>
    <m/>
    <n v="269"/>
    <s v="Date not written, read as 7/11"/>
    <s v="2022-11"/>
    <s v="Carries forward"/>
  </r>
  <r>
    <d v="2022-11-08T00:00:00"/>
    <x v="2"/>
    <x v="0"/>
    <n v="48"/>
    <m/>
    <n v="269"/>
    <m/>
    <s v="2022-11"/>
    <s v="Carries forward"/>
  </r>
  <r>
    <d v="2022-11-09T00:00:00"/>
    <x v="2"/>
    <x v="0"/>
    <n v="36"/>
    <m/>
    <n v="269"/>
    <m/>
    <s v="2022-11"/>
    <s v="Carries forward"/>
  </r>
  <r>
    <d v="2022-11-09T00:00:00"/>
    <x v="2"/>
    <x v="0"/>
    <n v="39"/>
    <m/>
    <n v="269"/>
    <m/>
    <s v="2022-11"/>
    <s v="Carries forward"/>
  </r>
  <r>
    <d v="2022-11-09T00:00:00"/>
    <x v="2"/>
    <x v="0"/>
    <n v="289"/>
    <m/>
    <n v="269"/>
    <m/>
    <s v="2022-11"/>
    <s v="Carries forward"/>
  </r>
  <r>
    <d v="2022-11-10T00:00:00"/>
    <x v="2"/>
    <x v="0"/>
    <n v="32"/>
    <n v="15411"/>
    <n v="269"/>
    <s v="Book: Total 15411"/>
    <s v="2022-11"/>
    <s v="Carries forward"/>
  </r>
  <r>
    <d v="2022-11-10T00:00:00"/>
    <x v="2"/>
    <x v="0"/>
    <n v="37"/>
    <m/>
    <n v="269"/>
    <m/>
    <s v="2022-11"/>
    <s v="Carries forward"/>
  </r>
  <r>
    <d v="2022-11-11T00:00:00"/>
    <x v="2"/>
    <x v="0"/>
    <n v="187"/>
    <m/>
    <n v="269"/>
    <m/>
    <s v="2022-11"/>
    <s v="Carries forward"/>
  </r>
  <r>
    <d v="2022-11-12T00:00:00"/>
    <x v="2"/>
    <x v="0"/>
    <n v="32"/>
    <n v="15667"/>
    <n v="269"/>
    <s v="Book: Tot 15667"/>
    <s v="2022-11"/>
    <s v="Carries forward"/>
  </r>
  <r>
    <d v="2022-11-14T00:00:00"/>
    <x v="2"/>
    <x v="0"/>
    <n v="74"/>
    <n v="15741"/>
    <n v="269"/>
    <s v="Book: Tot 15741"/>
    <s v="2022-11"/>
    <s v="Carries forward"/>
  </r>
  <r>
    <d v="2022-11-14T00:00:00"/>
    <x v="2"/>
    <x v="1"/>
    <n v="6000"/>
    <n v="9741"/>
    <n v="269"/>
    <s v="Book: paid 6000 (date looks like 14/11), BAKI 9741"/>
    <s v="2022-11"/>
    <s v="Carries forward"/>
  </r>
  <r>
    <d v="2022-11-24T00:00:00"/>
    <x v="2"/>
    <x v="1"/>
    <n v="7000"/>
    <n v="2741"/>
    <n v="269"/>
    <s v="Book: paid 7000 (date looks like 24/11), BALANCE 2741"/>
    <s v="2022-11"/>
    <s v="Carries forward"/>
  </r>
  <r>
    <d v="2022-11-12T00:00:00"/>
    <x v="2"/>
    <x v="0"/>
    <n v="24"/>
    <m/>
    <n v="269"/>
    <m/>
    <s v="2022-11"/>
    <s v="Carries forward"/>
  </r>
  <r>
    <d v="2022-11-14T00:00:00"/>
    <x v="2"/>
    <x v="0"/>
    <n v="234"/>
    <m/>
    <n v="269"/>
    <m/>
    <s v="2022-11"/>
    <s v="Carries forward"/>
  </r>
  <r>
    <d v="2022-11-13T00:00:00"/>
    <x v="2"/>
    <x v="0"/>
    <n v="32"/>
    <m/>
    <n v="269"/>
    <m/>
    <s v="2022-11"/>
    <s v="Carries forward"/>
  </r>
  <r>
    <d v="2022-11-13T00:00:00"/>
    <x v="2"/>
    <x v="0"/>
    <n v="32"/>
    <m/>
    <n v="269"/>
    <m/>
    <s v="2022-11"/>
    <s v="Carries forward"/>
  </r>
  <r>
    <d v="2022-11-13T00:00:00"/>
    <x v="2"/>
    <x v="0"/>
    <n v="34"/>
    <m/>
    <n v="269"/>
    <m/>
    <s v="2022-11"/>
    <s v="Carries forward"/>
  </r>
  <r>
    <d v="2022-11-14T00:00:00"/>
    <x v="2"/>
    <x v="0"/>
    <n v="34"/>
    <m/>
    <n v="269"/>
    <m/>
    <s v="2022-11"/>
    <s v="Carries forward"/>
  </r>
  <r>
    <d v="2022-11-14T00:00:00"/>
    <x v="2"/>
    <x v="0"/>
    <n v="34"/>
    <m/>
    <n v="269"/>
    <m/>
    <s v="2022-11"/>
    <s v="Carries forward"/>
  </r>
  <r>
    <d v="2022-11-15T00:00:00"/>
    <x v="2"/>
    <x v="0"/>
    <n v="32"/>
    <m/>
    <n v="269"/>
    <m/>
    <s v="2022-11"/>
    <s v="Carries forward"/>
  </r>
  <r>
    <d v="2022-11-15T00:00:00"/>
    <x v="2"/>
    <x v="0"/>
    <n v="32"/>
    <m/>
    <n v="269"/>
    <m/>
    <s v="2022-11"/>
    <s v="Carries forward"/>
  </r>
  <r>
    <d v="2022-11-15T00:00:00"/>
    <x v="2"/>
    <x v="0"/>
    <n v="105"/>
    <m/>
    <n v="269"/>
    <m/>
    <s v="2022-11"/>
    <s v="Carries forward"/>
  </r>
  <r>
    <d v="2022-11-16T00:00:00"/>
    <x v="2"/>
    <x v="0"/>
    <n v="32"/>
    <m/>
    <n v="269"/>
    <m/>
    <s v="2022-11"/>
    <s v="Carries forward"/>
  </r>
  <r>
    <d v="2022-11-16T00:00:00"/>
    <x v="2"/>
    <x v="0"/>
    <n v="127"/>
    <m/>
    <n v="269"/>
    <m/>
    <s v="2022-11"/>
    <s v="Carries forward"/>
  </r>
  <r>
    <d v="2022-11-16T00:00:00"/>
    <x v="2"/>
    <x v="0"/>
    <n v="37"/>
    <m/>
    <n v="269"/>
    <m/>
    <s v="2022-11"/>
    <s v="Carries forward"/>
  </r>
  <r>
    <d v="2022-11-17T00:00:00"/>
    <x v="2"/>
    <x v="0"/>
    <n v="32"/>
    <m/>
    <n v="269"/>
    <m/>
    <s v="2022-11"/>
    <s v="Carries forward"/>
  </r>
  <r>
    <d v="2022-11-17T00:00:00"/>
    <x v="2"/>
    <x v="0"/>
    <n v="245"/>
    <m/>
    <n v="269"/>
    <m/>
    <s v="2022-11"/>
    <s v="Carries forward"/>
  </r>
  <r>
    <d v="2022-11-17T00:00:00"/>
    <x v="2"/>
    <x v="0"/>
    <n v="28"/>
    <m/>
    <n v="269"/>
    <m/>
    <s v="2022-11"/>
    <s v="Carries forward"/>
  </r>
  <r>
    <d v="2022-11-17T00:00:00"/>
    <x v="2"/>
    <x v="0"/>
    <n v="30"/>
    <m/>
    <n v="269"/>
    <m/>
    <s v="2022-11"/>
    <s v="Carries forward"/>
  </r>
  <r>
    <d v="2022-11-19T00:00:00"/>
    <x v="2"/>
    <x v="0"/>
    <n v="37"/>
    <m/>
    <n v="269"/>
    <m/>
    <s v="2022-11"/>
    <s v="Carries forward"/>
  </r>
  <r>
    <d v="2022-11-19T00:00:00"/>
    <x v="2"/>
    <x v="0"/>
    <n v="32"/>
    <m/>
    <n v="269"/>
    <m/>
    <s v="2022-11"/>
    <s v="Carries forward"/>
  </r>
  <r>
    <d v="2022-11-20T00:00:00"/>
    <x v="2"/>
    <x v="0"/>
    <n v="32"/>
    <m/>
    <n v="269"/>
    <m/>
    <s v="2022-11"/>
    <s v="Carries forward"/>
  </r>
  <r>
    <d v="2022-11-20T00:00:00"/>
    <x v="2"/>
    <x v="0"/>
    <n v="37"/>
    <m/>
    <n v="269"/>
    <m/>
    <s v="2022-11"/>
    <s v="Carries forward"/>
  </r>
  <r>
    <d v="2022-11-21T00:00:00"/>
    <x v="2"/>
    <x v="0"/>
    <n v="21"/>
    <m/>
    <n v="269"/>
    <m/>
    <s v="2022-11"/>
    <s v="Carries forward"/>
  </r>
  <r>
    <d v="2022-11-21T00:00:00"/>
    <x v="2"/>
    <x v="0"/>
    <n v="161"/>
    <m/>
    <n v="269"/>
    <m/>
    <s v="2022-11"/>
    <s v="Carries forward"/>
  </r>
  <r>
    <d v="2022-11-23T00:00:00"/>
    <x v="2"/>
    <x v="0"/>
    <n v="172"/>
    <m/>
    <n v="269"/>
    <m/>
    <s v="2022-11"/>
    <s v="Carries forward"/>
  </r>
  <r>
    <d v="2022-11-24T00:00:00"/>
    <x v="2"/>
    <x v="0"/>
    <n v="42"/>
    <m/>
    <n v="269"/>
    <m/>
    <s v="2022-11"/>
    <s v="Carries forward"/>
  </r>
  <r>
    <d v="2022-11-25T00:00:00"/>
    <x v="2"/>
    <x v="0"/>
    <n v="37"/>
    <m/>
    <n v="269"/>
    <m/>
    <s v="2022-11"/>
    <s v="Carries forward"/>
  </r>
  <r>
    <d v="2022-11-25T00:00:00"/>
    <x v="2"/>
    <x v="0"/>
    <n v="29"/>
    <m/>
    <n v="269"/>
    <m/>
    <s v="2022-11"/>
    <s v="Carries forward"/>
  </r>
  <r>
    <d v="2022-11-26T00:00:00"/>
    <x v="2"/>
    <x v="0"/>
    <n v="18"/>
    <m/>
    <n v="269"/>
    <m/>
    <s v="2022-11"/>
    <s v="Carries forward"/>
  </r>
  <r>
    <d v="2022-11-26T00:00:00"/>
    <x v="2"/>
    <x v="0"/>
    <n v="27"/>
    <m/>
    <n v="269"/>
    <m/>
    <s v="2022-11"/>
    <s v="Carries forward"/>
  </r>
  <r>
    <d v="2022-11-27T00:00:00"/>
    <x v="2"/>
    <x v="0"/>
    <n v="29"/>
    <m/>
    <n v="269"/>
    <m/>
    <s v="2022-11"/>
    <s v="Carries forward"/>
  </r>
  <r>
    <d v="2022-11-28T00:00:00"/>
    <x v="2"/>
    <x v="0"/>
    <n v="35"/>
    <m/>
    <n v="269"/>
    <m/>
    <s v="2022-11"/>
    <s v="Carries forward"/>
  </r>
  <r>
    <d v="2022-11-28T00:00:00"/>
    <x v="2"/>
    <x v="0"/>
    <n v="32"/>
    <m/>
    <n v="269"/>
    <m/>
    <s v="2022-11"/>
    <s v="Carries forward"/>
  </r>
  <r>
    <d v="2022-11-29T00:00:00"/>
    <x v="2"/>
    <x v="0"/>
    <n v="37"/>
    <m/>
    <n v="269"/>
    <m/>
    <s v="2022-11"/>
    <s v="Carries forward"/>
  </r>
  <r>
    <d v="2022-11-29T00:00:00"/>
    <x v="2"/>
    <x v="0"/>
    <n v="32"/>
    <m/>
    <n v="269"/>
    <m/>
    <s v="2022-11"/>
    <s v="Carries forward"/>
  </r>
  <r>
    <d v="2022-11-30T00:00:00"/>
    <x v="2"/>
    <x v="0"/>
    <n v="34"/>
    <m/>
    <n v="269"/>
    <m/>
    <s v="2022-11"/>
    <s v="Carries forward"/>
  </r>
  <r>
    <d v="2022-11-30T00:00:00"/>
    <x v="2"/>
    <x v="0"/>
    <n v="34"/>
    <m/>
    <n v="269"/>
    <m/>
    <s v="2022-11"/>
    <s v="Carries forward"/>
  </r>
  <r>
    <d v="2022-12-01T00:00:00"/>
    <x v="2"/>
    <x v="0"/>
    <n v="35"/>
    <m/>
    <n v="269"/>
    <m/>
    <s v="2022-12"/>
    <s v="Carries forward"/>
  </r>
  <r>
    <d v="2022-12-01T00:00:00"/>
    <x v="2"/>
    <x v="0"/>
    <n v="29"/>
    <m/>
    <n v="269"/>
    <m/>
    <s v="2022-12"/>
    <s v="Carries forward"/>
  </r>
  <r>
    <d v="2022-12-02T00:00:00"/>
    <x v="2"/>
    <x v="0"/>
    <n v="21"/>
    <m/>
    <n v="269"/>
    <m/>
    <s v="2022-12"/>
    <s v="Carries forward"/>
  </r>
  <r>
    <d v="2022-12-02T00:00:00"/>
    <x v="2"/>
    <x v="0"/>
    <n v="16"/>
    <m/>
    <n v="269"/>
    <m/>
    <s v="2022-12"/>
    <s v="Carries forward"/>
  </r>
  <r>
    <d v="2022-12-02T00:00:00"/>
    <x v="2"/>
    <x v="0"/>
    <n v="41"/>
    <m/>
    <n v="269"/>
    <m/>
    <s v="2022-12"/>
    <s v="Carries forward"/>
  </r>
  <r>
    <d v="2022-12-03T00:00:00"/>
    <x v="2"/>
    <x v="0"/>
    <n v="17"/>
    <m/>
    <n v="269"/>
    <m/>
    <s v="2022-12"/>
    <s v="Carries forward"/>
  </r>
  <r>
    <d v="2022-12-03T00:00:00"/>
    <x v="2"/>
    <x v="2"/>
    <n v="2"/>
    <n v="4904"/>
    <n v="269"/>
    <s v="Book Tot 4904 is 2 more than the lines"/>
    <s v="2022-12"/>
    <s v="Carries forward"/>
  </r>
  <r>
    <d v="2022-12-07T00:00:00"/>
    <x v="2"/>
    <x v="0"/>
    <n v="32"/>
    <m/>
    <n v="269"/>
    <m/>
    <s v="2022-12"/>
    <s v="Carries forward"/>
  </r>
  <r>
    <d v="2022-12-07T00:00:00"/>
    <x v="2"/>
    <x v="0"/>
    <n v="34"/>
    <m/>
    <n v="269"/>
    <m/>
    <s v="2022-12"/>
    <s v="Carries forward"/>
  </r>
  <r>
    <d v="2022-12-08T00:00:00"/>
    <x v="2"/>
    <x v="0"/>
    <n v="37"/>
    <m/>
    <n v="269"/>
    <m/>
    <s v="2022-12"/>
    <s v="Carries forward"/>
  </r>
  <r>
    <d v="2022-12-08T00:00:00"/>
    <x v="2"/>
    <x v="0"/>
    <n v="37"/>
    <m/>
    <n v="269"/>
    <m/>
    <s v="2022-12"/>
    <s v="Carries forward"/>
  </r>
  <r>
    <d v="2022-12-09T00:00:00"/>
    <x v="2"/>
    <x v="0"/>
    <n v="34"/>
    <m/>
    <n v="269"/>
    <m/>
    <s v="2022-12"/>
    <s v="Carries forward"/>
  </r>
  <r>
    <d v="2022-12-10T00:00:00"/>
    <x v="2"/>
    <x v="0"/>
    <n v="5"/>
    <n v="5083"/>
    <n v="269"/>
    <s v="Book: Tot 5083"/>
    <s v="2022-12"/>
    <s v="Carries forward"/>
  </r>
  <r>
    <d v="2022-12-10T00:00:00"/>
    <x v="2"/>
    <x v="0"/>
    <n v="34"/>
    <n v="5117"/>
    <n v="269"/>
    <s v="Book: Tot 5117"/>
    <s v="2022-12"/>
    <s v="Carries forward"/>
  </r>
  <r>
    <d v="2022-12-11T00:00:00"/>
    <x v="2"/>
    <x v="1"/>
    <n v="3000"/>
    <n v="2117"/>
    <n v="269"/>
    <s v="Book: paid 3000 (date looks like 11/12), BAKI 2117"/>
    <s v="2022-12"/>
    <s v="Carries forward"/>
  </r>
  <r>
    <d v="2022-12-12T00:00:00"/>
    <x v="2"/>
    <x v="0"/>
    <n v="16"/>
    <n v="2133"/>
    <n v="269"/>
    <s v="Book: Tot 2133"/>
    <s v="2022-12"/>
    <s v="Carries forward"/>
  </r>
  <r>
    <m/>
    <x v="2"/>
    <x v="1"/>
    <n v="2000"/>
    <n v="133"/>
    <n v="269"/>
    <s v="Book: paid 2000 (date not clear), BAKI 133"/>
    <s v=""/>
    <s v="Carries forward"/>
  </r>
  <r>
    <d v="2022-09-26T00:00:00"/>
    <x v="3"/>
    <x v="3"/>
    <n v="320"/>
    <n v="320"/>
    <n v="270"/>
    <s v="Opening Tot 320"/>
    <s v="2022-09"/>
    <s v="Carries forward"/>
  </r>
  <r>
    <d v="2022-09-26T00:00:00"/>
    <x v="3"/>
    <x v="0"/>
    <n v="329"/>
    <m/>
    <n v="270"/>
    <m/>
    <s v="2022-09"/>
    <s v="Carries forward"/>
  </r>
  <r>
    <d v="2022-09-27T00:00:00"/>
    <x v="3"/>
    <x v="0"/>
    <n v="253"/>
    <m/>
    <n v="270"/>
    <m/>
    <s v="2022-09"/>
    <s v="Carries forward"/>
  </r>
  <r>
    <d v="2022-09-28T00:00:00"/>
    <x v="3"/>
    <x v="0"/>
    <n v="147"/>
    <m/>
    <n v="270"/>
    <m/>
    <s v="2022-09"/>
    <s v="Carries forward"/>
  </r>
  <r>
    <d v="2022-09-29T00:00:00"/>
    <x v="3"/>
    <x v="0"/>
    <n v="122"/>
    <m/>
    <n v="270"/>
    <m/>
    <s v="2022-09"/>
    <s v="Carries forward"/>
  </r>
  <r>
    <d v="2022-09-30T00:00:00"/>
    <x v="3"/>
    <x v="0"/>
    <n v="96"/>
    <m/>
    <n v="270"/>
    <m/>
    <s v="2022-09"/>
    <s v="Carries forward"/>
  </r>
  <r>
    <d v="2022-09-30T00:00:00"/>
    <x v="3"/>
    <x v="0"/>
    <n v="23"/>
    <m/>
    <n v="270"/>
    <s v="Date unclear (written like 4/9)"/>
    <s v="2022-09"/>
    <s v="Carries forward"/>
  </r>
  <r>
    <d v="2022-09-30T00:00:00"/>
    <x v="3"/>
    <x v="0"/>
    <n v="429"/>
    <m/>
    <n v="270"/>
    <s v="Date unclear (written like 5/9)"/>
    <s v="2022-09"/>
    <s v="Carries forward"/>
  </r>
  <r>
    <d v="2022-09-30T00:00:00"/>
    <x v="3"/>
    <x v="0"/>
    <n v="82"/>
    <m/>
    <n v="270"/>
    <s v="Date not written"/>
    <s v="2022-09"/>
    <s v="Carries forward"/>
  </r>
  <r>
    <d v="2022-09-30T00:00:00"/>
    <x v="3"/>
    <x v="2"/>
    <n v="35"/>
    <n v="1836"/>
    <n v="270"/>
    <s v="Tot 1836, my lines 1801 (35 less) - treated as not written"/>
    <s v="2022-09"/>
    <s v="Carries forward"/>
  </r>
  <r>
    <m/>
    <x v="3"/>
    <x v="1"/>
    <n v="1000"/>
    <n v="836"/>
    <n v="270"/>
    <s v="Book: paid 1000 (date not clear), BAK 836"/>
    <s v=""/>
    <s v="Carries forward"/>
  </r>
  <r>
    <d v="2022-10-01T00:00:00"/>
    <x v="3"/>
    <x v="0"/>
    <n v="370"/>
    <m/>
    <n v="270"/>
    <m/>
    <s v="2022-10"/>
    <s v="Carries forward"/>
  </r>
  <r>
    <d v="2022-10-06T00:00:00"/>
    <x v="3"/>
    <x v="0"/>
    <n v="23"/>
    <m/>
    <n v="270"/>
    <m/>
    <s v="2022-10"/>
    <s v="Carries forward"/>
  </r>
  <r>
    <d v="2022-10-06T00:00:00"/>
    <x v="3"/>
    <x v="0"/>
    <n v="98"/>
    <m/>
    <n v="270"/>
    <m/>
    <s v="2022-10"/>
    <s v="Carries forward"/>
  </r>
  <r>
    <d v="2022-10-07T00:00:00"/>
    <x v="3"/>
    <x v="0"/>
    <n v="30"/>
    <m/>
    <n v="270"/>
    <m/>
    <s v="2022-10"/>
    <s v="Carries forward"/>
  </r>
  <r>
    <d v="2022-10-08T00:00:00"/>
    <x v="3"/>
    <x v="0"/>
    <n v="65"/>
    <m/>
    <n v="270"/>
    <m/>
    <s v="2022-10"/>
    <s v="Carries forward"/>
  </r>
  <r>
    <d v="2022-10-09T00:00:00"/>
    <x v="3"/>
    <x v="0"/>
    <n v="48"/>
    <m/>
    <n v="270"/>
    <m/>
    <s v="2022-10"/>
    <s v="Carries forward"/>
  </r>
  <r>
    <d v="2022-10-10T00:00:00"/>
    <x v="3"/>
    <x v="0"/>
    <n v="92"/>
    <m/>
    <n v="270"/>
    <m/>
    <s v="2022-10"/>
    <s v="Carries forward"/>
  </r>
  <r>
    <d v="2022-10-11T00:00:00"/>
    <x v="3"/>
    <x v="0"/>
    <n v="85"/>
    <m/>
    <n v="270"/>
    <s v="85 makes Tot 2013 match"/>
    <s v="2022-10"/>
    <s v="Carries forward"/>
  </r>
  <r>
    <d v="2022-10-11T00:00:00"/>
    <x v="3"/>
    <x v="0"/>
    <n v="23"/>
    <m/>
    <n v="270"/>
    <m/>
    <s v="2022-10"/>
    <s v="Carries forward"/>
  </r>
  <r>
    <d v="2022-10-12T00:00:00"/>
    <x v="3"/>
    <x v="0"/>
    <n v="65"/>
    <m/>
    <n v="270"/>
    <m/>
    <s v="2022-10"/>
    <s v="Carries forward"/>
  </r>
  <r>
    <d v="2022-10-14T00:00:00"/>
    <x v="3"/>
    <x v="0"/>
    <n v="23"/>
    <m/>
    <n v="270"/>
    <m/>
    <s v="2022-10"/>
    <s v="Carries forward"/>
  </r>
  <r>
    <d v="2022-10-15T00:00:00"/>
    <x v="3"/>
    <x v="0"/>
    <n v="255"/>
    <n v="2013"/>
    <n v="270"/>
    <s v="Book: Tot 2013"/>
    <s v="2022-10"/>
    <s v="Carries forward"/>
  </r>
  <r>
    <d v="2022-10-17T00:00:00"/>
    <x v="3"/>
    <x v="0"/>
    <n v="46"/>
    <m/>
    <n v="270"/>
    <m/>
    <s v="2022-10"/>
    <s v="Carries forward"/>
  </r>
  <r>
    <d v="2022-10-18T00:00:00"/>
    <x v="3"/>
    <x v="0"/>
    <n v="33"/>
    <m/>
    <n v="270"/>
    <m/>
    <s v="2022-10"/>
    <s v="Carries forward"/>
  </r>
  <r>
    <d v="2022-10-19T00:00:00"/>
    <x v="3"/>
    <x v="0"/>
    <n v="73"/>
    <m/>
    <n v="270"/>
    <m/>
    <s v="2022-10"/>
    <s v="Carries forward"/>
  </r>
  <r>
    <d v="2022-10-20T00:00:00"/>
    <x v="3"/>
    <x v="0"/>
    <n v="68"/>
    <n v="2233"/>
    <n v="270"/>
    <s v="Book: Tot 2233"/>
    <s v="2022-10"/>
    <s v="Carries forward"/>
  </r>
  <r>
    <d v="2022-10-22T00:00:00"/>
    <x v="3"/>
    <x v="0"/>
    <n v="108"/>
    <n v="2341"/>
    <n v="270"/>
    <s v="Book: Tot 2341"/>
    <s v="2022-10"/>
    <s v="Carries forward"/>
  </r>
  <r>
    <d v="2022-10-22T00:00:00"/>
    <x v="3"/>
    <x v="1"/>
    <n v="1000"/>
    <n v="1341"/>
    <n v="270"/>
    <s v="Book: paid 1000 (date looks like 22/10)"/>
    <s v="2022-10"/>
    <s v="Carries forward"/>
  </r>
  <r>
    <d v="2022-10-22T00:00:00"/>
    <x v="3"/>
    <x v="0"/>
    <n v="56"/>
    <m/>
    <n v="270"/>
    <m/>
    <s v="2022-10"/>
    <s v="Carries forward"/>
  </r>
  <r>
    <d v="2022-10-24T00:00:00"/>
    <x v="3"/>
    <x v="0"/>
    <n v="420"/>
    <m/>
    <n v="270"/>
    <m/>
    <s v="2022-10"/>
    <s v="Carries forward"/>
  </r>
  <r>
    <d v="2022-10-27T00:00:00"/>
    <x v="3"/>
    <x v="0"/>
    <n v="266"/>
    <m/>
    <n v="270"/>
    <m/>
    <s v="2022-10"/>
    <s v="Carries forward"/>
  </r>
  <r>
    <d v="2022-10-28T00:00:00"/>
    <x v="3"/>
    <x v="0"/>
    <n v="140"/>
    <m/>
    <n v="270"/>
    <m/>
    <s v="2022-10"/>
    <s v="Carries forward"/>
  </r>
  <r>
    <d v="2022-10-30T00:00:00"/>
    <x v="3"/>
    <x v="0"/>
    <n v="89"/>
    <m/>
    <n v="270"/>
    <m/>
    <s v="2022-10"/>
    <s v="Carries forward"/>
  </r>
  <r>
    <d v="2022-10-31T00:00:00"/>
    <x v="3"/>
    <x v="0"/>
    <n v="23"/>
    <m/>
    <n v="270"/>
    <m/>
    <s v="2022-10"/>
    <s v="Carries forward"/>
  </r>
  <r>
    <d v="2022-11-01T00:00:00"/>
    <x v="3"/>
    <x v="0"/>
    <n v="109"/>
    <m/>
    <n v="270"/>
    <m/>
    <s v="2022-11"/>
    <s v="Carries forward"/>
  </r>
  <r>
    <d v="2022-11-02T00:00:00"/>
    <x v="3"/>
    <x v="0"/>
    <n v="101"/>
    <m/>
    <n v="270"/>
    <m/>
    <s v="2022-11"/>
    <s v="Carries forward"/>
  </r>
  <r>
    <d v="2022-11-06T00:00:00"/>
    <x v="3"/>
    <x v="0"/>
    <n v="48"/>
    <m/>
    <n v="270"/>
    <m/>
    <s v="2022-11"/>
    <s v="Carries forward"/>
  </r>
  <r>
    <d v="2022-11-08T00:00:00"/>
    <x v="3"/>
    <x v="0"/>
    <n v="60"/>
    <m/>
    <n v="270"/>
    <m/>
    <s v="2022-11"/>
    <s v="Carries forward"/>
  </r>
  <r>
    <d v="2022-11-09T00:00:00"/>
    <x v="3"/>
    <x v="0"/>
    <n v="57"/>
    <m/>
    <n v="270"/>
    <m/>
    <s v="2022-11"/>
    <s v="Carries forward"/>
  </r>
  <r>
    <d v="2022-11-09T00:00:00"/>
    <x v="3"/>
    <x v="2"/>
    <n v="-12"/>
    <n v="2698"/>
    <n v="270"/>
    <s v="Tot 2698, my lines 2710 (12 more) - treated as not written"/>
    <s v="2022-11"/>
    <s v="Carries forward"/>
  </r>
  <r>
    <d v="2022-11-10T00:00:00"/>
    <x v="3"/>
    <x v="1"/>
    <n v="2000"/>
    <n v="698"/>
    <n v="270"/>
    <s v="Book: paid 2000 on 10/11, BAKI 698"/>
    <s v="2022-11"/>
    <s v="Carries forward"/>
  </r>
  <r>
    <d v="2022-11-10T00:00:00"/>
    <x v="3"/>
    <x v="0"/>
    <n v="72"/>
    <m/>
    <n v="270"/>
    <m/>
    <s v="2022-11"/>
    <s v="Carries forward"/>
  </r>
  <r>
    <d v="2022-11-11T00:00:00"/>
    <x v="3"/>
    <x v="0"/>
    <n v="137"/>
    <m/>
    <n v="270"/>
    <m/>
    <s v="2022-11"/>
    <s v="Carries forward"/>
  </r>
  <r>
    <d v="2022-11-12T00:00:00"/>
    <x v="3"/>
    <x v="0"/>
    <n v="154"/>
    <m/>
    <n v="270"/>
    <m/>
    <s v="2022-11"/>
    <s v="Carries forward"/>
  </r>
  <r>
    <d v="2022-11-12T00:00:00"/>
    <x v="3"/>
    <x v="0"/>
    <n v="60"/>
    <m/>
    <n v="270"/>
    <m/>
    <s v="2022-11"/>
    <s v="Carries forward"/>
  </r>
  <r>
    <d v="2022-11-13T00:00:00"/>
    <x v="3"/>
    <x v="0"/>
    <n v="23"/>
    <m/>
    <n v="270"/>
    <m/>
    <s v="2022-11"/>
    <s v="Carries forward"/>
  </r>
  <r>
    <d v="2022-11-13T00:00:00"/>
    <x v="3"/>
    <x v="0"/>
    <n v="537"/>
    <m/>
    <n v="270"/>
    <m/>
    <s v="2022-11"/>
    <s v="Carries forward"/>
  </r>
  <r>
    <d v="2022-11-14T00:00:00"/>
    <x v="3"/>
    <x v="0"/>
    <n v="28"/>
    <m/>
    <n v="270"/>
    <m/>
    <s v="2022-11"/>
    <s v="Carries forward"/>
  </r>
  <r>
    <d v="2022-11-16T00:00:00"/>
    <x v="3"/>
    <x v="0"/>
    <n v="32"/>
    <m/>
    <n v="270"/>
    <m/>
    <s v="2022-11"/>
    <s v="Carries forward"/>
  </r>
  <r>
    <d v="2022-11-17T00:00:00"/>
    <x v="3"/>
    <x v="0"/>
    <n v="242"/>
    <m/>
    <n v="270"/>
    <m/>
    <s v="2022-11"/>
    <s v="Carries forward"/>
  </r>
  <r>
    <d v="2022-11-19T00:00:00"/>
    <x v="3"/>
    <x v="0"/>
    <n v="118"/>
    <m/>
    <n v="270"/>
    <m/>
    <s v="2022-11"/>
    <s v="Carries forward"/>
  </r>
  <r>
    <d v="2022-11-21T00:00:00"/>
    <x v="3"/>
    <x v="0"/>
    <n v="301"/>
    <m/>
    <n v="270"/>
    <m/>
    <s v="2022-11"/>
    <s v="Carries forward"/>
  </r>
  <r>
    <d v="2022-11-23T00:00:00"/>
    <x v="3"/>
    <x v="0"/>
    <n v="951"/>
    <m/>
    <n v="270"/>
    <m/>
    <s v="2022-11"/>
    <s v="Carries forward"/>
  </r>
  <r>
    <d v="2022-11-24T00:00:00"/>
    <x v="3"/>
    <x v="0"/>
    <n v="186"/>
    <m/>
    <n v="270"/>
    <m/>
    <s v="2022-11"/>
    <s v="Carries forward"/>
  </r>
  <r>
    <d v="2022-11-25T00:00:00"/>
    <x v="3"/>
    <x v="0"/>
    <n v="82"/>
    <m/>
    <n v="270"/>
    <m/>
    <s v="2022-11"/>
    <s v="Carries forward"/>
  </r>
  <r>
    <d v="2022-11-25T00:00:00"/>
    <x v="3"/>
    <x v="0"/>
    <n v="185"/>
    <m/>
    <n v="270"/>
    <m/>
    <s v="2022-11"/>
    <s v="Carries forward"/>
  </r>
  <r>
    <d v="2022-11-26T00:00:00"/>
    <x v="3"/>
    <x v="0"/>
    <n v="49"/>
    <m/>
    <n v="270"/>
    <m/>
    <s v="2022-11"/>
    <s v="Carries forward"/>
  </r>
  <r>
    <d v="2022-11-27T00:00:00"/>
    <x v="3"/>
    <x v="0"/>
    <n v="90"/>
    <m/>
    <n v="270"/>
    <m/>
    <s v="2022-11"/>
    <s v="Carries forward"/>
  </r>
  <r>
    <d v="2022-11-29T00:00:00"/>
    <x v="3"/>
    <x v="0"/>
    <n v="128"/>
    <m/>
    <n v="270"/>
    <m/>
    <s v="2022-11"/>
    <s v="Carries forward"/>
  </r>
  <r>
    <d v="2022-11-30T00:00:00"/>
    <x v="3"/>
    <x v="0"/>
    <n v="250"/>
    <m/>
    <n v="270"/>
    <m/>
    <s v="2022-11"/>
    <s v="Carries forward"/>
  </r>
  <r>
    <d v="2022-12-01T00:00:00"/>
    <x v="3"/>
    <x v="0"/>
    <n v="45"/>
    <m/>
    <n v="270"/>
    <m/>
    <s v="2022-12"/>
    <s v="Carries forward"/>
  </r>
  <r>
    <d v="2022-12-02T00:00:00"/>
    <x v="3"/>
    <x v="0"/>
    <n v="36"/>
    <m/>
    <n v="270"/>
    <m/>
    <s v="2022-12"/>
    <s v="Carries forward"/>
  </r>
  <r>
    <d v="2022-12-03T00:00:00"/>
    <x v="3"/>
    <x v="0"/>
    <n v="52"/>
    <m/>
    <n v="270"/>
    <m/>
    <s v="2022-12"/>
    <s v="Carries forward"/>
  </r>
  <r>
    <d v="2022-12-05T00:00:00"/>
    <x v="3"/>
    <x v="0"/>
    <n v="173"/>
    <m/>
    <n v="270"/>
    <m/>
    <s v="2022-12"/>
    <s v="Carries forward"/>
  </r>
  <r>
    <d v="2022-12-06T00:00:00"/>
    <x v="3"/>
    <x v="0"/>
    <n v="168"/>
    <m/>
    <n v="270"/>
    <m/>
    <s v="2022-12"/>
    <s v="Carries forward"/>
  </r>
  <r>
    <d v="2022-12-07T00:00:00"/>
    <x v="3"/>
    <x v="0"/>
    <n v="60"/>
    <m/>
    <n v="270"/>
    <m/>
    <s v="2022-12"/>
    <s v="Carries forward"/>
  </r>
  <r>
    <d v="2022-12-08T00:00:00"/>
    <x v="3"/>
    <x v="0"/>
    <n v="1715"/>
    <m/>
    <n v="270"/>
    <s v="Checked: 1715"/>
    <s v="2022-12"/>
    <s v="Carries forward"/>
  </r>
  <r>
    <d v="2022-12-08T00:00:00"/>
    <x v="3"/>
    <x v="0"/>
    <n v="120"/>
    <m/>
    <n v="270"/>
    <m/>
    <s v="2022-12"/>
    <s v="Carries forward"/>
  </r>
  <r>
    <d v="2022-12-09T00:00:00"/>
    <x v="3"/>
    <x v="0"/>
    <n v="111"/>
    <m/>
    <n v="270"/>
    <m/>
    <s v="2022-12"/>
    <s v="Carries forward"/>
  </r>
  <r>
    <d v="2022-12-10T00:00:00"/>
    <x v="3"/>
    <x v="0"/>
    <n v="62"/>
    <m/>
    <n v="270"/>
    <m/>
    <s v="2022-12"/>
    <s v="Carries forward"/>
  </r>
  <r>
    <d v="2022-12-10T00:00:00"/>
    <x v="3"/>
    <x v="0"/>
    <n v="196"/>
    <m/>
    <n v="270"/>
    <m/>
    <s v="2022-12"/>
    <s v="Carries forward"/>
  </r>
  <r>
    <d v="2022-12-11T00:00:00"/>
    <x v="3"/>
    <x v="0"/>
    <n v="369"/>
    <m/>
    <n v="270"/>
    <m/>
    <s v="2022-12"/>
    <s v="Carries forward"/>
  </r>
  <r>
    <d v="2022-12-11T00:00:00"/>
    <x v="3"/>
    <x v="0"/>
    <n v="65"/>
    <m/>
    <n v="270"/>
    <m/>
    <s v="2022-12"/>
    <s v="Carries forward"/>
  </r>
  <r>
    <d v="2022-12-11T00:00:00"/>
    <x v="3"/>
    <x v="0"/>
    <n v="128"/>
    <m/>
    <n v="270"/>
    <m/>
    <s v="2022-12"/>
    <s v="Carries forward"/>
  </r>
  <r>
    <d v="2022-12-11T00:00:00"/>
    <x v="3"/>
    <x v="2"/>
    <n v="-54"/>
    <n v="7569"/>
    <n v="270"/>
    <s v="Tot 7569, my lines 7623 (54 more) - treated as not written"/>
    <s v="2022-12"/>
    <s v="Carries forward"/>
  </r>
  <r>
    <d v="2022-12-12T00:00:00"/>
    <x v="3"/>
    <x v="0"/>
    <n v="28"/>
    <m/>
    <n v="270"/>
    <m/>
    <s v="2022-12"/>
    <s v="Carries forward"/>
  </r>
  <r>
    <d v="2022-12-16T00:00:00"/>
    <x v="3"/>
    <x v="0"/>
    <n v="189"/>
    <m/>
    <n v="270"/>
    <m/>
    <s v="2022-12"/>
    <s v="Carries forward"/>
  </r>
  <r>
    <d v="2022-12-16T00:00:00"/>
    <x v="3"/>
    <x v="2"/>
    <n v="-13"/>
    <n v="7773"/>
    <n v="270"/>
    <s v="Tot 7773, my lines 7786 (13 more) - treated as not written"/>
    <s v="2022-12"/>
    <s v="Carries forward"/>
  </r>
  <r>
    <d v="2022-12-16T00:00:00"/>
    <x v="3"/>
    <x v="1"/>
    <n v="4000"/>
    <n v="3773"/>
    <n v="270"/>
    <s v="Book: paid 4000 (written like 4060), BAKI 3773"/>
    <s v="2022-12"/>
    <s v="Carries forward"/>
  </r>
  <r>
    <d v="2022-12-17T00:00:00"/>
    <x v="3"/>
    <x v="0"/>
    <n v="211"/>
    <m/>
    <n v="270"/>
    <m/>
    <s v="2022-12"/>
    <s v="Carries forward"/>
  </r>
  <r>
    <d v="2022-12-18T00:00:00"/>
    <x v="3"/>
    <x v="0"/>
    <n v="105"/>
    <m/>
    <n v="270"/>
    <m/>
    <s v="2022-12"/>
    <s v="Carries forward"/>
  </r>
  <r>
    <d v="2022-12-21T00:00:00"/>
    <x v="3"/>
    <x v="0"/>
    <n v="240"/>
    <m/>
    <n v="271"/>
    <m/>
    <s v="2022-12"/>
    <s v="Carries forward"/>
  </r>
  <r>
    <d v="2022-12-22T00:00:00"/>
    <x v="3"/>
    <x v="0"/>
    <n v="80"/>
    <m/>
    <n v="271"/>
    <m/>
    <s v="2022-12"/>
    <s v="Carries forward"/>
  </r>
  <r>
    <d v="2022-12-23T00:00:00"/>
    <x v="3"/>
    <x v="0"/>
    <n v="77"/>
    <m/>
    <n v="271"/>
    <m/>
    <s v="2022-12"/>
    <s v="Carries forward"/>
  </r>
  <r>
    <d v="2022-12-23T00:00:00"/>
    <x v="3"/>
    <x v="0"/>
    <n v="406"/>
    <m/>
    <n v="271"/>
    <m/>
    <s v="2022-12"/>
    <s v="Carries forward"/>
  </r>
  <r>
    <d v="2022-12-24T00:00:00"/>
    <x v="3"/>
    <x v="0"/>
    <n v="158"/>
    <m/>
    <n v="271"/>
    <m/>
    <s v="2022-12"/>
    <s v="Carries forward"/>
  </r>
  <r>
    <d v="2022-12-25T00:00:00"/>
    <x v="3"/>
    <x v="0"/>
    <n v="33"/>
    <m/>
    <n v="271"/>
    <m/>
    <s v="2022-12"/>
    <s v="Carries forward"/>
  </r>
  <r>
    <d v="2022-12-26T00:00:00"/>
    <x v="3"/>
    <x v="0"/>
    <n v="81"/>
    <m/>
    <n v="271"/>
    <m/>
    <s v="2022-12"/>
    <s v="Carries forward"/>
  </r>
  <r>
    <d v="2022-12-27T00:00:00"/>
    <x v="3"/>
    <x v="0"/>
    <n v="194"/>
    <m/>
    <n v="271"/>
    <m/>
    <s v="2022-12"/>
    <s v="Carries forward"/>
  </r>
  <r>
    <d v="2022-12-28T00:00:00"/>
    <x v="3"/>
    <x v="0"/>
    <n v="24"/>
    <m/>
    <n v="271"/>
    <m/>
    <s v="2022-12"/>
    <s v="Carries forward"/>
  </r>
  <r>
    <d v="2022-12-29T00:00:00"/>
    <x v="3"/>
    <x v="0"/>
    <n v="20"/>
    <m/>
    <n v="271"/>
    <m/>
    <s v="2022-12"/>
    <s v="Carries forward"/>
  </r>
  <r>
    <d v="2022-12-29T00:00:00"/>
    <x v="3"/>
    <x v="0"/>
    <n v="161"/>
    <m/>
    <n v="271"/>
    <m/>
    <s v="2022-12"/>
    <s v="Carries forward"/>
  </r>
  <r>
    <d v="2022-12-30T00:00:00"/>
    <x v="3"/>
    <x v="0"/>
    <n v="296"/>
    <m/>
    <n v="271"/>
    <m/>
    <s v="2022-12"/>
    <s v="Carries forward"/>
  </r>
  <r>
    <d v="2022-12-31T00:00:00"/>
    <x v="3"/>
    <x v="0"/>
    <n v="80"/>
    <m/>
    <n v="271"/>
    <m/>
    <s v="2022-12"/>
    <s v="Carries forward"/>
  </r>
  <r>
    <d v="2022-12-31T00:00:00"/>
    <x v="3"/>
    <x v="0"/>
    <n v="97"/>
    <m/>
    <n v="271"/>
    <m/>
    <s v="2022-12"/>
    <s v="Carries forward"/>
  </r>
  <r>
    <d v="2022-12-31T00:00:00"/>
    <x v="3"/>
    <x v="0"/>
    <n v="20"/>
    <m/>
    <n v="271"/>
    <m/>
    <s v="2022-12"/>
    <s v="Carries forward"/>
  </r>
  <r>
    <d v="2023-01-01T00:00:00"/>
    <x v="3"/>
    <x v="0"/>
    <n v="58"/>
    <m/>
    <n v="271"/>
    <m/>
    <s v="2023-01"/>
    <s v="Carries forward"/>
  </r>
  <r>
    <d v="2023-01-02T00:00:00"/>
    <x v="3"/>
    <x v="0"/>
    <n v="68"/>
    <m/>
    <n v="271"/>
    <m/>
    <s v="2023-01"/>
    <s v="Carries forward"/>
  </r>
  <r>
    <d v="2023-01-03T00:00:00"/>
    <x v="3"/>
    <x v="0"/>
    <n v="24"/>
    <m/>
    <n v="271"/>
    <m/>
    <s v="2023-01"/>
    <s v="Carries forward"/>
  </r>
  <r>
    <d v="2023-01-04T00:00:00"/>
    <x v="3"/>
    <x v="0"/>
    <n v="133"/>
    <m/>
    <n v="271"/>
    <m/>
    <s v="2023-01"/>
    <s v="Carries forward"/>
  </r>
  <r>
    <d v="2023-01-06T00:00:00"/>
    <x v="3"/>
    <x v="0"/>
    <n v="96"/>
    <m/>
    <n v="271"/>
    <m/>
    <s v="2023-01"/>
    <s v="Carries forward"/>
  </r>
  <r>
    <d v="2023-01-06T00:00:00"/>
    <x v="3"/>
    <x v="0"/>
    <n v="750"/>
    <m/>
    <n v="271"/>
    <m/>
    <s v="2023-01"/>
    <s v="Carries forward"/>
  </r>
  <r>
    <d v="2023-01-07T00:00:00"/>
    <x v="3"/>
    <x v="0"/>
    <n v="31"/>
    <m/>
    <n v="271"/>
    <m/>
    <s v="2023-01"/>
    <s v="Carries forward"/>
  </r>
  <r>
    <d v="2023-01-09T00:00:00"/>
    <x v="3"/>
    <x v="0"/>
    <n v="20"/>
    <m/>
    <n v="271"/>
    <s v="8/1 amount above is scribbled out, not counted"/>
    <s v="2023-01"/>
    <s v="Carries forward"/>
  </r>
  <r>
    <d v="2023-01-10T00:00:00"/>
    <x v="3"/>
    <x v="0"/>
    <n v="204"/>
    <m/>
    <n v="271"/>
    <m/>
    <s v="2023-01"/>
    <s v="Carries forward"/>
  </r>
  <r>
    <d v="2023-01-11T00:00:00"/>
    <x v="3"/>
    <x v="0"/>
    <n v="51"/>
    <m/>
    <n v="271"/>
    <m/>
    <s v="2023-01"/>
    <s v="Carries forward"/>
  </r>
  <r>
    <d v="2023-01-12T00:00:00"/>
    <x v="3"/>
    <x v="0"/>
    <n v="24"/>
    <m/>
    <n v="271"/>
    <m/>
    <s v="2023-01"/>
    <s v="Carries forward"/>
  </r>
  <r>
    <d v="2023-01-12T00:00:00"/>
    <x v="3"/>
    <x v="2"/>
    <n v="2"/>
    <n v="7201"/>
    <n v="271"/>
    <s v="Tot 7201 is 2 more than the lines (17/12 211 and 18/12 105 counted in the next total)"/>
    <s v="2023-01"/>
    <s v="Carries forward"/>
  </r>
  <r>
    <d v="2023-01-13T00:00:00"/>
    <x v="3"/>
    <x v="1"/>
    <n v="5000"/>
    <n v="2201"/>
    <n v="271"/>
    <s v="Book: paid 5000 on 13/1, BAKI 2201"/>
    <s v="2023-01"/>
    <s v="Carries forward"/>
  </r>
  <r>
    <d v="2023-01-13T00:00:00"/>
    <x v="3"/>
    <x v="0"/>
    <n v="21"/>
    <m/>
    <n v="271"/>
    <m/>
    <s v="2023-01"/>
    <s v="Carries forward"/>
  </r>
  <r>
    <d v="2023-01-16T00:00:00"/>
    <x v="3"/>
    <x v="0"/>
    <n v="105"/>
    <m/>
    <n v="271"/>
    <m/>
    <s v="2023-01"/>
    <s v="Carries forward"/>
  </r>
  <r>
    <d v="2023-01-16T00:00:00"/>
    <x v="3"/>
    <x v="0"/>
    <n v="524"/>
    <m/>
    <n v="271"/>
    <m/>
    <s v="2023-01"/>
    <s v="Carries forward"/>
  </r>
  <r>
    <d v="2023-01-17T00:00:00"/>
    <x v="3"/>
    <x v="0"/>
    <n v="10"/>
    <m/>
    <n v="271"/>
    <m/>
    <s v="2023-01"/>
    <s v="Carries forward"/>
  </r>
  <r>
    <d v="2023-01-18T00:00:00"/>
    <x v="3"/>
    <x v="0"/>
    <n v="108"/>
    <m/>
    <n v="271"/>
    <m/>
    <s v="2023-01"/>
    <s v="Carries forward"/>
  </r>
  <r>
    <d v="2023-01-18T00:00:00"/>
    <x v="3"/>
    <x v="0"/>
    <n v="153"/>
    <m/>
    <n v="271"/>
    <m/>
    <s v="2023-01"/>
    <s v="Carries forward"/>
  </r>
  <r>
    <d v="2023-01-19T00:00:00"/>
    <x v="3"/>
    <x v="0"/>
    <n v="40"/>
    <m/>
    <n v="271"/>
    <m/>
    <s v="2023-01"/>
    <s v="Carries forward"/>
  </r>
  <r>
    <d v="2023-01-20T00:00:00"/>
    <x v="3"/>
    <x v="0"/>
    <n v="421"/>
    <m/>
    <n v="271"/>
    <m/>
    <s v="2023-01"/>
    <s v="Carries forward"/>
  </r>
  <r>
    <d v="2023-01-21T00:00:00"/>
    <x v="3"/>
    <x v="0"/>
    <n v="64"/>
    <m/>
    <n v="271"/>
    <m/>
    <s v="2023-01"/>
    <s v="Carries forward"/>
  </r>
  <r>
    <d v="2023-01-22T00:00:00"/>
    <x v="3"/>
    <x v="0"/>
    <n v="290"/>
    <m/>
    <n v="271"/>
    <m/>
    <s v="2023-01"/>
    <s v="Carries forward"/>
  </r>
  <r>
    <d v="2023-01-22T00:00:00"/>
    <x v="3"/>
    <x v="0"/>
    <n v="10"/>
    <m/>
    <n v="271"/>
    <m/>
    <s v="2023-01"/>
    <s v="Carries forward"/>
  </r>
  <r>
    <d v="2023-01-22T00:00:00"/>
    <x v="3"/>
    <x v="0"/>
    <n v="21"/>
    <m/>
    <n v="271"/>
    <m/>
    <s v="2023-01"/>
    <s v="Carries forward"/>
  </r>
  <r>
    <d v="2023-01-22T00:00:00"/>
    <x v="3"/>
    <x v="0"/>
    <n v="120"/>
    <m/>
    <n v="271"/>
    <m/>
    <s v="2023-01"/>
    <s v="Carries forward"/>
  </r>
  <r>
    <d v="2023-01-25T00:00:00"/>
    <x v="3"/>
    <x v="0"/>
    <n v="21"/>
    <m/>
    <n v="271"/>
    <m/>
    <s v="2023-01"/>
    <s v="Carries forward"/>
  </r>
  <r>
    <d v="2023-01-25T00:00:00"/>
    <x v="3"/>
    <x v="0"/>
    <n v="148"/>
    <m/>
    <n v="271"/>
    <m/>
    <s v="2023-01"/>
    <s v="Carries forward"/>
  </r>
  <r>
    <d v="2023-01-25T00:00:00"/>
    <x v="3"/>
    <x v="0"/>
    <n v="77"/>
    <m/>
    <n v="271"/>
    <m/>
    <s v="2023-01"/>
    <s v="Carries forward"/>
  </r>
  <r>
    <d v="2023-01-26T00:00:00"/>
    <x v="3"/>
    <x v="0"/>
    <n v="142"/>
    <m/>
    <n v="271"/>
    <m/>
    <s v="2023-01"/>
    <s v="Carries forward"/>
  </r>
  <r>
    <d v="2023-01-27T00:00:00"/>
    <x v="3"/>
    <x v="0"/>
    <n v="36"/>
    <m/>
    <n v="271"/>
    <m/>
    <s v="2023-01"/>
    <s v="Carries forward"/>
  </r>
  <r>
    <d v="2023-01-28T00:00:00"/>
    <x v="3"/>
    <x v="0"/>
    <n v="235"/>
    <m/>
    <n v="271"/>
    <m/>
    <s v="2023-01"/>
    <s v="Carries forward"/>
  </r>
  <r>
    <d v="2023-01-29T00:00:00"/>
    <x v="3"/>
    <x v="0"/>
    <n v="36"/>
    <m/>
    <n v="271"/>
    <m/>
    <s v="2023-01"/>
    <s v="Carries forward"/>
  </r>
  <r>
    <d v="2023-01-30T00:00:00"/>
    <x v="3"/>
    <x v="0"/>
    <n v="54"/>
    <m/>
    <n v="271"/>
    <m/>
    <s v="2023-01"/>
    <s v="Carries forward"/>
  </r>
  <r>
    <d v="2023-01-30T00:00:00"/>
    <x v="3"/>
    <x v="0"/>
    <n v="1415"/>
    <m/>
    <n v="271"/>
    <m/>
    <s v="2023-01"/>
    <s v="Carries forward"/>
  </r>
  <r>
    <d v="2023-01-30T00:00:00"/>
    <x v="3"/>
    <x v="0"/>
    <n v="203"/>
    <m/>
    <n v="271"/>
    <m/>
    <s v="2023-01"/>
    <s v="Carries forward"/>
  </r>
  <r>
    <d v="2023-01-31T00:00:00"/>
    <x v="3"/>
    <x v="0"/>
    <n v="24"/>
    <m/>
    <n v="271"/>
    <m/>
    <s v="2023-01"/>
    <s v="Carries forward"/>
  </r>
  <r>
    <d v="2023-02-01T00:00:00"/>
    <x v="3"/>
    <x v="0"/>
    <n v="10"/>
    <m/>
    <n v="271"/>
    <m/>
    <s v="2023-02"/>
    <s v="Carries forward"/>
  </r>
  <r>
    <d v="2023-02-01T00:00:00"/>
    <x v="3"/>
    <x v="0"/>
    <n v="353"/>
    <m/>
    <n v="271"/>
    <m/>
    <s v="2023-02"/>
    <s v="Carries forward"/>
  </r>
  <r>
    <d v="2023-02-02T00:00:00"/>
    <x v="3"/>
    <x v="0"/>
    <n v="292"/>
    <m/>
    <n v="271"/>
    <s v="Overwritten digit; 292 makes Tot 8078 fit"/>
    <s v="2023-02"/>
    <s v="Carries forward"/>
  </r>
  <r>
    <d v="2023-02-03T00:00:00"/>
    <x v="3"/>
    <x v="0"/>
    <n v="68"/>
    <m/>
    <n v="271"/>
    <m/>
    <s v="2023-02"/>
    <s v="Carries forward"/>
  </r>
  <r>
    <d v="2023-02-04T00:00:00"/>
    <x v="3"/>
    <x v="0"/>
    <n v="25"/>
    <m/>
    <n v="271"/>
    <m/>
    <s v="2023-02"/>
    <s v="Carries forward"/>
  </r>
  <r>
    <d v="2023-02-04T00:00:00"/>
    <x v="3"/>
    <x v="0"/>
    <n v="67"/>
    <m/>
    <n v="271"/>
    <m/>
    <s v="2023-02"/>
    <s v="Carries forward"/>
  </r>
  <r>
    <d v="2023-02-05T00:00:00"/>
    <x v="3"/>
    <x v="0"/>
    <n v="10"/>
    <m/>
    <n v="271"/>
    <m/>
    <s v="2023-02"/>
    <s v="Carries forward"/>
  </r>
  <r>
    <d v="2023-02-05T00:00:00"/>
    <x v="3"/>
    <x v="0"/>
    <n v="49"/>
    <m/>
    <n v="271"/>
    <m/>
    <s v="2023-02"/>
    <s v="Carries forward"/>
  </r>
  <r>
    <d v="2023-02-06T00:00:00"/>
    <x v="3"/>
    <x v="0"/>
    <n v="49"/>
    <m/>
    <n v="271"/>
    <m/>
    <s v="2023-02"/>
    <s v="Carries forward"/>
  </r>
  <r>
    <d v="2023-02-07T00:00:00"/>
    <x v="3"/>
    <x v="0"/>
    <n v="326"/>
    <m/>
    <n v="271"/>
    <m/>
    <s v="2023-02"/>
    <s v="Carries forward"/>
  </r>
  <r>
    <d v="2023-02-07T00:00:00"/>
    <x v="3"/>
    <x v="0"/>
    <n v="24"/>
    <m/>
    <n v="271"/>
    <m/>
    <s v="2023-02"/>
    <s v="Carries forward"/>
  </r>
  <r>
    <d v="2023-02-08T00:00:00"/>
    <x v="3"/>
    <x v="0"/>
    <n v="130"/>
    <m/>
    <n v="271"/>
    <m/>
    <s v="2023-02"/>
    <s v="Carries forward"/>
  </r>
  <r>
    <d v="2023-02-09T00:00:00"/>
    <x v="3"/>
    <x v="0"/>
    <n v="25"/>
    <m/>
    <n v="271"/>
    <m/>
    <s v="2023-02"/>
    <s v="Carries forward"/>
  </r>
  <r>
    <d v="2023-02-09T00:00:00"/>
    <x v="3"/>
    <x v="0"/>
    <n v="49"/>
    <m/>
    <n v="271"/>
    <m/>
    <s v="2023-02"/>
    <s v="Carries forward"/>
  </r>
  <r>
    <d v="2023-02-10T00:00:00"/>
    <x v="3"/>
    <x v="0"/>
    <n v="99"/>
    <m/>
    <n v="271"/>
    <m/>
    <s v="2023-02"/>
    <s v="Carries forward"/>
  </r>
  <r>
    <d v="2023-02-10T00:00:00"/>
    <x v="3"/>
    <x v="0"/>
    <n v="20"/>
    <m/>
    <n v="271"/>
    <m/>
    <s v="2023-02"/>
    <s v="Carries forward"/>
  </r>
  <r>
    <d v="2023-02-10T00:00:00"/>
    <x v="3"/>
    <x v="2"/>
    <n v="-313"/>
    <n v="8078"/>
    <n v="271"/>
    <s v="Tot 8078 is 313 less than the lines incl. 17/12 211 + 18/12 105: not written"/>
    <s v="2023-02"/>
    <s v="Carries forward"/>
  </r>
  <r>
    <d v="2023-02-11T00:00:00"/>
    <x v="3"/>
    <x v="0"/>
    <n v="10"/>
    <m/>
    <n v="271"/>
    <m/>
    <s v="2023-02"/>
    <s v="Carries forward"/>
  </r>
  <r>
    <d v="2023-02-12T00:00:00"/>
    <x v="3"/>
    <x v="0"/>
    <n v="33"/>
    <m/>
    <n v="271"/>
    <m/>
    <s v="2023-02"/>
    <s v="Carries forward"/>
  </r>
  <r>
    <d v="2023-02-13T00:00:00"/>
    <x v="3"/>
    <x v="0"/>
    <n v="36"/>
    <m/>
    <n v="271"/>
    <m/>
    <s v="2023-02"/>
    <s v="Carries forward"/>
  </r>
  <r>
    <d v="2023-02-14T00:00:00"/>
    <x v="3"/>
    <x v="0"/>
    <n v="144"/>
    <n v="8301"/>
    <n v="271"/>
    <s v="Book: TL 8301"/>
    <s v="2023-02"/>
    <s v="Carries forward"/>
  </r>
  <r>
    <m/>
    <x v="3"/>
    <x v="1"/>
    <n v="5000"/>
    <n v="3301"/>
    <n v="271"/>
    <s v="Book: paid 5000 (date not clear), BAKI 3301"/>
    <s v=""/>
    <s v="Carries forward"/>
  </r>
  <r>
    <d v="2023-02-16T00:00:00"/>
    <x v="3"/>
    <x v="0"/>
    <n v="55"/>
    <m/>
    <n v="271"/>
    <m/>
    <s v="2023-02"/>
    <s v="Carries forward"/>
  </r>
  <r>
    <d v="2023-02-17T00:00:00"/>
    <x v="3"/>
    <x v="0"/>
    <n v="117"/>
    <m/>
    <n v="271"/>
    <m/>
    <s v="2023-02"/>
    <s v="Carries forward"/>
  </r>
  <r>
    <d v="2023-02-17T00:00:00"/>
    <x v="3"/>
    <x v="0"/>
    <n v="280"/>
    <m/>
    <n v="271"/>
    <m/>
    <s v="2023-02"/>
    <s v="Carries forward"/>
  </r>
  <r>
    <d v="2023-02-18T00:00:00"/>
    <x v="3"/>
    <x v="0"/>
    <n v="15"/>
    <m/>
    <n v="271"/>
    <m/>
    <s v="2023-02"/>
    <s v="Carries forward"/>
  </r>
  <r>
    <d v="2023-02-21T00:00:00"/>
    <x v="3"/>
    <x v="0"/>
    <n v="25"/>
    <m/>
    <n v="271"/>
    <m/>
    <s v="2023-02"/>
    <s v="Carries forward"/>
  </r>
  <r>
    <d v="2023-02-22T00:00:00"/>
    <x v="3"/>
    <x v="0"/>
    <n v="656"/>
    <m/>
    <n v="271"/>
    <s v="Read as 656: makes total 5213 exact"/>
    <s v="2023-02"/>
    <s v="Carries forward"/>
  </r>
  <r>
    <d v="2023-02-23T00:00:00"/>
    <x v="3"/>
    <x v="0"/>
    <n v="149"/>
    <m/>
    <n v="271"/>
    <m/>
    <s v="2023-02"/>
    <s v="Carries forward"/>
  </r>
  <r>
    <d v="2023-02-24T00:00:00"/>
    <x v="3"/>
    <x v="0"/>
    <n v="110"/>
    <m/>
    <n v="271"/>
    <m/>
    <s v="2023-02"/>
    <s v="Carries forward"/>
  </r>
  <r>
    <d v="2023-02-24T00:00:00"/>
    <x v="3"/>
    <x v="0"/>
    <n v="25"/>
    <m/>
    <n v="271"/>
    <m/>
    <s v="2023-02"/>
    <s v="Carries forward"/>
  </r>
  <r>
    <d v="2023-02-25T00:00:00"/>
    <x v="3"/>
    <x v="0"/>
    <n v="95"/>
    <m/>
    <n v="271"/>
    <m/>
    <s v="2023-02"/>
    <s v="Carries forward"/>
  </r>
  <r>
    <d v="2023-02-25T00:00:00"/>
    <x v="3"/>
    <x v="0"/>
    <n v="42"/>
    <m/>
    <n v="271"/>
    <m/>
    <s v="2023-02"/>
    <s v="Carries forward"/>
  </r>
  <r>
    <d v="2023-02-26T00:00:00"/>
    <x v="3"/>
    <x v="0"/>
    <n v="98"/>
    <m/>
    <n v="271"/>
    <m/>
    <s v="2023-02"/>
    <s v="Carries forward"/>
  </r>
  <r>
    <d v="2023-02-26T00:00:00"/>
    <x v="3"/>
    <x v="0"/>
    <n v="20"/>
    <m/>
    <n v="271"/>
    <m/>
    <s v="2023-02"/>
    <s v="Carries forward"/>
  </r>
  <r>
    <d v="2023-02-26T00:00:00"/>
    <x v="3"/>
    <x v="0"/>
    <n v="25"/>
    <m/>
    <n v="271"/>
    <s v="Date not written"/>
    <s v="2023-02"/>
    <s v="Carries forward"/>
  </r>
  <r>
    <d v="2023-02-28T00:00:00"/>
    <x v="3"/>
    <x v="0"/>
    <n v="200"/>
    <m/>
    <n v="271"/>
    <s v="Date written like 31"/>
    <s v="2023-02"/>
    <s v="Carries forward"/>
  </r>
  <r>
    <d v="2023-03-04T00:00:00"/>
    <x v="3"/>
    <x v="0"/>
    <n v="75"/>
    <m/>
    <n v="271"/>
    <s v="Top of page"/>
    <s v="2023-03"/>
    <s v="Carries forward"/>
  </r>
  <r>
    <d v="2023-03-04T00:00:00"/>
    <x v="3"/>
    <x v="0"/>
    <n v="10"/>
    <m/>
    <n v="271"/>
    <m/>
    <s v="2023-03"/>
    <s v="Carries forward"/>
  </r>
  <r>
    <d v="2023-03-05T00:00:00"/>
    <x v="3"/>
    <x v="0"/>
    <n v="56"/>
    <m/>
    <n v="271"/>
    <m/>
    <s v="2023-03"/>
    <s v="Carries forward"/>
  </r>
  <r>
    <d v="2023-03-06T00:00:00"/>
    <x v="3"/>
    <x v="0"/>
    <n v="56"/>
    <m/>
    <n v="271"/>
    <m/>
    <s v="2023-03"/>
    <s v="Carries forward"/>
  </r>
  <r>
    <d v="2023-03-07T00:00:00"/>
    <x v="3"/>
    <x v="0"/>
    <n v="195"/>
    <m/>
    <n v="271"/>
    <m/>
    <s v="2023-03"/>
    <s v="Carries forward"/>
  </r>
  <r>
    <d v="2023-03-08T00:00:00"/>
    <x v="3"/>
    <x v="0"/>
    <n v="70"/>
    <m/>
    <n v="271"/>
    <m/>
    <s v="2023-03"/>
    <s v="Carries forward"/>
  </r>
  <r>
    <d v="2023-03-09T00:00:00"/>
    <x v="3"/>
    <x v="0"/>
    <n v="120"/>
    <m/>
    <n v="271"/>
    <m/>
    <s v="2023-03"/>
    <s v="Carries forward"/>
  </r>
  <r>
    <d v="2023-03-11T00:00:00"/>
    <x v="3"/>
    <x v="0"/>
    <n v="89"/>
    <m/>
    <n v="271"/>
    <m/>
    <s v="2023-03"/>
    <s v="Carries forward"/>
  </r>
  <r>
    <d v="2023-03-12T00:00:00"/>
    <x v="3"/>
    <x v="0"/>
    <n v="74"/>
    <m/>
    <n v="271"/>
    <m/>
    <s v="2023-03"/>
    <s v="Carries forward"/>
  </r>
  <r>
    <d v="2023-03-12T00:00:00"/>
    <x v="3"/>
    <x v="2"/>
    <n v="100"/>
    <n v="6058"/>
    <n v="271"/>
    <s v="Book T 6058 is 100 more than the lines: not written"/>
    <s v="2023-03"/>
    <s v="Carries forward"/>
  </r>
  <r>
    <d v="2022-10-26T00:00:00"/>
    <x v="4"/>
    <x v="3"/>
    <n v="653"/>
    <n v="653"/>
    <n v="282"/>
    <s v="Opening Tot 653"/>
    <s v="2022-10"/>
    <s v="Carries forward"/>
  </r>
  <r>
    <d v="2022-10-26T00:00:00"/>
    <x v="4"/>
    <x v="0"/>
    <n v="25"/>
    <m/>
    <n v="282"/>
    <m/>
    <s v="2022-10"/>
    <s v="Carries forward"/>
  </r>
  <r>
    <d v="2022-10-27T00:00:00"/>
    <x v="4"/>
    <x v="0"/>
    <n v="25"/>
    <m/>
    <n v="282"/>
    <m/>
    <s v="2022-10"/>
    <s v="Carries forward"/>
  </r>
  <r>
    <d v="2022-10-28T00:00:00"/>
    <x v="4"/>
    <x v="0"/>
    <n v="10"/>
    <m/>
    <n v="282"/>
    <m/>
    <s v="2022-10"/>
    <s v="Carries forward"/>
  </r>
  <r>
    <d v="2022-10-28T00:00:00"/>
    <x v="4"/>
    <x v="0"/>
    <n v="25"/>
    <m/>
    <n v="282"/>
    <m/>
    <s v="2022-10"/>
    <s v="Carries forward"/>
  </r>
  <r>
    <d v="2022-10-28T00:00:00"/>
    <x v="4"/>
    <x v="0"/>
    <n v="15"/>
    <m/>
    <n v="282"/>
    <m/>
    <s v="2022-10"/>
    <s v="Carries forward"/>
  </r>
  <r>
    <d v="2022-10-29T00:00:00"/>
    <x v="4"/>
    <x v="0"/>
    <n v="25"/>
    <m/>
    <n v="282"/>
    <m/>
    <s v="2022-10"/>
    <s v="Carries forward"/>
  </r>
  <r>
    <d v="2022-10-29T00:00:00"/>
    <x v="4"/>
    <x v="0"/>
    <n v="70"/>
    <m/>
    <n v="282"/>
    <m/>
    <s v="2022-10"/>
    <s v="Carries forward"/>
  </r>
  <r>
    <d v="2022-10-31T00:00:00"/>
    <x v="4"/>
    <x v="0"/>
    <n v="10"/>
    <m/>
    <n v="282"/>
    <m/>
    <s v="2022-10"/>
    <s v="Carries forward"/>
  </r>
  <r>
    <d v="2022-10-31T00:00:00"/>
    <x v="4"/>
    <x v="0"/>
    <n v="35"/>
    <m/>
    <n v="282"/>
    <m/>
    <s v="2022-10"/>
    <s v="Carries forward"/>
  </r>
  <r>
    <d v="2022-11-01T00:00:00"/>
    <x v="4"/>
    <x v="0"/>
    <n v="30"/>
    <m/>
    <n v="282"/>
    <m/>
    <s v="2022-11"/>
    <s v="Carries forward"/>
  </r>
  <r>
    <d v="2022-11-01T00:00:00"/>
    <x v="4"/>
    <x v="0"/>
    <n v="15"/>
    <m/>
    <n v="282"/>
    <m/>
    <s v="2022-11"/>
    <s v="Carries forward"/>
  </r>
  <r>
    <d v="2022-11-02T00:00:00"/>
    <x v="4"/>
    <x v="0"/>
    <n v="10"/>
    <m/>
    <n v="282"/>
    <m/>
    <s v="2022-11"/>
    <s v="Carries forward"/>
  </r>
  <r>
    <d v="2022-11-03T00:00:00"/>
    <x v="4"/>
    <x v="0"/>
    <n v="35"/>
    <m/>
    <n v="282"/>
    <m/>
    <s v="2022-11"/>
    <s v="Carries forward"/>
  </r>
  <r>
    <d v="2022-11-07T00:00:00"/>
    <x v="4"/>
    <x v="0"/>
    <n v="25"/>
    <m/>
    <n v="282"/>
    <m/>
    <s v="2022-11"/>
    <s v="Carries forward"/>
  </r>
  <r>
    <d v="2022-11-07T00:00:00"/>
    <x v="4"/>
    <x v="0"/>
    <n v="30"/>
    <m/>
    <n v="282"/>
    <m/>
    <s v="2022-11"/>
    <s v="Carries forward"/>
  </r>
  <r>
    <d v="2022-11-08T00:00:00"/>
    <x v="4"/>
    <x v="0"/>
    <n v="25"/>
    <m/>
    <n v="282"/>
    <m/>
    <s v="2022-11"/>
    <s v="Carries forward"/>
  </r>
  <r>
    <d v="2022-11-09T00:00:00"/>
    <x v="4"/>
    <x v="0"/>
    <n v="10"/>
    <n v="1073"/>
    <n v="282"/>
    <s v="Book: Tot 1073"/>
    <s v="2022-11"/>
    <s v="Carries forward"/>
  </r>
  <r>
    <d v="2022-11-09T00:00:00"/>
    <x v="4"/>
    <x v="0"/>
    <n v="25"/>
    <m/>
    <n v="282"/>
    <m/>
    <s v="2022-11"/>
    <s v="Carries forward"/>
  </r>
  <r>
    <d v="2022-11-10T00:00:00"/>
    <x v="4"/>
    <x v="0"/>
    <n v="25"/>
    <m/>
    <n v="282"/>
    <m/>
    <s v="2022-11"/>
    <s v="Carries forward"/>
  </r>
  <r>
    <d v="2022-11-10T00:00:00"/>
    <x v="4"/>
    <x v="0"/>
    <n v="37"/>
    <n v="1160"/>
    <n v="282"/>
    <s v="Book: Tot 1160"/>
    <s v="2022-11"/>
    <s v="Carries forward"/>
  </r>
  <r>
    <d v="2022-11-10T00:00:00"/>
    <x v="4"/>
    <x v="1"/>
    <n v="800"/>
    <n v="360"/>
    <n v="282"/>
    <s v="Book: paid 800 on 10/11, BAK 360"/>
    <s v="2022-11"/>
    <s v="Carries forward"/>
  </r>
  <r>
    <d v="2022-11-11T00:00:00"/>
    <x v="4"/>
    <x v="0"/>
    <n v="10"/>
    <m/>
    <n v="282"/>
    <m/>
    <s v="2022-11"/>
    <s v="Carries forward"/>
  </r>
  <r>
    <d v="2022-11-11T00:00:00"/>
    <x v="4"/>
    <x v="0"/>
    <n v="27"/>
    <m/>
    <n v="282"/>
    <m/>
    <s v="2022-11"/>
    <s v="Carries forward"/>
  </r>
  <r>
    <d v="2022-11-12T00:00:00"/>
    <x v="4"/>
    <x v="0"/>
    <n v="30"/>
    <m/>
    <n v="282"/>
    <m/>
    <s v="2022-11"/>
    <s v="Carries forward"/>
  </r>
  <r>
    <d v="2022-11-12T00:00:00"/>
    <x v="4"/>
    <x v="0"/>
    <n v="30"/>
    <m/>
    <n v="282"/>
    <m/>
    <s v="2022-11"/>
    <s v="Carries forward"/>
  </r>
  <r>
    <d v="2022-11-14T00:00:00"/>
    <x v="4"/>
    <x v="0"/>
    <n v="35"/>
    <m/>
    <n v="282"/>
    <m/>
    <s v="2022-11"/>
    <s v="Carries forward"/>
  </r>
  <r>
    <d v="2022-11-14T00:00:00"/>
    <x v="4"/>
    <x v="0"/>
    <n v="25"/>
    <m/>
    <n v="282"/>
    <m/>
    <s v="2022-11"/>
    <s v="Carries forward"/>
  </r>
  <r>
    <d v="2022-11-15T00:00:00"/>
    <x v="4"/>
    <x v="0"/>
    <n v="15"/>
    <m/>
    <n v="282"/>
    <m/>
    <s v="2022-11"/>
    <s v="Carries forward"/>
  </r>
  <r>
    <d v="2022-11-15T00:00:00"/>
    <x v="4"/>
    <x v="0"/>
    <n v="30"/>
    <m/>
    <n v="282"/>
    <m/>
    <s v="2022-11"/>
    <s v="Carries forward"/>
  </r>
  <r>
    <d v="2022-11-16T00:00:00"/>
    <x v="4"/>
    <x v="0"/>
    <n v="35"/>
    <m/>
    <n v="282"/>
    <m/>
    <s v="2022-11"/>
    <s v="Carries forward"/>
  </r>
  <r>
    <d v="2022-11-17T00:00:00"/>
    <x v="4"/>
    <x v="0"/>
    <n v="20"/>
    <m/>
    <n v="282"/>
    <m/>
    <s v="2022-11"/>
    <s v="Carries forward"/>
  </r>
  <r>
    <d v="2022-11-19T00:00:00"/>
    <x v="4"/>
    <x v="0"/>
    <n v="40"/>
    <m/>
    <n v="282"/>
    <m/>
    <s v="2022-11"/>
    <s v="Carries forward"/>
  </r>
  <r>
    <d v="2022-11-21T00:00:00"/>
    <x v="4"/>
    <x v="0"/>
    <n v="35"/>
    <m/>
    <n v="282"/>
    <m/>
    <s v="2022-11"/>
    <s v="Carries forward"/>
  </r>
  <r>
    <d v="2022-11-21T00:00:00"/>
    <x v="4"/>
    <x v="0"/>
    <n v="20"/>
    <m/>
    <n v="282"/>
    <m/>
    <s v="2022-11"/>
    <s v="Carries forward"/>
  </r>
  <r>
    <d v="2022-11-22T00:00:00"/>
    <x v="4"/>
    <x v="0"/>
    <n v="35"/>
    <m/>
    <n v="282"/>
    <m/>
    <s v="2022-11"/>
    <s v="Carries forward"/>
  </r>
  <r>
    <d v="2022-11-22T00:00:00"/>
    <x v="4"/>
    <x v="0"/>
    <n v="30"/>
    <m/>
    <n v="282"/>
    <m/>
    <s v="2022-11"/>
    <s v="Carries forward"/>
  </r>
  <r>
    <d v="2022-11-23T00:00:00"/>
    <x v="4"/>
    <x v="0"/>
    <n v="45"/>
    <m/>
    <n v="282"/>
    <m/>
    <s v="2022-11"/>
    <s v="Carries forward"/>
  </r>
  <r>
    <d v="2022-11-25T00:00:00"/>
    <x v="4"/>
    <x v="0"/>
    <n v="40"/>
    <m/>
    <n v="282"/>
    <m/>
    <s v="2022-11"/>
    <s v="Carries forward"/>
  </r>
  <r>
    <d v="2022-11-28T00:00:00"/>
    <x v="4"/>
    <x v="0"/>
    <n v="30"/>
    <m/>
    <n v="282"/>
    <m/>
    <s v="2022-11"/>
    <s v="Carries forward"/>
  </r>
  <r>
    <d v="2022-11-28T00:00:00"/>
    <x v="4"/>
    <x v="2"/>
    <n v="30"/>
    <n v="922"/>
    <n v="282"/>
    <s v="Tot 922, my lines 892 (30 less) - treated as not written"/>
    <s v="2022-11"/>
    <s v="Carries forward"/>
  </r>
  <r>
    <d v="2022-11-29T00:00:00"/>
    <x v="4"/>
    <x v="0"/>
    <n v="40"/>
    <m/>
    <n v="282"/>
    <m/>
    <s v="2022-11"/>
    <s v="Carries forward"/>
  </r>
  <r>
    <d v="2022-11-30T00:00:00"/>
    <x v="4"/>
    <x v="0"/>
    <n v="25"/>
    <m/>
    <n v="282"/>
    <m/>
    <s v="2022-11"/>
    <s v="Carries forward"/>
  </r>
  <r>
    <d v="2022-11-30T00:00:00"/>
    <x v="4"/>
    <x v="0"/>
    <n v="37"/>
    <m/>
    <n v="282"/>
    <m/>
    <s v="2022-11"/>
    <s v="Carries forward"/>
  </r>
  <r>
    <d v="2022-11-30T00:00:00"/>
    <x v="4"/>
    <x v="0"/>
    <n v="39"/>
    <m/>
    <n v="282"/>
    <m/>
    <s v="2022-11"/>
    <s v="Carries forward"/>
  </r>
  <r>
    <d v="2022-12-01T00:00:00"/>
    <x v="4"/>
    <x v="0"/>
    <n v="10"/>
    <m/>
    <n v="282"/>
    <m/>
    <s v="2022-12"/>
    <s v="Carries forward"/>
  </r>
  <r>
    <d v="2022-12-01T00:00:00"/>
    <x v="4"/>
    <x v="0"/>
    <n v="25"/>
    <m/>
    <n v="282"/>
    <m/>
    <s v="2022-12"/>
    <s v="Carries forward"/>
  </r>
  <r>
    <d v="2022-12-02T00:00:00"/>
    <x v="4"/>
    <x v="0"/>
    <n v="10"/>
    <m/>
    <n v="282"/>
    <m/>
    <s v="2022-12"/>
    <s v="Carries forward"/>
  </r>
  <r>
    <d v="2022-12-02T00:00:00"/>
    <x v="4"/>
    <x v="0"/>
    <n v="30"/>
    <m/>
    <n v="282"/>
    <m/>
    <s v="2022-12"/>
    <s v="Carries forward"/>
  </r>
  <r>
    <d v="2022-12-03T00:00:00"/>
    <x v="4"/>
    <x v="0"/>
    <n v="10"/>
    <m/>
    <n v="282"/>
    <m/>
    <s v="2022-12"/>
    <s v="Carries forward"/>
  </r>
  <r>
    <d v="2022-12-03T00:00:00"/>
    <x v="4"/>
    <x v="0"/>
    <n v="30"/>
    <m/>
    <n v="282"/>
    <m/>
    <s v="2022-12"/>
    <s v="Carries forward"/>
  </r>
  <r>
    <d v="2022-12-05T00:00:00"/>
    <x v="4"/>
    <x v="0"/>
    <n v="25"/>
    <m/>
    <n v="282"/>
    <m/>
    <s v="2022-12"/>
    <s v="Carries forward"/>
  </r>
  <r>
    <d v="2022-12-06T00:00:00"/>
    <x v="4"/>
    <x v="0"/>
    <n v="10"/>
    <m/>
    <n v="282"/>
    <m/>
    <s v="2022-12"/>
    <s v="Carries forward"/>
  </r>
  <r>
    <d v="2022-12-06T00:00:00"/>
    <x v="4"/>
    <x v="0"/>
    <n v="15"/>
    <m/>
    <n v="282"/>
    <m/>
    <s v="2022-12"/>
    <s v="Carries forward"/>
  </r>
  <r>
    <d v="2022-12-06T00:00:00"/>
    <x v="4"/>
    <x v="2"/>
    <n v="-20"/>
    <n v="1208"/>
    <n v="282"/>
    <s v="Tot 1208, my lines 1228 (20 more) - treated as not written"/>
    <s v="2022-12"/>
    <s v="Carries forward"/>
  </r>
  <r>
    <d v="2022-12-06T00:00:00"/>
    <x v="4"/>
    <x v="0"/>
    <n v="20"/>
    <m/>
    <n v="282"/>
    <m/>
    <s v="2022-12"/>
    <s v="Carries forward"/>
  </r>
  <r>
    <d v="2022-12-26T00:00:00"/>
    <x v="4"/>
    <x v="0"/>
    <n v="10"/>
    <m/>
    <n v="282"/>
    <m/>
    <s v="2022-12"/>
    <s v="Carries forward"/>
  </r>
  <r>
    <d v="2022-12-27T00:00:00"/>
    <x v="4"/>
    <x v="0"/>
    <n v="15"/>
    <m/>
    <n v="282"/>
    <m/>
    <s v="2022-12"/>
    <s v="Carries forward"/>
  </r>
  <r>
    <d v="2022-12-28T00:00:00"/>
    <x v="4"/>
    <x v="0"/>
    <n v="25"/>
    <m/>
    <n v="282"/>
    <m/>
    <s v="2022-12"/>
    <s v="Carries forward"/>
  </r>
  <r>
    <d v="2022-12-29T00:00:00"/>
    <x v="4"/>
    <x v="0"/>
    <n v="30"/>
    <m/>
    <n v="282"/>
    <m/>
    <s v="2022-12"/>
    <s v="Carries forward"/>
  </r>
  <r>
    <d v="2022-12-29T00:00:00"/>
    <x v="4"/>
    <x v="0"/>
    <n v="20"/>
    <m/>
    <n v="282"/>
    <m/>
    <s v="2022-12"/>
    <s v="Carries forward"/>
  </r>
  <r>
    <d v="2022-12-30T00:00:00"/>
    <x v="4"/>
    <x v="0"/>
    <n v="30"/>
    <m/>
    <n v="282"/>
    <m/>
    <s v="2022-12"/>
    <s v="Carries forward"/>
  </r>
  <r>
    <d v="2022-12-30T00:00:00"/>
    <x v="4"/>
    <x v="0"/>
    <n v="27"/>
    <m/>
    <n v="282"/>
    <m/>
    <s v="2022-12"/>
    <s v="Carries forward"/>
  </r>
  <r>
    <d v="2022-12-31T00:00:00"/>
    <x v="4"/>
    <x v="0"/>
    <n v="15"/>
    <m/>
    <n v="282"/>
    <m/>
    <s v="2022-12"/>
    <s v="Carries forward"/>
  </r>
  <r>
    <d v="2022-12-31T00:00:00"/>
    <x v="4"/>
    <x v="0"/>
    <n v="30"/>
    <m/>
    <n v="282"/>
    <m/>
    <s v="2022-12"/>
    <s v="Carries forward"/>
  </r>
  <r>
    <d v="2023-01-01T00:00:00"/>
    <x v="4"/>
    <x v="0"/>
    <n v="35"/>
    <m/>
    <n v="282"/>
    <m/>
    <s v="2023-01"/>
    <s v="Carries forward"/>
  </r>
  <r>
    <d v="2023-01-01T00:00:00"/>
    <x v="4"/>
    <x v="0"/>
    <n v="15"/>
    <m/>
    <n v="282"/>
    <m/>
    <s v="2023-01"/>
    <s v="Carries forward"/>
  </r>
  <r>
    <d v="2023-01-02T00:00:00"/>
    <x v="4"/>
    <x v="0"/>
    <n v="35"/>
    <m/>
    <n v="282"/>
    <m/>
    <s v="2023-01"/>
    <s v="Carries forward"/>
  </r>
  <r>
    <d v="2023-01-03T00:00:00"/>
    <x v="4"/>
    <x v="0"/>
    <n v="10"/>
    <m/>
    <n v="282"/>
    <m/>
    <s v="2023-01"/>
    <s v="Carries forward"/>
  </r>
  <r>
    <d v="2023-01-05T00:00:00"/>
    <x v="4"/>
    <x v="0"/>
    <n v="27"/>
    <m/>
    <n v="282"/>
    <m/>
    <s v="2023-01"/>
    <s v="Carries forward"/>
  </r>
  <r>
    <d v="2023-01-05T00:00:00"/>
    <x v="4"/>
    <x v="0"/>
    <n v="15"/>
    <n v="1567"/>
    <n v="282"/>
    <s v="Book: Tot 1567"/>
    <s v="2023-01"/>
    <s v="Carries forward"/>
  </r>
  <r>
    <d v="2023-01-06T00:00:00"/>
    <x v="4"/>
    <x v="0"/>
    <n v="30"/>
    <m/>
    <n v="282"/>
    <m/>
    <s v="2023-01"/>
    <s v="Carries forward"/>
  </r>
  <r>
    <d v="2023-01-07T00:00:00"/>
    <x v="4"/>
    <x v="0"/>
    <n v="25"/>
    <m/>
    <n v="282"/>
    <m/>
    <s v="2023-01"/>
    <s v="Carries forward"/>
  </r>
  <r>
    <d v="2023-01-07T00:00:00"/>
    <x v="4"/>
    <x v="0"/>
    <n v="10"/>
    <m/>
    <n v="282"/>
    <m/>
    <s v="2023-01"/>
    <s v="Carries forward"/>
  </r>
  <r>
    <d v="2023-01-08T00:00:00"/>
    <x v="4"/>
    <x v="0"/>
    <n v="25"/>
    <m/>
    <n v="282"/>
    <m/>
    <s v="2023-01"/>
    <s v="Carries forward"/>
  </r>
  <r>
    <d v="2023-01-09T00:00:00"/>
    <x v="4"/>
    <x v="0"/>
    <n v="25"/>
    <m/>
    <n v="282"/>
    <m/>
    <s v="2023-01"/>
    <s v="Carries forward"/>
  </r>
  <r>
    <d v="2023-01-10T00:00:00"/>
    <x v="4"/>
    <x v="0"/>
    <n v="30"/>
    <m/>
    <n v="282"/>
    <m/>
    <s v="2023-01"/>
    <s v="Carries forward"/>
  </r>
  <r>
    <d v="2023-01-12T00:00:00"/>
    <x v="4"/>
    <x v="0"/>
    <n v="30"/>
    <n v="1742"/>
    <n v="282"/>
    <s v="Book: Tot 1742"/>
    <s v="2023-01"/>
    <s v="Carries forward"/>
  </r>
  <r>
    <d v="2023-01-12T00:00:00"/>
    <x v="4"/>
    <x v="1"/>
    <n v="500"/>
    <n v="1242"/>
    <n v="282"/>
    <s v="Book: paid 500, BAKI 1242"/>
    <s v="2023-01"/>
    <s v="Carries forward"/>
  </r>
  <r>
    <d v="2023-01-13T00:00:00"/>
    <x v="4"/>
    <x v="0"/>
    <n v="25"/>
    <m/>
    <n v="282"/>
    <m/>
    <s v="2023-01"/>
    <s v="Carries forward"/>
  </r>
  <r>
    <d v="2023-01-13T00:00:00"/>
    <x v="4"/>
    <x v="0"/>
    <n v="15"/>
    <m/>
    <n v="282"/>
    <m/>
    <s v="2023-01"/>
    <s v="Carries forward"/>
  </r>
  <r>
    <d v="2023-01-14T00:00:00"/>
    <x v="4"/>
    <x v="0"/>
    <n v="10"/>
    <m/>
    <n v="282"/>
    <m/>
    <s v="2023-01"/>
    <s v="Carries forward"/>
  </r>
  <r>
    <d v="2023-01-14T00:00:00"/>
    <x v="4"/>
    <x v="0"/>
    <n v="10"/>
    <m/>
    <n v="282"/>
    <m/>
    <s v="2023-01"/>
    <s v="Carries forward"/>
  </r>
  <r>
    <d v="2023-01-15T00:00:00"/>
    <x v="4"/>
    <x v="0"/>
    <n v="15"/>
    <m/>
    <n v="282"/>
    <m/>
    <s v="2023-01"/>
    <s v="Carries forward"/>
  </r>
  <r>
    <d v="2023-01-16T00:00:00"/>
    <x v="4"/>
    <x v="0"/>
    <n v="10"/>
    <m/>
    <n v="282"/>
    <m/>
    <s v="2023-01"/>
    <s v="Carries forward"/>
  </r>
  <r>
    <d v="2023-01-17T00:00:00"/>
    <x v="4"/>
    <x v="0"/>
    <n v="25"/>
    <m/>
    <n v="282"/>
    <m/>
    <s v="2023-01"/>
    <s v="Carries forward"/>
  </r>
  <r>
    <d v="2023-01-19T00:00:00"/>
    <x v="4"/>
    <x v="0"/>
    <n v="30"/>
    <m/>
    <n v="282"/>
    <m/>
    <s v="2023-01"/>
    <s v="Carries forward"/>
  </r>
  <r>
    <d v="2023-01-19T00:00:00"/>
    <x v="4"/>
    <x v="0"/>
    <n v="30"/>
    <m/>
    <n v="282"/>
    <m/>
    <s v="2023-01"/>
    <s v="Carries forward"/>
  </r>
  <r>
    <d v="2023-01-20T00:00:00"/>
    <x v="4"/>
    <x v="0"/>
    <n v="25"/>
    <m/>
    <n v="282"/>
    <m/>
    <s v="2023-01"/>
    <s v="Carries forward"/>
  </r>
  <r>
    <d v="2023-01-21T00:00:00"/>
    <x v="4"/>
    <x v="0"/>
    <n v="25"/>
    <m/>
    <n v="282"/>
    <m/>
    <s v="2023-01"/>
    <s v="Carries forward"/>
  </r>
  <r>
    <d v="2023-01-21T00:00:00"/>
    <x v="4"/>
    <x v="0"/>
    <n v="10"/>
    <m/>
    <n v="282"/>
    <m/>
    <s v="2023-01"/>
    <s v="Carries forward"/>
  </r>
  <r>
    <d v="2023-01-22T00:00:00"/>
    <x v="4"/>
    <x v="0"/>
    <n v="20"/>
    <m/>
    <n v="282"/>
    <m/>
    <s v="2023-01"/>
    <s v="Carries forward"/>
  </r>
  <r>
    <d v="2023-01-23T00:00:00"/>
    <x v="4"/>
    <x v="0"/>
    <n v="10"/>
    <m/>
    <n v="282"/>
    <m/>
    <s v="2023-01"/>
    <s v="Carries forward"/>
  </r>
  <r>
    <d v="2023-01-23T00:00:00"/>
    <x v="4"/>
    <x v="0"/>
    <n v="38"/>
    <m/>
    <n v="282"/>
    <m/>
    <s v="2023-01"/>
    <s v="Carries forward"/>
  </r>
  <r>
    <d v="2023-01-24T00:00:00"/>
    <x v="4"/>
    <x v="0"/>
    <n v="25"/>
    <m/>
    <n v="282"/>
    <m/>
    <s v="2023-01"/>
    <s v="Carries forward"/>
  </r>
  <r>
    <d v="2023-01-24T00:00:00"/>
    <x v="4"/>
    <x v="0"/>
    <n v="30"/>
    <m/>
    <n v="282"/>
    <m/>
    <s v="2023-01"/>
    <s v="Carries forward"/>
  </r>
  <r>
    <d v="2023-01-25T00:00:00"/>
    <x v="4"/>
    <x v="0"/>
    <n v="30"/>
    <m/>
    <n v="282"/>
    <m/>
    <s v="2023-01"/>
    <s v="Carries forward"/>
  </r>
  <r>
    <d v="2023-01-26T00:00:00"/>
    <x v="4"/>
    <x v="0"/>
    <n v="25"/>
    <m/>
    <n v="282"/>
    <m/>
    <s v="2023-01"/>
    <s v="Carries forward"/>
  </r>
  <r>
    <d v="2023-01-29T00:00:00"/>
    <x v="4"/>
    <x v="0"/>
    <n v="35"/>
    <m/>
    <n v="282"/>
    <m/>
    <s v="2023-01"/>
    <s v="Carries forward"/>
  </r>
  <r>
    <d v="2023-01-30T00:00:00"/>
    <x v="4"/>
    <x v="0"/>
    <n v="25"/>
    <m/>
    <n v="282"/>
    <m/>
    <s v="2023-01"/>
    <s v="Carries forward"/>
  </r>
  <r>
    <d v="2023-01-30T00:00:00"/>
    <x v="4"/>
    <x v="0"/>
    <n v="20"/>
    <m/>
    <n v="282"/>
    <m/>
    <s v="2023-01"/>
    <s v="Carries forward"/>
  </r>
  <r>
    <d v="2023-01-31T00:00:00"/>
    <x v="4"/>
    <x v="0"/>
    <n v="15"/>
    <m/>
    <n v="282"/>
    <m/>
    <s v="2023-01"/>
    <s v="Carries forward"/>
  </r>
  <r>
    <d v="2023-01-31T00:00:00"/>
    <x v="4"/>
    <x v="0"/>
    <n v="30"/>
    <m/>
    <n v="282"/>
    <m/>
    <s v="2023-01"/>
    <s v="Carries forward"/>
  </r>
  <r>
    <d v="2023-02-01T00:00:00"/>
    <x v="4"/>
    <x v="0"/>
    <n v="20"/>
    <m/>
    <n v="282"/>
    <m/>
    <s v="2023-02"/>
    <s v="Carries forward"/>
  </r>
  <r>
    <d v="2023-02-02T00:00:00"/>
    <x v="4"/>
    <x v="0"/>
    <n v="25"/>
    <m/>
    <n v="282"/>
    <m/>
    <s v="2023-02"/>
    <s v="Carries forward"/>
  </r>
  <r>
    <d v="2023-02-02T00:00:00"/>
    <x v="4"/>
    <x v="0"/>
    <n v="10"/>
    <m/>
    <n v="282"/>
    <m/>
    <s v="2023-02"/>
    <s v="Carries forward"/>
  </r>
  <r>
    <d v="2023-02-03T00:00:00"/>
    <x v="4"/>
    <x v="0"/>
    <n v="30"/>
    <m/>
    <n v="282"/>
    <m/>
    <s v="2023-02"/>
    <s v="Carries forward"/>
  </r>
  <r>
    <d v="2023-02-03T00:00:00"/>
    <x v="4"/>
    <x v="0"/>
    <n v="30"/>
    <m/>
    <n v="282"/>
    <m/>
    <s v="2023-02"/>
    <s v="Carries forward"/>
  </r>
  <r>
    <d v="2023-02-04T00:00:00"/>
    <x v="4"/>
    <x v="0"/>
    <n v="30"/>
    <m/>
    <n v="282"/>
    <m/>
    <s v="2023-02"/>
    <s v="Carries forward"/>
  </r>
  <r>
    <d v="2023-02-04T00:00:00"/>
    <x v="4"/>
    <x v="0"/>
    <n v="41"/>
    <m/>
    <n v="282"/>
    <m/>
    <s v="2023-02"/>
    <s v="Carries forward"/>
  </r>
  <r>
    <d v="2023-02-05T00:00:00"/>
    <x v="4"/>
    <x v="0"/>
    <n v="25"/>
    <m/>
    <n v="282"/>
    <m/>
    <s v="2023-02"/>
    <s v="Carries forward"/>
  </r>
  <r>
    <d v="2023-02-05T00:00:00"/>
    <x v="4"/>
    <x v="0"/>
    <n v="30"/>
    <m/>
    <n v="282"/>
    <m/>
    <s v="2023-02"/>
    <s v="Carries forward"/>
  </r>
  <r>
    <d v="2023-02-06T00:00:00"/>
    <x v="4"/>
    <x v="0"/>
    <n v="25"/>
    <m/>
    <n v="282"/>
    <m/>
    <s v="2023-02"/>
    <s v="Carries forward"/>
  </r>
  <r>
    <d v="2023-02-06T00:00:00"/>
    <x v="4"/>
    <x v="0"/>
    <n v="10"/>
    <m/>
    <n v="282"/>
    <m/>
    <s v="2023-02"/>
    <s v="Carries forward"/>
  </r>
  <r>
    <d v="2023-02-07T00:00:00"/>
    <x v="4"/>
    <x v="0"/>
    <n v="35"/>
    <m/>
    <n v="282"/>
    <m/>
    <s v="2023-02"/>
    <s v="Carries forward"/>
  </r>
  <r>
    <d v="2023-02-09T00:00:00"/>
    <x v="4"/>
    <x v="0"/>
    <n v="25"/>
    <m/>
    <n v="282"/>
    <m/>
    <s v="2023-02"/>
    <s v="Carries forward"/>
  </r>
  <r>
    <d v="2023-02-09T00:00:00"/>
    <x v="4"/>
    <x v="0"/>
    <n v="10"/>
    <m/>
    <n v="282"/>
    <m/>
    <s v="2023-02"/>
    <s v="Carries forward"/>
  </r>
  <r>
    <d v="2023-02-09T00:00:00"/>
    <x v="4"/>
    <x v="2"/>
    <n v="5"/>
    <n v="2126"/>
    <n v="282"/>
    <s v="Book Tot 2126 is 5 more than the lines"/>
    <s v="2023-02"/>
    <s v="Carries forward"/>
  </r>
  <r>
    <d v="2023-02-10T00:00:00"/>
    <x v="4"/>
    <x v="0"/>
    <n v="15"/>
    <m/>
    <n v="283"/>
    <m/>
    <s v="2023-02"/>
    <s v="Carries forward"/>
  </r>
  <r>
    <d v="2023-02-10T00:00:00"/>
    <x v="4"/>
    <x v="0"/>
    <n v="77"/>
    <m/>
    <n v="283"/>
    <m/>
    <s v="2023-02"/>
    <s v="Carries forward"/>
  </r>
  <r>
    <d v="2023-02-11T00:00:00"/>
    <x v="4"/>
    <x v="0"/>
    <n v="10"/>
    <m/>
    <n v="283"/>
    <m/>
    <s v="2023-02"/>
    <s v="Carries forward"/>
  </r>
  <r>
    <d v="2023-02-11T00:00:00"/>
    <x v="4"/>
    <x v="0"/>
    <n v="10"/>
    <m/>
    <n v="283"/>
    <m/>
    <s v="2023-02"/>
    <s v="Carries forward"/>
  </r>
  <r>
    <d v="2023-02-13T00:00:00"/>
    <x v="4"/>
    <x v="0"/>
    <n v="10"/>
    <m/>
    <n v="283"/>
    <m/>
    <s v="2023-02"/>
    <s v="Carries forward"/>
  </r>
  <r>
    <d v="2023-02-14T00:00:00"/>
    <x v="4"/>
    <x v="0"/>
    <n v="25"/>
    <m/>
    <n v="283"/>
    <m/>
    <s v="2023-02"/>
    <s v="Carries forward"/>
  </r>
  <r>
    <d v="2023-02-17T00:00:00"/>
    <x v="4"/>
    <x v="0"/>
    <n v="25"/>
    <n v="2298"/>
    <n v="283"/>
    <s v="Book: TG 2298"/>
    <s v="2023-02"/>
    <s v="Carries forward"/>
  </r>
  <r>
    <m/>
    <x v="4"/>
    <x v="1"/>
    <n v="900"/>
    <n v="1398"/>
    <n v="283"/>
    <s v="Book: paid 900 (date not clear), BAKI 1398"/>
    <s v=""/>
    <s v="Carries forward"/>
  </r>
  <r>
    <d v="2023-02-17T00:00:00"/>
    <x v="4"/>
    <x v="0"/>
    <n v="37"/>
    <m/>
    <n v="283"/>
    <m/>
    <s v="2023-02"/>
    <s v="Carries forward"/>
  </r>
  <r>
    <d v="2023-02-18T00:00:00"/>
    <x v="4"/>
    <x v="0"/>
    <n v="25"/>
    <m/>
    <n v="283"/>
    <m/>
    <s v="2023-02"/>
    <s v="Carries forward"/>
  </r>
  <r>
    <d v="2023-02-18T00:00:00"/>
    <x v="4"/>
    <x v="0"/>
    <n v="16"/>
    <m/>
    <n v="283"/>
    <m/>
    <s v="2023-02"/>
    <s v="Carries forward"/>
  </r>
  <r>
    <d v="2023-02-19T00:00:00"/>
    <x v="4"/>
    <x v="0"/>
    <n v="35"/>
    <m/>
    <n v="283"/>
    <m/>
    <s v="2023-02"/>
    <s v="Carries forward"/>
  </r>
  <r>
    <d v="2023-02-20T00:00:00"/>
    <x v="4"/>
    <x v="0"/>
    <n v="37"/>
    <m/>
    <n v="283"/>
    <m/>
    <s v="2023-02"/>
    <s v="Carries forward"/>
  </r>
  <r>
    <d v="2023-02-20T00:00:00"/>
    <x v="4"/>
    <x v="0"/>
    <n v="10"/>
    <m/>
    <n v="283"/>
    <m/>
    <s v="2023-02"/>
    <s v="Carries forward"/>
  </r>
  <r>
    <d v="2023-02-21T00:00:00"/>
    <x v="4"/>
    <x v="0"/>
    <n v="10"/>
    <m/>
    <n v="283"/>
    <m/>
    <s v="2023-02"/>
    <s v="Carries forward"/>
  </r>
  <r>
    <d v="2023-02-21T00:00:00"/>
    <x v="4"/>
    <x v="0"/>
    <n v="25"/>
    <m/>
    <n v="283"/>
    <m/>
    <s v="2023-02"/>
    <s v="Carries forward"/>
  </r>
  <r>
    <d v="2023-02-22T00:00:00"/>
    <x v="4"/>
    <x v="0"/>
    <n v="25"/>
    <m/>
    <n v="283"/>
    <m/>
    <s v="2023-02"/>
    <s v="Carries forward"/>
  </r>
  <r>
    <d v="2023-02-23T00:00:00"/>
    <x v="4"/>
    <x v="0"/>
    <n v="25"/>
    <m/>
    <n v="283"/>
    <m/>
    <s v="2023-02"/>
    <s v="Carries forward"/>
  </r>
  <r>
    <d v="2023-02-23T00:00:00"/>
    <x v="4"/>
    <x v="0"/>
    <n v="32"/>
    <m/>
    <n v="283"/>
    <m/>
    <s v="2023-02"/>
    <s v="Carries forward"/>
  </r>
  <r>
    <d v="2023-02-24T00:00:00"/>
    <x v="4"/>
    <x v="0"/>
    <n v="25"/>
    <m/>
    <n v="283"/>
    <m/>
    <s v="2023-02"/>
    <s v="Carries forward"/>
  </r>
  <r>
    <d v="2023-02-24T00:00:00"/>
    <x v="4"/>
    <x v="0"/>
    <n v="20"/>
    <m/>
    <n v="283"/>
    <m/>
    <s v="2023-02"/>
    <s v="Carries forward"/>
  </r>
  <r>
    <d v="2023-02-25T00:00:00"/>
    <x v="4"/>
    <x v="0"/>
    <n v="25"/>
    <m/>
    <n v="283"/>
    <m/>
    <s v="2023-02"/>
    <s v="Carries forward"/>
  </r>
  <r>
    <d v="2023-02-25T00:00:00"/>
    <x v="4"/>
    <x v="0"/>
    <n v="48"/>
    <m/>
    <n v="283"/>
    <m/>
    <s v="2023-02"/>
    <s v="Carries forward"/>
  </r>
  <r>
    <d v="2023-02-26T00:00:00"/>
    <x v="4"/>
    <x v="0"/>
    <n v="25"/>
    <m/>
    <n v="283"/>
    <m/>
    <s v="2023-02"/>
    <s v="Carries forward"/>
  </r>
  <r>
    <d v="2023-02-26T00:00:00"/>
    <x v="4"/>
    <x v="0"/>
    <n v="35"/>
    <m/>
    <n v="283"/>
    <m/>
    <s v="2023-02"/>
    <s v="Carries forward"/>
  </r>
  <r>
    <d v="2023-02-28T00:00:00"/>
    <x v="4"/>
    <x v="0"/>
    <n v="15"/>
    <m/>
    <n v="283"/>
    <m/>
    <s v="2023-02"/>
    <s v="Carries forward"/>
  </r>
  <r>
    <d v="2023-02-28T00:00:00"/>
    <x v="4"/>
    <x v="0"/>
    <n v="42"/>
    <m/>
    <n v="283"/>
    <s v="Date written like 29"/>
    <s v="2023-02"/>
    <s v="Carries forward"/>
  </r>
  <r>
    <d v="2023-03-01T00:00:00"/>
    <x v="4"/>
    <x v="0"/>
    <n v="30"/>
    <m/>
    <n v="283"/>
    <m/>
    <s v="2023-03"/>
    <s v="Carries forward"/>
  </r>
  <r>
    <d v="2023-03-02T00:00:00"/>
    <x v="4"/>
    <x v="0"/>
    <n v="30"/>
    <m/>
    <n v="283"/>
    <m/>
    <s v="2023-03"/>
    <s v="Carries forward"/>
  </r>
  <r>
    <d v="2023-03-02T00:00:00"/>
    <x v="4"/>
    <x v="0"/>
    <n v="30"/>
    <m/>
    <n v="283"/>
    <m/>
    <s v="2023-03"/>
    <s v="Carries forward"/>
  </r>
  <r>
    <d v="2023-03-02T00:00:00"/>
    <x v="4"/>
    <x v="0"/>
    <n v="30"/>
    <m/>
    <n v="283"/>
    <m/>
    <s v="2023-03"/>
    <s v="Carries forward"/>
  </r>
  <r>
    <d v="2023-03-03T00:00:00"/>
    <x v="4"/>
    <x v="0"/>
    <n v="20"/>
    <m/>
    <n v="283"/>
    <m/>
    <s v="2023-03"/>
    <s v="Carries forward"/>
  </r>
  <r>
    <d v="2023-03-04T00:00:00"/>
    <x v="4"/>
    <x v="0"/>
    <n v="25"/>
    <m/>
    <n v="283"/>
    <m/>
    <s v="2023-03"/>
    <s v="Carries forward"/>
  </r>
  <r>
    <d v="2023-03-05T00:00:00"/>
    <x v="4"/>
    <x v="0"/>
    <n v="25"/>
    <m/>
    <n v="283"/>
    <m/>
    <s v="2023-03"/>
    <s v="Carries forward"/>
  </r>
  <r>
    <d v="2023-03-06T00:00:00"/>
    <x v="4"/>
    <x v="0"/>
    <n v="25"/>
    <m/>
    <n v="283"/>
    <m/>
    <s v="2023-03"/>
    <s v="Carries forward"/>
  </r>
  <r>
    <d v="2023-03-06T00:00:00"/>
    <x v="4"/>
    <x v="0"/>
    <n v="15"/>
    <m/>
    <n v="283"/>
    <m/>
    <s v="2023-03"/>
    <s v="Carries forward"/>
  </r>
  <r>
    <d v="2023-03-07T00:00:00"/>
    <x v="4"/>
    <x v="0"/>
    <n v="10"/>
    <m/>
    <n v="283"/>
    <m/>
    <s v="2023-03"/>
    <s v="Carries forward"/>
  </r>
  <r>
    <d v="2023-03-08T00:00:00"/>
    <x v="4"/>
    <x v="0"/>
    <n v="25"/>
    <m/>
    <n v="283"/>
    <m/>
    <s v="2023-03"/>
    <s v="Carries forward"/>
  </r>
  <r>
    <d v="2023-03-09T00:00:00"/>
    <x v="4"/>
    <x v="0"/>
    <n v="25"/>
    <m/>
    <n v="283"/>
    <m/>
    <s v="2023-03"/>
    <s v="Carries forward"/>
  </r>
  <r>
    <d v="2023-03-09T00:00:00"/>
    <x v="4"/>
    <x v="0"/>
    <n v="10"/>
    <m/>
    <n v="283"/>
    <m/>
    <s v="2023-03"/>
    <s v="Carries forward"/>
  </r>
  <r>
    <d v="2023-03-12T00:00:00"/>
    <x v="4"/>
    <x v="0"/>
    <n v="10"/>
    <m/>
    <n v="283"/>
    <m/>
    <s v="2023-03"/>
    <s v="Carries forward"/>
  </r>
  <r>
    <d v="2023-03-12T00:00:00"/>
    <x v="4"/>
    <x v="2"/>
    <n v="14"/>
    <n v="2234"/>
    <n v="283"/>
    <s v="Tot 2234, my lines 2220 (14 less) - treated as not written"/>
    <s v="2023-03"/>
    <s v="Carries forward"/>
  </r>
  <r>
    <d v="2023-03-14T00:00:00"/>
    <x v="4"/>
    <x v="1"/>
    <n v="1200"/>
    <n v="1034"/>
    <n v="283"/>
    <s v="Book: paid 1200 (date looks like 14/3), BAKI 1034"/>
    <s v="2023-03"/>
    <s v="Carries forward"/>
  </r>
  <r>
    <d v="2023-03-14T00:00:00"/>
    <x v="4"/>
    <x v="0"/>
    <n v="10"/>
    <m/>
    <n v="283"/>
    <m/>
    <s v="2023-03"/>
    <s v="Carries forward"/>
  </r>
  <r>
    <d v="2023-03-14T00:00:00"/>
    <x v="4"/>
    <x v="0"/>
    <n v="5"/>
    <m/>
    <n v="283"/>
    <m/>
    <s v="2023-03"/>
    <s v="Carries forward"/>
  </r>
  <r>
    <d v="2023-03-16T00:00:00"/>
    <x v="4"/>
    <x v="0"/>
    <n v="10"/>
    <m/>
    <n v="283"/>
    <m/>
    <s v="2023-03"/>
    <s v="Carries forward"/>
  </r>
  <r>
    <d v="2023-03-16T00:00:00"/>
    <x v="4"/>
    <x v="0"/>
    <n v="72"/>
    <m/>
    <n v="283"/>
    <m/>
    <s v="2023-03"/>
    <s v="Carries forward"/>
  </r>
  <r>
    <d v="2023-03-20T00:00:00"/>
    <x v="4"/>
    <x v="0"/>
    <n v="22"/>
    <m/>
    <n v="283"/>
    <m/>
    <s v="2023-03"/>
    <s v="Carries forward"/>
  </r>
  <r>
    <d v="2023-03-21T00:00:00"/>
    <x v="4"/>
    <x v="0"/>
    <n v="25"/>
    <m/>
    <n v="283"/>
    <m/>
    <s v="2023-03"/>
    <s v="Carries forward"/>
  </r>
  <r>
    <d v="2023-03-21T00:00:00"/>
    <x v="4"/>
    <x v="0"/>
    <n v="85"/>
    <m/>
    <n v="283"/>
    <m/>
    <s v="2023-03"/>
    <s v="Carries forward"/>
  </r>
  <r>
    <d v="2023-03-23T00:00:00"/>
    <x v="4"/>
    <x v="0"/>
    <n v="30"/>
    <m/>
    <n v="283"/>
    <m/>
    <s v="2023-03"/>
    <s v="Carries forward"/>
  </r>
  <r>
    <d v="2023-03-25T00:00:00"/>
    <x v="4"/>
    <x v="0"/>
    <n v="22"/>
    <m/>
    <n v="283"/>
    <m/>
    <s v="2023-03"/>
    <s v="Carries forward"/>
  </r>
  <r>
    <d v="2023-03-25T00:00:00"/>
    <x v="4"/>
    <x v="0"/>
    <n v="30"/>
    <m/>
    <n v="283"/>
    <m/>
    <s v="2023-03"/>
    <s v="Carries forward"/>
  </r>
  <r>
    <d v="2023-03-27T00:00:00"/>
    <x v="4"/>
    <x v="0"/>
    <n v="110"/>
    <m/>
    <n v="283"/>
    <m/>
    <s v="2023-03"/>
    <s v="Carries forward"/>
  </r>
  <r>
    <d v="2023-03-26T00:00:00"/>
    <x v="4"/>
    <x v="0"/>
    <n v="25"/>
    <m/>
    <n v="283"/>
    <m/>
    <s v="2023-03"/>
    <s v="Carries forward"/>
  </r>
  <r>
    <d v="2023-03-27T00:00:00"/>
    <x v="4"/>
    <x v="0"/>
    <n v="25"/>
    <m/>
    <n v="283"/>
    <m/>
    <s v="2023-03"/>
    <s v="Carries forward"/>
  </r>
  <r>
    <d v="2023-03-27T00:00:00"/>
    <x v="4"/>
    <x v="0"/>
    <n v="37"/>
    <m/>
    <n v="283"/>
    <m/>
    <s v="2023-03"/>
    <s v="Carries forward"/>
  </r>
  <r>
    <d v="2023-03-30T00:00:00"/>
    <x v="4"/>
    <x v="0"/>
    <n v="20"/>
    <m/>
    <n v="283"/>
    <m/>
    <s v="2023-03"/>
    <s v="Carries forward"/>
  </r>
  <r>
    <d v="2023-03-31T00:00:00"/>
    <x v="4"/>
    <x v="0"/>
    <n v="20"/>
    <m/>
    <n v="283"/>
    <s v="Date written like 28/1"/>
    <s v="2023-03"/>
    <s v="Carries forward"/>
  </r>
  <r>
    <d v="2023-03-31T00:00:00"/>
    <x v="4"/>
    <x v="0"/>
    <n v="35"/>
    <m/>
    <n v="283"/>
    <m/>
    <s v="2023-03"/>
    <s v="Carries forward"/>
  </r>
  <r>
    <d v="2023-03-31T00:00:00"/>
    <x v="4"/>
    <x v="0"/>
    <n v="15"/>
    <m/>
    <n v="283"/>
    <m/>
    <s v="2023-03"/>
    <s v="Carries forward"/>
  </r>
  <r>
    <d v="2023-03-31T00:00:00"/>
    <x v="4"/>
    <x v="0"/>
    <n v="10"/>
    <m/>
    <n v="283"/>
    <m/>
    <s v="2023-03"/>
    <s v="Carries forward"/>
  </r>
  <r>
    <d v="2023-04-02T00:00:00"/>
    <x v="4"/>
    <x v="0"/>
    <n v="25"/>
    <m/>
    <n v="283"/>
    <m/>
    <s v="2023-04"/>
    <s v="Carries forward"/>
  </r>
  <r>
    <d v="2023-04-02T00:00:00"/>
    <x v="4"/>
    <x v="0"/>
    <n v="15"/>
    <m/>
    <n v="283"/>
    <m/>
    <s v="2023-04"/>
    <s v="Carries forward"/>
  </r>
  <r>
    <d v="2023-04-03T00:00:00"/>
    <x v="4"/>
    <x v="0"/>
    <n v="25"/>
    <m/>
    <n v="283"/>
    <m/>
    <s v="2023-04"/>
    <s v="Carries forward"/>
  </r>
  <r>
    <d v="2023-04-03T00:00:00"/>
    <x v="4"/>
    <x v="0"/>
    <n v="20"/>
    <m/>
    <n v="283"/>
    <m/>
    <s v="2023-04"/>
    <s v="Carries forward"/>
  </r>
  <r>
    <d v="2023-04-04T00:00:00"/>
    <x v="4"/>
    <x v="0"/>
    <n v="25"/>
    <m/>
    <n v="283"/>
    <m/>
    <s v="2023-04"/>
    <s v="Carries forward"/>
  </r>
  <r>
    <d v="2023-04-05T00:00:00"/>
    <x v="4"/>
    <x v="0"/>
    <n v="20"/>
    <m/>
    <n v="283"/>
    <m/>
    <s v="2023-04"/>
    <s v="Carries forward"/>
  </r>
  <r>
    <d v="2023-04-06T00:00:00"/>
    <x v="4"/>
    <x v="0"/>
    <n v="30"/>
    <m/>
    <n v="283"/>
    <m/>
    <s v="2023-04"/>
    <s v="Carries forward"/>
  </r>
  <r>
    <d v="2023-04-06T00:00:00"/>
    <x v="4"/>
    <x v="0"/>
    <n v="30"/>
    <m/>
    <n v="283"/>
    <m/>
    <s v="2023-04"/>
    <s v="Carries forward"/>
  </r>
  <r>
    <d v="2023-04-06T00:00:00"/>
    <x v="4"/>
    <x v="2"/>
    <n v="-20"/>
    <n v="1812"/>
    <n v="283"/>
    <s v="Tot 1812, my lines 1832 (20 more) - treated as not written"/>
    <s v="2023-04"/>
    <s v="Carries forward"/>
  </r>
  <r>
    <d v="2023-04-07T00:00:00"/>
    <x v="4"/>
    <x v="0"/>
    <n v="25"/>
    <m/>
    <n v="283"/>
    <m/>
    <s v="2023-04"/>
    <s v="Carries forward"/>
  </r>
  <r>
    <d v="2023-04-07T00:00:00"/>
    <x v="4"/>
    <x v="0"/>
    <n v="20"/>
    <m/>
    <n v="283"/>
    <m/>
    <s v="2023-04"/>
    <s v="Carries forward"/>
  </r>
  <r>
    <d v="2023-04-07T00:00:00"/>
    <x v="4"/>
    <x v="0"/>
    <n v="20"/>
    <m/>
    <n v="283"/>
    <m/>
    <s v="2023-04"/>
    <s v="Carries forward"/>
  </r>
  <r>
    <d v="2023-04-08T00:00:00"/>
    <x v="4"/>
    <x v="0"/>
    <n v="80"/>
    <m/>
    <n v="283"/>
    <m/>
    <s v="2023-04"/>
    <s v="Carries forward"/>
  </r>
  <r>
    <d v="2023-04-08T00:00:00"/>
    <x v="4"/>
    <x v="0"/>
    <n v="5"/>
    <m/>
    <n v="283"/>
    <m/>
    <s v="2023-04"/>
    <s v="Carries forward"/>
  </r>
  <r>
    <d v="2023-04-08T00:00:00"/>
    <x v="4"/>
    <x v="0"/>
    <n v="20"/>
    <m/>
    <n v="283"/>
    <m/>
    <s v="2023-04"/>
    <s v="Carries forward"/>
  </r>
  <r>
    <d v="2023-04-10T00:00:00"/>
    <x v="4"/>
    <x v="0"/>
    <n v="30"/>
    <n v="2012"/>
    <n v="283"/>
    <s v="Book: Tot 2012"/>
    <s v="2023-04"/>
    <s v="Carries forward"/>
  </r>
  <r>
    <d v="2023-01-11T00:00:00"/>
    <x v="5"/>
    <x v="0"/>
    <n v="1226"/>
    <m/>
    <n v="316"/>
    <s v="Opening 0 (previous Tot 4860 shown as paid)"/>
    <s v="2023-01"/>
    <s v="Mixed"/>
  </r>
  <r>
    <d v="2023-01-13T00:00:00"/>
    <x v="5"/>
    <x v="0"/>
    <n v="112"/>
    <m/>
    <n v="316"/>
    <m/>
    <s v="2023-01"/>
    <s v="Mixed"/>
  </r>
  <r>
    <d v="2023-01-15T00:00:00"/>
    <x v="5"/>
    <x v="0"/>
    <n v="81"/>
    <m/>
    <n v="316"/>
    <m/>
    <s v="2023-01"/>
    <s v="Mixed"/>
  </r>
  <r>
    <d v="2023-01-15T00:00:00"/>
    <x v="5"/>
    <x v="0"/>
    <n v="234"/>
    <m/>
    <n v="316"/>
    <m/>
    <s v="2023-01"/>
    <s v="Mixed"/>
  </r>
  <r>
    <d v="2023-01-16T00:00:00"/>
    <x v="5"/>
    <x v="0"/>
    <n v="185"/>
    <m/>
    <n v="316"/>
    <m/>
    <s v="2023-01"/>
    <s v="Mixed"/>
  </r>
  <r>
    <d v="2023-01-21T00:00:00"/>
    <x v="5"/>
    <x v="0"/>
    <n v="38"/>
    <m/>
    <n v="316"/>
    <m/>
    <s v="2023-01"/>
    <s v="Mixed"/>
  </r>
  <r>
    <d v="2023-01-21T00:00:00"/>
    <x v="5"/>
    <x v="0"/>
    <n v="638"/>
    <m/>
    <n v="316"/>
    <m/>
    <s v="2023-01"/>
    <s v="Mixed"/>
  </r>
  <r>
    <d v="2023-01-22T00:00:00"/>
    <x v="5"/>
    <x v="0"/>
    <n v="100"/>
    <m/>
    <n v="316"/>
    <m/>
    <s v="2023-01"/>
    <s v="Mixed"/>
  </r>
  <r>
    <d v="2023-01-23T00:00:00"/>
    <x v="5"/>
    <x v="0"/>
    <n v="22"/>
    <m/>
    <n v="316"/>
    <m/>
    <s v="2023-01"/>
    <s v="Mixed"/>
  </r>
  <r>
    <d v="2023-01-26T00:00:00"/>
    <x v="5"/>
    <x v="0"/>
    <n v="685"/>
    <m/>
    <n v="316"/>
    <m/>
    <s v="2023-01"/>
    <s v="Mixed"/>
  </r>
  <r>
    <d v="2023-01-26T00:00:00"/>
    <x v="5"/>
    <x v="0"/>
    <n v="80"/>
    <m/>
    <n v="316"/>
    <m/>
    <s v="2023-01"/>
    <s v="Mixed"/>
  </r>
  <r>
    <d v="2023-01-28T00:00:00"/>
    <x v="5"/>
    <x v="0"/>
    <n v="92"/>
    <m/>
    <n v="316"/>
    <m/>
    <s v="2023-01"/>
    <s v="Mixed"/>
  </r>
  <r>
    <d v="2023-01-30T00:00:00"/>
    <x v="5"/>
    <x v="0"/>
    <n v="610"/>
    <m/>
    <n v="316"/>
    <m/>
    <s v="2023-01"/>
    <s v="Mixed"/>
  </r>
  <r>
    <d v="2023-01-31T00:00:00"/>
    <x v="5"/>
    <x v="0"/>
    <n v="327"/>
    <m/>
    <n v="316"/>
    <m/>
    <s v="2023-01"/>
    <s v="Mixed"/>
  </r>
  <r>
    <d v="2023-01-31T00:00:00"/>
    <x v="5"/>
    <x v="0"/>
    <n v="207"/>
    <m/>
    <n v="316"/>
    <m/>
    <s v="2023-01"/>
    <s v="Mixed"/>
  </r>
  <r>
    <d v="2023-02-01T00:00:00"/>
    <x v="5"/>
    <x v="0"/>
    <n v="130"/>
    <m/>
    <n v="316"/>
    <m/>
    <s v="2023-02"/>
    <s v="Mixed"/>
  </r>
  <r>
    <d v="2023-02-02T00:00:00"/>
    <x v="5"/>
    <x v="0"/>
    <n v="298"/>
    <m/>
    <n v="316"/>
    <m/>
    <s v="2023-02"/>
    <s v="Mixed"/>
  </r>
  <r>
    <d v="2023-02-03T00:00:00"/>
    <x v="5"/>
    <x v="0"/>
    <n v="437"/>
    <m/>
    <n v="316"/>
    <m/>
    <s v="2023-02"/>
    <s v="Mixed"/>
  </r>
  <r>
    <d v="2023-02-04T00:00:00"/>
    <x v="5"/>
    <x v="0"/>
    <n v="65"/>
    <m/>
    <n v="316"/>
    <m/>
    <s v="2023-02"/>
    <s v="Mixed"/>
  </r>
  <r>
    <d v="2023-02-04T00:00:00"/>
    <x v="5"/>
    <x v="0"/>
    <n v="53"/>
    <m/>
    <n v="316"/>
    <m/>
    <s v="2023-02"/>
    <s v="Mixed"/>
  </r>
  <r>
    <d v="2023-02-05T00:00:00"/>
    <x v="5"/>
    <x v="0"/>
    <n v="62"/>
    <m/>
    <n v="316"/>
    <m/>
    <s v="2023-02"/>
    <s v="Mixed"/>
  </r>
  <r>
    <d v="2023-02-05T00:00:00"/>
    <x v="5"/>
    <x v="0"/>
    <n v="205"/>
    <m/>
    <n v="316"/>
    <m/>
    <s v="2023-02"/>
    <s v="Mixed"/>
  </r>
  <r>
    <d v="2023-02-06T00:00:00"/>
    <x v="5"/>
    <x v="0"/>
    <n v="10"/>
    <m/>
    <n v="316"/>
    <m/>
    <s v="2023-02"/>
    <s v="Mixed"/>
  </r>
  <r>
    <d v="2023-02-06T00:00:00"/>
    <x v="5"/>
    <x v="0"/>
    <n v="269"/>
    <m/>
    <n v="316"/>
    <m/>
    <s v="2023-02"/>
    <s v="Mixed"/>
  </r>
  <r>
    <d v="2023-02-07T00:00:00"/>
    <x v="5"/>
    <x v="0"/>
    <n v="44"/>
    <m/>
    <n v="316"/>
    <m/>
    <s v="2023-02"/>
    <s v="Mixed"/>
  </r>
  <r>
    <d v="2023-02-07T00:00:00"/>
    <x v="5"/>
    <x v="0"/>
    <n v="632"/>
    <m/>
    <n v="316"/>
    <m/>
    <s v="2023-02"/>
    <s v="Mixed"/>
  </r>
  <r>
    <d v="2023-02-07T00:00:00"/>
    <x v="5"/>
    <x v="2"/>
    <n v="-10"/>
    <n v="6832"/>
    <n v="316"/>
    <s v="Book Tot 6832 is 10 less than the lines (30/1 may be 600)"/>
    <s v="2023-02"/>
    <s v="Mixed"/>
  </r>
  <r>
    <d v="2023-02-18T00:00:00"/>
    <x v="5"/>
    <x v="1"/>
    <n v="6832"/>
    <n v="0"/>
    <n v="316"/>
    <s v="Book: 18/2/23 6832 = paid in full"/>
    <s v="2023-02"/>
    <s v="Mixed"/>
  </r>
  <r>
    <d v="2023-02-08T00:00:00"/>
    <x v="5"/>
    <x v="0"/>
    <n v="80"/>
    <m/>
    <n v="316"/>
    <m/>
    <s v="2023-02"/>
    <s v="Mixed"/>
  </r>
  <r>
    <d v="2023-02-08T00:00:00"/>
    <x v="5"/>
    <x v="0"/>
    <n v="112"/>
    <m/>
    <n v="316"/>
    <m/>
    <s v="2023-02"/>
    <s v="Mixed"/>
  </r>
  <r>
    <d v="2023-02-09T00:00:00"/>
    <x v="5"/>
    <x v="0"/>
    <n v="478"/>
    <m/>
    <n v="316"/>
    <m/>
    <s v="2023-02"/>
    <s v="Mixed"/>
  </r>
  <r>
    <d v="2023-02-11T00:00:00"/>
    <x v="5"/>
    <x v="0"/>
    <n v="1600"/>
    <m/>
    <n v="316"/>
    <m/>
    <s v="2023-02"/>
    <s v="Mixed"/>
  </r>
  <r>
    <d v="2023-02-11T00:00:00"/>
    <x v="5"/>
    <x v="0"/>
    <n v="186"/>
    <m/>
    <n v="316"/>
    <m/>
    <s v="2023-02"/>
    <s v="Mixed"/>
  </r>
  <r>
    <d v="2023-02-14T00:00:00"/>
    <x v="5"/>
    <x v="0"/>
    <n v="608"/>
    <m/>
    <n v="316"/>
    <m/>
    <s v="2023-02"/>
    <s v="Mixed"/>
  </r>
  <r>
    <d v="2023-02-16T00:00:00"/>
    <x v="5"/>
    <x v="0"/>
    <n v="570"/>
    <m/>
    <n v="316"/>
    <m/>
    <s v="2023-02"/>
    <s v="Mixed"/>
  </r>
  <r>
    <d v="2023-02-18T00:00:00"/>
    <x v="5"/>
    <x v="0"/>
    <n v="45"/>
    <m/>
    <n v="316"/>
    <m/>
    <s v="2023-02"/>
    <s v="Mixed"/>
  </r>
  <r>
    <d v="2023-02-19T00:00:00"/>
    <x v="5"/>
    <x v="0"/>
    <n v="185"/>
    <m/>
    <n v="316"/>
    <m/>
    <s v="2023-02"/>
    <s v="Mixed"/>
  </r>
  <r>
    <d v="2023-02-19T00:00:00"/>
    <x v="5"/>
    <x v="0"/>
    <n v="66"/>
    <m/>
    <n v="316"/>
    <m/>
    <s v="2023-02"/>
    <s v="Mixed"/>
  </r>
  <r>
    <d v="2023-02-20T00:00:00"/>
    <x v="5"/>
    <x v="0"/>
    <n v="1200"/>
    <m/>
    <n v="316"/>
    <m/>
    <s v="2023-02"/>
    <s v="Mixed"/>
  </r>
  <r>
    <d v="2023-02-21T00:00:00"/>
    <x v="5"/>
    <x v="0"/>
    <n v="116"/>
    <m/>
    <n v="316"/>
    <m/>
    <s v="2023-02"/>
    <s v="Mixed"/>
  </r>
  <r>
    <d v="2023-02-21T00:00:00"/>
    <x v="5"/>
    <x v="0"/>
    <n v="40"/>
    <m/>
    <n v="316"/>
    <m/>
    <s v="2023-02"/>
    <s v="Mixed"/>
  </r>
  <r>
    <d v="2023-02-22T00:00:00"/>
    <x v="5"/>
    <x v="0"/>
    <n v="391"/>
    <m/>
    <n v="316"/>
    <m/>
    <s v="2023-02"/>
    <s v="Mixed"/>
  </r>
  <r>
    <d v="2023-02-24T00:00:00"/>
    <x v="5"/>
    <x v="0"/>
    <n v="120"/>
    <m/>
    <n v="316"/>
    <m/>
    <s v="2023-02"/>
    <s v="Mixed"/>
  </r>
  <r>
    <d v="2023-02-25T00:00:00"/>
    <x v="5"/>
    <x v="0"/>
    <n v="648"/>
    <m/>
    <n v="316"/>
    <m/>
    <s v="2023-02"/>
    <s v="Mixed"/>
  </r>
  <r>
    <d v="2023-02-26T00:00:00"/>
    <x v="5"/>
    <x v="0"/>
    <n v="153"/>
    <m/>
    <n v="316"/>
    <m/>
    <s v="2023-02"/>
    <s v="Mixed"/>
  </r>
  <r>
    <d v="2023-02-27T00:00:00"/>
    <x v="5"/>
    <x v="0"/>
    <n v="606"/>
    <m/>
    <n v="316"/>
    <m/>
    <s v="2023-02"/>
    <s v="Mixed"/>
  </r>
  <r>
    <d v="2023-02-28T00:00:00"/>
    <x v="5"/>
    <x v="0"/>
    <n v="28"/>
    <m/>
    <n v="316"/>
    <m/>
    <s v="2023-02"/>
    <s v="Mixed"/>
  </r>
  <r>
    <d v="2023-03-01T00:00:00"/>
    <x v="5"/>
    <x v="0"/>
    <n v="83"/>
    <m/>
    <n v="316"/>
    <m/>
    <s v="2023-03"/>
    <s v="Mixed"/>
  </r>
  <r>
    <d v="2023-03-02T00:00:00"/>
    <x v="5"/>
    <x v="0"/>
    <n v="136"/>
    <m/>
    <n v="316"/>
    <m/>
    <s v="2023-03"/>
    <s v="Mixed"/>
  </r>
  <r>
    <d v="2023-03-03T00:00:00"/>
    <x v="5"/>
    <x v="0"/>
    <n v="410"/>
    <m/>
    <n v="316"/>
    <m/>
    <s v="2023-03"/>
    <s v="Mixed"/>
  </r>
  <r>
    <d v="2023-03-03T00:00:00"/>
    <x v="5"/>
    <x v="0"/>
    <n v="103"/>
    <m/>
    <n v="316"/>
    <m/>
    <s v="2023-03"/>
    <s v="Mixed"/>
  </r>
  <r>
    <d v="2023-03-04T00:00:00"/>
    <x v="5"/>
    <x v="0"/>
    <n v="314"/>
    <m/>
    <n v="316"/>
    <m/>
    <s v="2023-03"/>
    <s v="Mixed"/>
  </r>
  <r>
    <d v="2023-03-04T00:00:00"/>
    <x v="5"/>
    <x v="0"/>
    <n v="173"/>
    <m/>
    <n v="316"/>
    <m/>
    <s v="2023-03"/>
    <s v="Mixed"/>
  </r>
  <r>
    <d v="2023-03-06T00:00:00"/>
    <x v="5"/>
    <x v="0"/>
    <n v="361"/>
    <m/>
    <n v="316"/>
    <m/>
    <s v="2023-03"/>
    <s v="Mixed"/>
  </r>
  <r>
    <d v="2023-03-07T00:00:00"/>
    <x v="5"/>
    <x v="0"/>
    <n v="151"/>
    <m/>
    <n v="316"/>
    <m/>
    <s v="2023-03"/>
    <s v="Mixed"/>
  </r>
  <r>
    <d v="2023-03-07T00:00:00"/>
    <x v="5"/>
    <x v="0"/>
    <n v="24"/>
    <m/>
    <n v="316"/>
    <m/>
    <s v="2023-03"/>
    <s v="Mixed"/>
  </r>
  <r>
    <d v="2023-03-07T00:00:00"/>
    <x v="5"/>
    <x v="0"/>
    <n v="279"/>
    <m/>
    <n v="316"/>
    <m/>
    <s v="2023-03"/>
    <s v="Mixed"/>
  </r>
  <r>
    <d v="2023-03-08T00:00:00"/>
    <x v="5"/>
    <x v="0"/>
    <n v="147"/>
    <m/>
    <n v="316"/>
    <m/>
    <s v="2023-03"/>
    <s v="Mixed"/>
  </r>
  <r>
    <d v="2023-03-09T00:00:00"/>
    <x v="5"/>
    <x v="0"/>
    <n v="250"/>
    <m/>
    <n v="316"/>
    <m/>
    <s v="2023-03"/>
    <s v="Mixed"/>
  </r>
  <r>
    <d v="2023-03-09T00:00:00"/>
    <x v="5"/>
    <x v="0"/>
    <n v="565"/>
    <m/>
    <n v="316"/>
    <m/>
    <s v="2023-03"/>
    <s v="Mixed"/>
  </r>
  <r>
    <d v="2023-03-09T00:00:00"/>
    <x v="5"/>
    <x v="2"/>
    <n v="52"/>
    <n v="10280"/>
    <n v="316"/>
    <s v="total written 10308, and 10280 - 7647 paid = BAKI 2633. My lines 10228 - treated as not written"/>
    <s v="2023-03"/>
    <s v="Mixed"/>
  </r>
  <r>
    <m/>
    <x v="5"/>
    <x v="1"/>
    <n v="7647"/>
    <n v="2633"/>
    <n v="316"/>
    <s v="Book: paid 7647 (date not written), BAKI 2633"/>
    <s v=""/>
    <s v="Mixed"/>
  </r>
  <r>
    <d v="2023-03-12T00:00:00"/>
    <x v="5"/>
    <x v="0"/>
    <n v="190"/>
    <m/>
    <n v="316"/>
    <m/>
    <s v="2023-03"/>
    <s v="Mixed"/>
  </r>
  <r>
    <d v="2023-03-13T00:00:00"/>
    <x v="5"/>
    <x v="0"/>
    <n v="20"/>
    <m/>
    <n v="316"/>
    <m/>
    <s v="2023-03"/>
    <s v="Mixed"/>
  </r>
  <r>
    <d v="2023-03-14T00:00:00"/>
    <x v="5"/>
    <x v="0"/>
    <n v="805"/>
    <m/>
    <n v="316"/>
    <m/>
    <s v="2023-03"/>
    <s v="Mixed"/>
  </r>
  <r>
    <d v="2023-03-16T00:00:00"/>
    <x v="5"/>
    <x v="0"/>
    <n v="315"/>
    <m/>
    <n v="316"/>
    <m/>
    <s v="2023-03"/>
    <s v="Mixed"/>
  </r>
  <r>
    <d v="2023-03-16T00:00:00"/>
    <x v="5"/>
    <x v="0"/>
    <n v="275"/>
    <m/>
    <n v="316"/>
    <m/>
    <s v="2023-03"/>
    <s v="Mixed"/>
  </r>
  <r>
    <d v="2023-03-17T00:00:00"/>
    <x v="5"/>
    <x v="0"/>
    <n v="315"/>
    <m/>
    <n v="316"/>
    <m/>
    <s v="2023-03"/>
    <s v="Mixed"/>
  </r>
  <r>
    <d v="2023-03-18T00:00:00"/>
    <x v="5"/>
    <x v="0"/>
    <n v="52"/>
    <m/>
    <n v="316"/>
    <m/>
    <s v="2023-03"/>
    <s v="Mixed"/>
  </r>
  <r>
    <d v="2023-03-20T00:00:00"/>
    <x v="5"/>
    <x v="0"/>
    <n v="795"/>
    <m/>
    <n v="316"/>
    <m/>
    <s v="2023-03"/>
    <s v="Mixed"/>
  </r>
  <r>
    <d v="2023-03-21T00:00:00"/>
    <x v="5"/>
    <x v="0"/>
    <n v="12"/>
    <m/>
    <n v="316"/>
    <m/>
    <s v="2023-03"/>
    <s v="Mixed"/>
  </r>
  <r>
    <d v="2023-03-22T00:00:00"/>
    <x v="5"/>
    <x v="0"/>
    <n v="152"/>
    <m/>
    <n v="316"/>
    <m/>
    <s v="2023-03"/>
    <s v="Mixed"/>
  </r>
  <r>
    <d v="2023-03-23T00:00:00"/>
    <x v="5"/>
    <x v="0"/>
    <n v="541"/>
    <m/>
    <n v="316"/>
    <m/>
    <s v="2023-03"/>
    <s v="Mixed"/>
  </r>
  <r>
    <d v="2023-03-25T00:00:00"/>
    <x v="5"/>
    <x v="0"/>
    <n v="1390"/>
    <m/>
    <n v="316"/>
    <m/>
    <s v="2023-03"/>
    <s v="Mixed"/>
  </r>
  <r>
    <d v="2023-03-26T00:00:00"/>
    <x v="5"/>
    <x v="0"/>
    <n v="170"/>
    <m/>
    <n v="316"/>
    <m/>
    <s v="2023-03"/>
    <s v="Mixed"/>
  </r>
  <r>
    <d v="2023-03-27T00:00:00"/>
    <x v="5"/>
    <x v="0"/>
    <n v="637"/>
    <m/>
    <n v="316"/>
    <m/>
    <s v="2023-03"/>
    <s v="Mixed"/>
  </r>
  <r>
    <d v="2023-03-28T00:00:00"/>
    <x v="5"/>
    <x v="0"/>
    <n v="178"/>
    <m/>
    <n v="316"/>
    <m/>
    <s v="2023-03"/>
    <s v="Mixed"/>
  </r>
  <r>
    <d v="2023-03-29T00:00:00"/>
    <x v="5"/>
    <x v="0"/>
    <n v="703"/>
    <m/>
    <n v="316"/>
    <m/>
    <s v="2023-03"/>
    <s v="Mixed"/>
  </r>
  <r>
    <d v="2023-03-29T00:00:00"/>
    <x v="5"/>
    <x v="0"/>
    <n v="352"/>
    <m/>
    <n v="316"/>
    <m/>
    <s v="2023-03"/>
    <s v="Mixed"/>
  </r>
  <r>
    <d v="2023-03-30T00:00:00"/>
    <x v="5"/>
    <x v="0"/>
    <n v="177"/>
    <m/>
    <n v="316"/>
    <m/>
    <s v="2023-03"/>
    <s v="Mixed"/>
  </r>
  <r>
    <d v="2023-04-01T00:00:00"/>
    <x v="5"/>
    <x v="0"/>
    <n v="989"/>
    <m/>
    <n v="316"/>
    <m/>
    <s v="2023-04"/>
    <s v="Mixed"/>
  </r>
  <r>
    <d v="2023-04-02T00:00:00"/>
    <x v="5"/>
    <x v="0"/>
    <n v="62"/>
    <m/>
    <n v="316"/>
    <m/>
    <s v="2023-04"/>
    <s v="Mixed"/>
  </r>
  <r>
    <d v="2023-04-02T00:00:00"/>
    <x v="5"/>
    <x v="0"/>
    <n v="40"/>
    <m/>
    <n v="316"/>
    <m/>
    <s v="2023-04"/>
    <s v="Mixed"/>
  </r>
  <r>
    <d v="2023-04-03T00:00:00"/>
    <x v="5"/>
    <x v="0"/>
    <n v="162"/>
    <m/>
    <n v="316"/>
    <m/>
    <s v="2023-04"/>
    <s v="Mixed"/>
  </r>
  <r>
    <d v="2023-04-03T00:00:00"/>
    <x v="5"/>
    <x v="0"/>
    <n v="34"/>
    <m/>
    <n v="316"/>
    <m/>
    <s v="2023-04"/>
    <s v="Mixed"/>
  </r>
  <r>
    <d v="2023-04-03T00:00:00"/>
    <x v="5"/>
    <x v="0"/>
    <n v="345"/>
    <m/>
    <n v="316"/>
    <m/>
    <s v="2023-04"/>
    <s v="Mixed"/>
  </r>
  <r>
    <d v="2023-04-04T00:00:00"/>
    <x v="5"/>
    <x v="0"/>
    <n v="214"/>
    <m/>
    <n v="316"/>
    <m/>
    <s v="2023-04"/>
    <s v="Mixed"/>
  </r>
  <r>
    <d v="2023-04-05T00:00:00"/>
    <x v="5"/>
    <x v="0"/>
    <n v="60"/>
    <m/>
    <n v="317"/>
    <m/>
    <s v="2023-04"/>
    <s v="Mixed"/>
  </r>
  <r>
    <d v="2023-04-05T00:00:00"/>
    <x v="5"/>
    <x v="0"/>
    <n v="40"/>
    <m/>
    <n v="317"/>
    <m/>
    <s v="2023-04"/>
    <s v="Mixed"/>
  </r>
  <r>
    <d v="2023-04-06T00:00:00"/>
    <x v="5"/>
    <x v="0"/>
    <n v="726"/>
    <m/>
    <n v="317"/>
    <m/>
    <s v="2023-04"/>
    <s v="Mixed"/>
  </r>
  <r>
    <d v="2023-04-06T00:00:00"/>
    <x v="5"/>
    <x v="0"/>
    <n v="120"/>
    <m/>
    <n v="317"/>
    <m/>
    <s v="2023-04"/>
    <s v="Mixed"/>
  </r>
  <r>
    <d v="2023-04-08T00:00:00"/>
    <x v="5"/>
    <x v="0"/>
    <n v="140"/>
    <m/>
    <n v="317"/>
    <m/>
    <s v="2023-04"/>
    <s v="Mixed"/>
  </r>
  <r>
    <d v="2023-04-08T00:00:00"/>
    <x v="5"/>
    <x v="2"/>
    <n v="-2605"/>
    <n v="10039"/>
    <n v="317"/>
    <s v="Dad's Tot 10039 is the full amount due; the March BAKI 2633 is not added on top"/>
    <s v="2023-04"/>
    <s v="Mixed"/>
  </r>
  <r>
    <m/>
    <x v="5"/>
    <x v="1"/>
    <n v="7406"/>
    <n v="2633"/>
    <n v="317"/>
    <s v="Paid about 7406 (10039 - 7406 = BAKI 2633). Date not written"/>
    <s v=""/>
    <s v="Mixed"/>
  </r>
  <r>
    <d v="2023-04-09T00:00:00"/>
    <x v="5"/>
    <x v="0"/>
    <n v="397"/>
    <m/>
    <n v="317"/>
    <m/>
    <s v="2023-04"/>
    <s v="Mixed"/>
  </r>
  <r>
    <d v="2023-04-10T00:00:00"/>
    <x v="5"/>
    <x v="0"/>
    <n v="321"/>
    <m/>
    <n v="317"/>
    <m/>
    <s v="2023-04"/>
    <s v="Mixed"/>
  </r>
  <r>
    <d v="2023-04-11T00:00:00"/>
    <x v="5"/>
    <x v="0"/>
    <n v="120"/>
    <m/>
    <n v="317"/>
    <m/>
    <s v="2023-04"/>
    <s v="Mixed"/>
  </r>
  <r>
    <d v="2023-04-13T00:00:00"/>
    <x v="5"/>
    <x v="0"/>
    <n v="1624"/>
    <m/>
    <n v="317"/>
    <m/>
    <s v="2023-04"/>
    <s v="Mixed"/>
  </r>
  <r>
    <d v="2023-04-14T00:00:00"/>
    <x v="5"/>
    <x v="0"/>
    <n v="120"/>
    <m/>
    <n v="317"/>
    <m/>
    <s v="2023-04"/>
    <s v="Mixed"/>
  </r>
  <r>
    <d v="2023-04-16T00:00:00"/>
    <x v="5"/>
    <x v="0"/>
    <n v="264"/>
    <m/>
    <n v="317"/>
    <m/>
    <s v="2023-04"/>
    <s v="Mixed"/>
  </r>
  <r>
    <d v="2023-04-17T00:00:00"/>
    <x v="5"/>
    <x v="0"/>
    <n v="70"/>
    <m/>
    <n v="317"/>
    <m/>
    <s v="2023-04"/>
    <s v="Mixed"/>
  </r>
  <r>
    <d v="2023-04-17T00:00:00"/>
    <x v="5"/>
    <x v="0"/>
    <n v="60"/>
    <m/>
    <n v="317"/>
    <m/>
    <s v="2023-04"/>
    <s v="Mixed"/>
  </r>
  <r>
    <d v="2023-04-18T00:00:00"/>
    <x v="5"/>
    <x v="0"/>
    <n v="250"/>
    <m/>
    <n v="317"/>
    <m/>
    <s v="2023-04"/>
    <s v="Mixed"/>
  </r>
  <r>
    <d v="2023-04-19T00:00:00"/>
    <x v="5"/>
    <x v="0"/>
    <n v="251"/>
    <m/>
    <n v="317"/>
    <m/>
    <s v="2023-04"/>
    <s v="Mixed"/>
  </r>
  <r>
    <d v="2023-04-21T00:00:00"/>
    <x v="5"/>
    <x v="0"/>
    <n v="1250"/>
    <m/>
    <n v="317"/>
    <m/>
    <s v="2023-04"/>
    <s v="Mixed"/>
  </r>
  <r>
    <d v="2023-04-22T00:00:00"/>
    <x v="5"/>
    <x v="0"/>
    <n v="280"/>
    <m/>
    <n v="317"/>
    <m/>
    <s v="2023-04"/>
    <s v="Mixed"/>
  </r>
  <r>
    <d v="2023-04-22T00:00:00"/>
    <x v="5"/>
    <x v="0"/>
    <n v="115"/>
    <m/>
    <n v="317"/>
    <m/>
    <s v="2023-04"/>
    <s v="Mixed"/>
  </r>
  <r>
    <d v="2023-04-23T00:00:00"/>
    <x v="5"/>
    <x v="0"/>
    <n v="280"/>
    <m/>
    <n v="317"/>
    <m/>
    <s v="2023-04"/>
    <s v="Mixed"/>
  </r>
  <r>
    <d v="2023-04-24T00:00:00"/>
    <x v="5"/>
    <x v="0"/>
    <n v="182"/>
    <m/>
    <n v="317"/>
    <m/>
    <s v="2023-04"/>
    <s v="Mixed"/>
  </r>
  <r>
    <d v="2023-04-26T00:00:00"/>
    <x v="5"/>
    <x v="0"/>
    <n v="191"/>
    <m/>
    <n v="317"/>
    <m/>
    <s v="2023-04"/>
    <s v="Mixed"/>
  </r>
  <r>
    <d v="2023-04-27T00:00:00"/>
    <x v="5"/>
    <x v="0"/>
    <n v="131"/>
    <m/>
    <n v="317"/>
    <m/>
    <s v="2023-04"/>
    <s v="Mixed"/>
  </r>
  <r>
    <d v="2023-04-28T00:00:00"/>
    <x v="5"/>
    <x v="0"/>
    <n v="181"/>
    <m/>
    <n v="317"/>
    <m/>
    <s v="2023-04"/>
    <s v="Mixed"/>
  </r>
  <r>
    <d v="2023-04-29T00:00:00"/>
    <x v="5"/>
    <x v="0"/>
    <n v="492"/>
    <m/>
    <n v="317"/>
    <m/>
    <s v="2023-04"/>
    <s v="Mixed"/>
  </r>
  <r>
    <d v="2023-04-30T00:00:00"/>
    <x v="5"/>
    <x v="0"/>
    <n v="166"/>
    <m/>
    <n v="317"/>
    <m/>
    <s v="2023-04"/>
    <s v="Mixed"/>
  </r>
  <r>
    <d v="2023-05-01T00:00:00"/>
    <x v="5"/>
    <x v="0"/>
    <n v="52"/>
    <m/>
    <n v="317"/>
    <s v="Date written like 31/4"/>
    <s v="2023-05"/>
    <s v="Mixed"/>
  </r>
  <r>
    <d v="2023-05-03T00:00:00"/>
    <x v="5"/>
    <x v="0"/>
    <n v="139"/>
    <m/>
    <n v="317"/>
    <m/>
    <s v="2023-05"/>
    <s v="Mixed"/>
  </r>
  <r>
    <d v="2022-09-08T00:00:00"/>
    <x v="5"/>
    <x v="3"/>
    <n v="6954"/>
    <n v="6954"/>
    <n v="204"/>
    <s v="Opening Tot 6954 (older book, account 95)"/>
    <s v="2022-09"/>
    <s v="Mixed"/>
  </r>
  <r>
    <d v="2022-09-08T00:00:00"/>
    <x v="5"/>
    <x v="0"/>
    <n v="254"/>
    <n v="7208"/>
    <n v="204"/>
    <s v="Read as 254 (looks like 234): makes Tot 7208"/>
    <s v="2022-09"/>
    <s v="Mixed"/>
  </r>
  <r>
    <d v="2022-09-15T00:00:00"/>
    <x v="5"/>
    <x v="1"/>
    <n v="6086"/>
    <n v="1122"/>
    <n v="204"/>
    <s v="Book: paid 6086 on 15/9, BAK 1122"/>
    <s v="2022-09"/>
    <s v="Mixed"/>
  </r>
  <r>
    <d v="2022-09-11T00:00:00"/>
    <x v="5"/>
    <x v="0"/>
    <n v="692"/>
    <m/>
    <n v="204"/>
    <m/>
    <s v="2022-09"/>
    <s v="Mixed"/>
  </r>
  <r>
    <d v="2022-09-12T00:00:00"/>
    <x v="5"/>
    <x v="0"/>
    <n v="65"/>
    <m/>
    <n v="204"/>
    <m/>
    <s v="2022-09"/>
    <s v="Mixed"/>
  </r>
  <r>
    <d v="2022-09-15T00:00:00"/>
    <x v="5"/>
    <x v="0"/>
    <n v="470"/>
    <m/>
    <n v="204"/>
    <s v="13/9 line above is crossed out, not counted"/>
    <s v="2022-09"/>
    <s v="Mixed"/>
  </r>
  <r>
    <d v="2022-09-16T00:00:00"/>
    <x v="5"/>
    <x v="0"/>
    <n v="1543"/>
    <m/>
    <n v="204"/>
    <m/>
    <s v="2022-09"/>
    <s v="Mixed"/>
  </r>
  <r>
    <d v="2022-09-20T00:00:00"/>
    <x v="5"/>
    <x v="0"/>
    <n v="963"/>
    <m/>
    <n v="204"/>
    <m/>
    <s v="2022-09"/>
    <s v="Mixed"/>
  </r>
  <r>
    <d v="2022-09-24T00:00:00"/>
    <x v="5"/>
    <x v="0"/>
    <n v="446"/>
    <m/>
    <n v="204"/>
    <m/>
    <s v="2022-09"/>
    <s v="Mixed"/>
  </r>
  <r>
    <d v="2022-09-25T00:00:00"/>
    <x v="5"/>
    <x v="0"/>
    <n v="15"/>
    <m/>
    <n v="204"/>
    <m/>
    <s v="2022-09"/>
    <s v="Mixed"/>
  </r>
  <r>
    <d v="2022-09-26T00:00:00"/>
    <x v="5"/>
    <x v="0"/>
    <n v="28"/>
    <m/>
    <n v="204"/>
    <m/>
    <s v="2022-09"/>
    <s v="Mixed"/>
  </r>
  <r>
    <d v="2022-09-28T00:00:00"/>
    <x v="5"/>
    <x v="0"/>
    <n v="480"/>
    <m/>
    <n v="204"/>
    <m/>
    <s v="2022-09"/>
    <s v="Mixed"/>
  </r>
  <r>
    <d v="2022-09-28T00:00:00"/>
    <x v="5"/>
    <x v="0"/>
    <n v="10"/>
    <m/>
    <n v="204"/>
    <m/>
    <s v="2022-09"/>
    <s v="Mixed"/>
  </r>
  <r>
    <d v="2022-09-28T00:00:00"/>
    <x v="5"/>
    <x v="0"/>
    <n v="40"/>
    <m/>
    <n v="204"/>
    <m/>
    <s v="2022-09"/>
    <s v="Mixed"/>
  </r>
  <r>
    <d v="2022-09-30T00:00:00"/>
    <x v="5"/>
    <x v="0"/>
    <n v="30"/>
    <m/>
    <n v="204"/>
    <m/>
    <s v="2022-09"/>
    <s v="Mixed"/>
  </r>
  <r>
    <d v="2022-10-02T00:00:00"/>
    <x v="5"/>
    <x v="0"/>
    <n v="162"/>
    <m/>
    <n v="204"/>
    <m/>
    <s v="2022-10"/>
    <s v="Mixed"/>
  </r>
  <r>
    <d v="2022-10-04T00:00:00"/>
    <x v="5"/>
    <x v="0"/>
    <n v="331"/>
    <m/>
    <n v="204"/>
    <m/>
    <s v="2022-10"/>
    <s v="Mixed"/>
  </r>
  <r>
    <d v="2022-10-08T00:00:00"/>
    <x v="5"/>
    <x v="0"/>
    <n v="47"/>
    <m/>
    <n v="204"/>
    <m/>
    <s v="2022-10"/>
    <s v="Mixed"/>
  </r>
  <r>
    <d v="2022-10-09T00:00:00"/>
    <x v="5"/>
    <x v="0"/>
    <n v="197"/>
    <n v="6641"/>
    <n v="204"/>
    <s v="Book: Tot 6641"/>
    <s v="2022-10"/>
    <s v="Mixed"/>
  </r>
  <r>
    <d v="2022-10-14T00:00:00"/>
    <x v="5"/>
    <x v="1"/>
    <n v="4000"/>
    <n v="2641"/>
    <n v="204"/>
    <s v="Book: paid 4000 on 14/10, BAK 2641"/>
    <s v="2022-10"/>
    <s v="Mixed"/>
  </r>
  <r>
    <m/>
    <x v="5"/>
    <x v="1"/>
    <n v="2641"/>
    <n v="0"/>
    <n v="204"/>
    <s v="CHECK: BAK 2641 is not in the next total (5336 = only the new lines). Assumed settled, not written"/>
    <s v=""/>
    <s v="Mixed"/>
  </r>
  <r>
    <d v="2022-10-12T00:00:00"/>
    <x v="5"/>
    <x v="0"/>
    <n v="80"/>
    <m/>
    <n v="204"/>
    <m/>
    <s v="2022-10"/>
    <s v="Mixed"/>
  </r>
  <r>
    <d v="2022-10-13T00:00:00"/>
    <x v="5"/>
    <x v="0"/>
    <n v="86"/>
    <m/>
    <n v="204"/>
    <m/>
    <s v="2022-10"/>
    <s v="Mixed"/>
  </r>
  <r>
    <d v="2022-10-14T00:00:00"/>
    <x v="5"/>
    <x v="0"/>
    <n v="180"/>
    <m/>
    <n v="204"/>
    <m/>
    <s v="2022-10"/>
    <s v="Mixed"/>
  </r>
  <r>
    <d v="2022-10-16T00:00:00"/>
    <x v="5"/>
    <x v="0"/>
    <n v="484"/>
    <m/>
    <n v="204"/>
    <m/>
    <s v="2022-10"/>
    <s v="Mixed"/>
  </r>
  <r>
    <d v="2022-10-19T00:00:00"/>
    <x v="5"/>
    <x v="0"/>
    <n v="186"/>
    <m/>
    <n v="204"/>
    <m/>
    <s v="2022-10"/>
    <s v="Mixed"/>
  </r>
  <r>
    <d v="2022-10-21T00:00:00"/>
    <x v="5"/>
    <x v="0"/>
    <n v="332"/>
    <m/>
    <n v="204"/>
    <m/>
    <s v="2022-10"/>
    <s v="Mixed"/>
  </r>
  <r>
    <d v="2022-10-22T00:00:00"/>
    <x v="5"/>
    <x v="0"/>
    <n v="370"/>
    <m/>
    <n v="204"/>
    <m/>
    <s v="2022-10"/>
    <s v="Mixed"/>
  </r>
  <r>
    <d v="2022-10-25T00:00:00"/>
    <x v="5"/>
    <x v="0"/>
    <n v="644"/>
    <m/>
    <n v="204"/>
    <m/>
    <s v="2022-10"/>
    <s v="Mixed"/>
  </r>
  <r>
    <d v="2022-10-26T00:00:00"/>
    <x v="5"/>
    <x v="0"/>
    <n v="35"/>
    <m/>
    <n v="204"/>
    <m/>
    <s v="2022-10"/>
    <s v="Mixed"/>
  </r>
  <r>
    <d v="2022-10-27T00:00:00"/>
    <x v="5"/>
    <x v="0"/>
    <n v="40"/>
    <m/>
    <n v="204"/>
    <m/>
    <s v="2022-10"/>
    <s v="Mixed"/>
  </r>
  <r>
    <d v="2022-10-30T00:00:00"/>
    <x v="5"/>
    <x v="0"/>
    <n v="209"/>
    <m/>
    <n v="204"/>
    <m/>
    <s v="2022-10"/>
    <s v="Mixed"/>
  </r>
  <r>
    <d v="2022-10-30T00:00:00"/>
    <x v="5"/>
    <x v="0"/>
    <n v="90"/>
    <m/>
    <n v="204"/>
    <m/>
    <s v="2022-10"/>
    <s v="Mixed"/>
  </r>
  <r>
    <d v="2022-11-01T00:00:00"/>
    <x v="5"/>
    <x v="0"/>
    <n v="337"/>
    <m/>
    <n v="204"/>
    <m/>
    <s v="2022-11"/>
    <s v="Mixed"/>
  </r>
  <r>
    <d v="2022-11-01T00:00:00"/>
    <x v="5"/>
    <x v="0"/>
    <n v="30"/>
    <m/>
    <n v="204"/>
    <m/>
    <s v="2022-11"/>
    <s v="Mixed"/>
  </r>
  <r>
    <d v="2022-11-02T00:00:00"/>
    <x v="5"/>
    <x v="0"/>
    <n v="58"/>
    <m/>
    <n v="204"/>
    <m/>
    <s v="2022-11"/>
    <s v="Mixed"/>
  </r>
  <r>
    <d v="2022-11-06T00:00:00"/>
    <x v="5"/>
    <x v="0"/>
    <n v="669"/>
    <m/>
    <n v="204"/>
    <m/>
    <s v="2022-11"/>
    <s v="Mixed"/>
  </r>
  <r>
    <d v="2022-11-08T00:00:00"/>
    <x v="5"/>
    <x v="0"/>
    <n v="306"/>
    <m/>
    <n v="204"/>
    <m/>
    <s v="2022-11"/>
    <s v="Mixed"/>
  </r>
  <r>
    <d v="2022-11-09T00:00:00"/>
    <x v="5"/>
    <x v="0"/>
    <n v="1200"/>
    <n v="5336"/>
    <n v="204"/>
    <s v="Book: TL 5336"/>
    <s v="2022-11"/>
    <s v="Mixed"/>
  </r>
  <r>
    <d v="2022-11-12T00:00:00"/>
    <x v="5"/>
    <x v="1"/>
    <n v="5336"/>
    <n v="0"/>
    <n v="204"/>
    <s v="Book: paid 5336 on 12/11"/>
    <s v="2022-11"/>
    <s v="Mixed"/>
  </r>
  <r>
    <d v="2022-11-11T00:00:00"/>
    <x v="5"/>
    <x v="0"/>
    <n v="157"/>
    <m/>
    <n v="204"/>
    <m/>
    <s v="2022-11"/>
    <s v="Mixed"/>
  </r>
  <r>
    <d v="2022-11-12T00:00:00"/>
    <x v="5"/>
    <x v="0"/>
    <n v="400"/>
    <m/>
    <n v="204"/>
    <m/>
    <s v="2022-11"/>
    <s v="Mixed"/>
  </r>
  <r>
    <d v="2022-11-16T00:00:00"/>
    <x v="5"/>
    <x v="0"/>
    <n v="792"/>
    <m/>
    <n v="204"/>
    <m/>
    <s v="2022-11"/>
    <s v="Mixed"/>
  </r>
  <r>
    <d v="2022-11-23T00:00:00"/>
    <x v="5"/>
    <x v="0"/>
    <n v="614"/>
    <m/>
    <n v="204"/>
    <s v="Small writing, read as 614: makes Tot 3942"/>
    <s v="2022-11"/>
    <s v="Mixed"/>
  </r>
  <r>
    <d v="2022-11-25T00:00:00"/>
    <x v="5"/>
    <x v="0"/>
    <n v="466"/>
    <m/>
    <n v="204"/>
    <m/>
    <s v="2022-11"/>
    <s v="Mixed"/>
  </r>
  <r>
    <d v="2022-11-28T00:00:00"/>
    <x v="5"/>
    <x v="0"/>
    <n v="170"/>
    <m/>
    <n v="204"/>
    <m/>
    <s v="2022-11"/>
    <s v="Mixed"/>
  </r>
  <r>
    <d v="2022-11-28T00:00:00"/>
    <x v="5"/>
    <x v="0"/>
    <n v="246"/>
    <m/>
    <n v="204"/>
    <m/>
    <s v="2022-11"/>
    <s v="Mixed"/>
  </r>
  <r>
    <d v="2022-11-29T00:00:00"/>
    <x v="5"/>
    <x v="0"/>
    <n v="109"/>
    <m/>
    <n v="204"/>
    <m/>
    <s v="2022-11"/>
    <s v="Mixed"/>
  </r>
  <r>
    <d v="2022-12-02T00:00:00"/>
    <x v="5"/>
    <x v="0"/>
    <n v="478"/>
    <m/>
    <n v="204"/>
    <m/>
    <s v="2022-12"/>
    <s v="Mixed"/>
  </r>
  <r>
    <d v="2022-12-02T00:00:00"/>
    <x v="5"/>
    <x v="0"/>
    <n v="275"/>
    <m/>
    <n v="204"/>
    <m/>
    <s v="2022-12"/>
    <s v="Mixed"/>
  </r>
  <r>
    <d v="2022-12-04T00:00:00"/>
    <x v="5"/>
    <x v="0"/>
    <n v="155"/>
    <m/>
    <n v="204"/>
    <m/>
    <s v="2022-12"/>
    <s v="Mixed"/>
  </r>
  <r>
    <d v="2022-12-06T00:00:00"/>
    <x v="5"/>
    <x v="0"/>
    <n v="30"/>
    <m/>
    <n v="204"/>
    <m/>
    <s v="2022-12"/>
    <s v="Mixed"/>
  </r>
  <r>
    <d v="2022-12-09T00:00:00"/>
    <x v="5"/>
    <x v="0"/>
    <n v="50"/>
    <n v="3942"/>
    <n v="204"/>
    <s v="Book: Tot 3942"/>
    <s v="2022-12"/>
    <s v="Mixed"/>
  </r>
  <r>
    <m/>
    <x v="5"/>
    <x v="1"/>
    <n v="3942"/>
    <n v="0"/>
    <n v="204"/>
    <s v="Book: paid 3942 (date looks like 31/12)"/>
    <s v=""/>
    <s v="Mixed"/>
  </r>
  <r>
    <d v="2022-12-11T00:00:00"/>
    <x v="5"/>
    <x v="0"/>
    <n v="861"/>
    <m/>
    <n v="204"/>
    <m/>
    <s v="2022-12"/>
    <s v="Mixed"/>
  </r>
  <r>
    <d v="2022-12-11T00:00:00"/>
    <x v="5"/>
    <x v="0"/>
    <n v="10"/>
    <m/>
    <n v="204"/>
    <m/>
    <s v="2022-12"/>
    <s v="Mixed"/>
  </r>
  <r>
    <d v="2022-12-14T00:00:00"/>
    <x v="5"/>
    <x v="0"/>
    <n v="139"/>
    <m/>
    <n v="204"/>
    <m/>
    <s v="2022-12"/>
    <s v="Mixed"/>
  </r>
  <r>
    <d v="2022-12-17T00:00:00"/>
    <x v="5"/>
    <x v="0"/>
    <n v="1956"/>
    <m/>
    <n v="204"/>
    <m/>
    <s v="2022-12"/>
    <s v="Mixed"/>
  </r>
  <r>
    <d v="2022-12-18T00:00:00"/>
    <x v="5"/>
    <x v="0"/>
    <n v="70"/>
    <m/>
    <n v="204"/>
    <m/>
    <s v="2022-12"/>
    <s v="Mixed"/>
  </r>
  <r>
    <d v="2022-12-21T00:00:00"/>
    <x v="5"/>
    <x v="0"/>
    <n v="49"/>
    <m/>
    <n v="204"/>
    <m/>
    <s v="2022-12"/>
    <s v="Mixed"/>
  </r>
  <r>
    <d v="2022-12-23T00:00:00"/>
    <x v="5"/>
    <x v="0"/>
    <n v="143"/>
    <m/>
    <n v="204"/>
    <m/>
    <s v="2022-12"/>
    <s v="Mixed"/>
  </r>
  <r>
    <d v="2022-12-24T00:00:00"/>
    <x v="5"/>
    <x v="0"/>
    <n v="385"/>
    <m/>
    <n v="204"/>
    <m/>
    <s v="2022-12"/>
    <s v="Mixed"/>
  </r>
  <r>
    <d v="2022-12-25T00:00:00"/>
    <x v="5"/>
    <x v="0"/>
    <n v="20"/>
    <m/>
    <n v="204"/>
    <m/>
    <s v="2022-12"/>
    <s v="Mixed"/>
  </r>
  <r>
    <d v="2022-12-26T00:00:00"/>
    <x v="5"/>
    <x v="0"/>
    <n v="495"/>
    <m/>
    <n v="204"/>
    <m/>
    <s v="2022-12"/>
    <s v="Mixed"/>
  </r>
  <r>
    <d v="2022-12-31T00:00:00"/>
    <x v="5"/>
    <x v="0"/>
    <n v="292"/>
    <m/>
    <n v="204"/>
    <m/>
    <s v="2022-12"/>
    <s v="Mixed"/>
  </r>
  <r>
    <d v="2023-01-01T00:00:00"/>
    <x v="5"/>
    <x v="0"/>
    <n v="120"/>
    <m/>
    <n v="204"/>
    <m/>
    <s v="2023-01"/>
    <s v="Mixed"/>
  </r>
  <r>
    <d v="2023-01-04T00:00:00"/>
    <x v="5"/>
    <x v="0"/>
    <n v="113"/>
    <m/>
    <n v="204"/>
    <m/>
    <s v="2023-01"/>
    <s v="Mixed"/>
  </r>
  <r>
    <d v="2023-01-08T00:00:00"/>
    <x v="5"/>
    <x v="0"/>
    <n v="119"/>
    <m/>
    <n v="204"/>
    <m/>
    <s v="2023-01"/>
    <s v="Mixed"/>
  </r>
  <r>
    <d v="2023-01-09T00:00:00"/>
    <x v="5"/>
    <x v="0"/>
    <n v="88"/>
    <n v="4860"/>
    <n v="204"/>
    <s v="Lines add to 4860 = the Total 4860 that opens CUST_006's 2023 page"/>
    <s v="2023-01"/>
    <s v="Mixed"/>
  </r>
  <r>
    <m/>
    <x v="5"/>
    <x v="1"/>
    <n v="4860"/>
    <n v="0"/>
    <n v="204"/>
    <s v="Book (page 316): Total 4860 paid"/>
    <s v=""/>
    <s v="Mixed"/>
  </r>
  <r>
    <d v="2022-09-06T00:00:00"/>
    <x v="6"/>
    <x v="3"/>
    <n v="14329"/>
    <n v="14329"/>
    <n v="206"/>
    <s v="Opening Total 14329 (account 96)"/>
    <s v="2022-09"/>
    <s v="Pays full"/>
  </r>
  <r>
    <d v="2022-09-06T00:00:00"/>
    <x v="6"/>
    <x v="0"/>
    <n v="506"/>
    <m/>
    <n v="206"/>
    <m/>
    <s v="2022-09"/>
    <s v="Pays full"/>
  </r>
  <r>
    <d v="2022-09-06T00:00:00"/>
    <x v="6"/>
    <x v="0"/>
    <n v="200"/>
    <m/>
    <n v="206"/>
    <m/>
    <s v="2022-09"/>
    <s v="Pays full"/>
  </r>
  <r>
    <d v="2022-09-07T00:00:00"/>
    <x v="6"/>
    <x v="0"/>
    <n v="195"/>
    <m/>
    <n v="206"/>
    <m/>
    <s v="2022-09"/>
    <s v="Pays full"/>
  </r>
  <r>
    <d v="2022-09-09T00:00:00"/>
    <x v="6"/>
    <x v="0"/>
    <n v="136"/>
    <m/>
    <n v="206"/>
    <m/>
    <s v="2022-09"/>
    <s v="Pays full"/>
  </r>
  <r>
    <d v="2022-09-10T00:00:00"/>
    <x v="6"/>
    <x v="0"/>
    <n v="255"/>
    <n v="15621"/>
    <n v="206"/>
    <s v="Book: TL 15621"/>
    <s v="2022-09"/>
    <s v="Pays full"/>
  </r>
  <r>
    <d v="2022-09-12T00:00:00"/>
    <x v="6"/>
    <x v="1"/>
    <n v="3000"/>
    <n v="12621"/>
    <n v="206"/>
    <s v="Book: paid 3000 (date looks like 12/9)"/>
    <s v="2022-09"/>
    <s v="Pays full"/>
  </r>
  <r>
    <d v="2022-09-13T00:00:00"/>
    <x v="6"/>
    <x v="1"/>
    <n v="10000"/>
    <n v="2621"/>
    <n v="206"/>
    <s v="Book: paid 10000 (date looks like 13/9), BAL 2621"/>
    <s v="2022-09"/>
    <s v="Pays full"/>
  </r>
  <r>
    <m/>
    <x v="6"/>
    <x v="1"/>
    <n v="2000"/>
    <n v="621"/>
    <n v="206"/>
    <s v="Book: paid 2000 (date not clear), BAL 621"/>
    <s v=""/>
    <s v="Pays full"/>
  </r>
  <r>
    <m/>
    <x v="6"/>
    <x v="2"/>
    <n v="-348"/>
    <n v="273"/>
    <n v="206"/>
    <s v="CHECK: book writes BAL 621 then BAL 273 below it. 348 less, not explained"/>
    <s v=""/>
    <s v="Pays full"/>
  </r>
  <r>
    <d v="2022-09-13T00:00:00"/>
    <x v="6"/>
    <x v="0"/>
    <n v="1900"/>
    <m/>
    <n v="206"/>
    <s v="GAS"/>
    <s v="2022-09"/>
    <s v="Pays full"/>
  </r>
  <r>
    <d v="2022-09-12T00:00:00"/>
    <x v="6"/>
    <x v="0"/>
    <n v="465"/>
    <m/>
    <n v="206"/>
    <m/>
    <s v="2022-09"/>
    <s v="Pays full"/>
  </r>
  <r>
    <d v="2022-09-15T00:00:00"/>
    <x v="6"/>
    <x v="0"/>
    <n v="1904"/>
    <m/>
    <n v="206"/>
    <s v="Read as 1904 (looks like 1909): makes Tot 11595 exact"/>
    <s v="2022-09"/>
    <s v="Pays full"/>
  </r>
  <r>
    <d v="2022-09-16T00:00:00"/>
    <x v="6"/>
    <x v="0"/>
    <n v="75"/>
    <m/>
    <n v="206"/>
    <m/>
    <s v="2022-09"/>
    <s v="Pays full"/>
  </r>
  <r>
    <d v="2022-09-19T00:00:00"/>
    <x v="6"/>
    <x v="0"/>
    <n v="683"/>
    <m/>
    <n v="206"/>
    <m/>
    <s v="2022-09"/>
    <s v="Pays full"/>
  </r>
  <r>
    <d v="2022-09-20T00:00:00"/>
    <x v="6"/>
    <x v="0"/>
    <n v="219"/>
    <m/>
    <n v="206"/>
    <m/>
    <s v="2022-09"/>
    <s v="Pays full"/>
  </r>
  <r>
    <d v="2022-09-21T00:00:00"/>
    <x v="6"/>
    <x v="0"/>
    <n v="56"/>
    <m/>
    <n v="206"/>
    <m/>
    <s v="2022-09"/>
    <s v="Pays full"/>
  </r>
  <r>
    <d v="2022-09-21T00:00:00"/>
    <x v="6"/>
    <x v="0"/>
    <n v="1500"/>
    <m/>
    <n v="206"/>
    <s v="Rice"/>
    <s v="2022-09"/>
    <s v="Pays full"/>
  </r>
  <r>
    <d v="2022-09-23T00:00:00"/>
    <x v="6"/>
    <x v="0"/>
    <n v="251"/>
    <m/>
    <n v="206"/>
    <m/>
    <s v="2022-09"/>
    <s v="Pays full"/>
  </r>
  <r>
    <d v="2022-09-25T00:00:00"/>
    <x v="6"/>
    <x v="0"/>
    <n v="466"/>
    <m/>
    <n v="206"/>
    <m/>
    <s v="2022-09"/>
    <s v="Pays full"/>
  </r>
  <r>
    <d v="2022-09-26T00:00:00"/>
    <x v="6"/>
    <x v="0"/>
    <n v="144"/>
    <m/>
    <n v="206"/>
    <m/>
    <s v="2022-09"/>
    <s v="Pays full"/>
  </r>
  <r>
    <d v="2022-09-29T00:00:00"/>
    <x v="6"/>
    <x v="0"/>
    <n v="246"/>
    <m/>
    <n v="206"/>
    <m/>
    <s v="2022-09"/>
    <s v="Pays full"/>
  </r>
  <r>
    <d v="2022-09-29T00:00:00"/>
    <x v="6"/>
    <x v="0"/>
    <n v="275"/>
    <m/>
    <n v="206"/>
    <m/>
    <s v="2022-09"/>
    <s v="Pays full"/>
  </r>
  <r>
    <d v="2022-10-03T00:00:00"/>
    <x v="6"/>
    <x v="0"/>
    <n v="451"/>
    <m/>
    <n v="206"/>
    <m/>
    <s v="2022-10"/>
    <s v="Pays full"/>
  </r>
  <r>
    <d v="2022-10-05T00:00:00"/>
    <x v="6"/>
    <x v="0"/>
    <n v="1500"/>
    <m/>
    <n v="206"/>
    <s v="Rice (chawal)"/>
    <s v="2022-10"/>
    <s v="Pays full"/>
  </r>
  <r>
    <d v="2022-10-05T00:00:00"/>
    <x v="6"/>
    <x v="0"/>
    <n v="148"/>
    <m/>
    <n v="206"/>
    <m/>
    <s v="2022-10"/>
    <s v="Pays full"/>
  </r>
  <r>
    <d v="2022-10-07T00:00:00"/>
    <x v="6"/>
    <x v="0"/>
    <n v="58"/>
    <m/>
    <n v="206"/>
    <m/>
    <s v="2022-10"/>
    <s v="Pays full"/>
  </r>
  <r>
    <d v="2022-10-08T00:00:00"/>
    <x v="6"/>
    <x v="0"/>
    <n v="183"/>
    <m/>
    <n v="206"/>
    <m/>
    <s v="2022-10"/>
    <s v="Pays full"/>
  </r>
  <r>
    <d v="2022-10-08T00:00:00"/>
    <x v="6"/>
    <x v="0"/>
    <n v="220"/>
    <m/>
    <n v="206"/>
    <m/>
    <s v="2022-10"/>
    <s v="Pays full"/>
  </r>
  <r>
    <d v="2022-10-10T00:00:00"/>
    <x v="6"/>
    <x v="0"/>
    <n v="162"/>
    <m/>
    <n v="206"/>
    <m/>
    <s v="2022-10"/>
    <s v="Pays full"/>
  </r>
  <r>
    <d v="2022-10-10T00:00:00"/>
    <x v="6"/>
    <x v="0"/>
    <n v="80"/>
    <m/>
    <n v="206"/>
    <m/>
    <s v="2022-10"/>
    <s v="Pays full"/>
  </r>
  <r>
    <d v="2022-10-11T00:00:00"/>
    <x v="6"/>
    <x v="0"/>
    <n v="336"/>
    <n v="11595"/>
    <n v="206"/>
    <s v="Book: Tot 11595"/>
    <s v="2022-10"/>
    <s v="Pays full"/>
  </r>
  <r>
    <d v="2022-10-14T00:00:00"/>
    <x v="6"/>
    <x v="1"/>
    <n v="11595"/>
    <n v="0"/>
    <n v="206"/>
    <s v="Book: paid 11595 (date looks like 14/10)"/>
    <s v="2022-10"/>
    <s v="Pays full"/>
  </r>
  <r>
    <d v="2022-10-12T00:00:00"/>
    <x v="6"/>
    <x v="0"/>
    <n v="130"/>
    <m/>
    <n v="206"/>
    <s v="12/10 621 above this = old BAL 621 written again; not counted in Total 9788"/>
    <s v="2022-10"/>
    <s v="Pays full"/>
  </r>
  <r>
    <d v="2022-10-12T00:00:00"/>
    <x v="6"/>
    <x v="0"/>
    <n v="196"/>
    <m/>
    <n v="206"/>
    <m/>
    <s v="2022-10"/>
    <s v="Pays full"/>
  </r>
  <r>
    <d v="2022-10-13T00:00:00"/>
    <x v="6"/>
    <x v="0"/>
    <n v="394"/>
    <m/>
    <n v="206"/>
    <m/>
    <s v="2022-10"/>
    <s v="Pays full"/>
  </r>
  <r>
    <d v="2022-10-14T00:00:00"/>
    <x v="6"/>
    <x v="0"/>
    <n v="271"/>
    <m/>
    <n v="206"/>
    <m/>
    <s v="2022-10"/>
    <s v="Pays full"/>
  </r>
  <r>
    <d v="2022-10-15T00:00:00"/>
    <x v="6"/>
    <x v="0"/>
    <n v="181"/>
    <m/>
    <n v="206"/>
    <m/>
    <s v="2022-10"/>
    <s v="Pays full"/>
  </r>
  <r>
    <d v="2022-10-18T00:00:00"/>
    <x v="6"/>
    <x v="0"/>
    <n v="705"/>
    <m/>
    <n v="206"/>
    <m/>
    <s v="2022-10"/>
    <s v="Pays full"/>
  </r>
  <r>
    <d v="2022-10-18T00:00:00"/>
    <x v="6"/>
    <x v="0"/>
    <n v="150"/>
    <m/>
    <n v="206"/>
    <m/>
    <s v="2022-10"/>
    <s v="Pays full"/>
  </r>
  <r>
    <d v="2022-10-18T00:00:00"/>
    <x v="6"/>
    <x v="0"/>
    <n v="1580"/>
    <m/>
    <n v="206"/>
    <m/>
    <s v="2022-10"/>
    <s v="Pays full"/>
  </r>
  <r>
    <d v="2022-10-20T00:00:00"/>
    <x v="6"/>
    <x v="0"/>
    <n v="140"/>
    <m/>
    <n v="206"/>
    <m/>
    <s v="2022-10"/>
    <s v="Pays full"/>
  </r>
  <r>
    <d v="2022-10-21T00:00:00"/>
    <x v="6"/>
    <x v="0"/>
    <n v="80"/>
    <m/>
    <n v="206"/>
    <s v="Water"/>
    <s v="2022-10"/>
    <s v="Pays full"/>
  </r>
  <r>
    <d v="2022-10-21T00:00:00"/>
    <x v="6"/>
    <x v="0"/>
    <n v="20"/>
    <m/>
    <n v="206"/>
    <m/>
    <s v="2022-10"/>
    <s v="Pays full"/>
  </r>
  <r>
    <d v="2022-10-23T00:00:00"/>
    <x v="6"/>
    <x v="0"/>
    <n v="40"/>
    <m/>
    <n v="206"/>
    <m/>
    <s v="2022-10"/>
    <s v="Pays full"/>
  </r>
  <r>
    <d v="2022-10-24T00:00:00"/>
    <x v="6"/>
    <x v="0"/>
    <n v="80"/>
    <m/>
    <n v="206"/>
    <m/>
    <s v="2022-10"/>
    <s v="Pays full"/>
  </r>
  <r>
    <d v="2022-10-26T00:00:00"/>
    <x v="6"/>
    <x v="0"/>
    <n v="89"/>
    <m/>
    <n v="206"/>
    <m/>
    <s v="2022-10"/>
    <s v="Pays full"/>
  </r>
  <r>
    <d v="2022-10-27T00:00:00"/>
    <x v="6"/>
    <x v="0"/>
    <n v="130"/>
    <m/>
    <n v="206"/>
    <m/>
    <s v="2022-10"/>
    <s v="Pays full"/>
  </r>
  <r>
    <d v="2022-10-27T00:00:00"/>
    <x v="6"/>
    <x v="0"/>
    <n v="385"/>
    <m/>
    <n v="206"/>
    <m/>
    <s v="2022-10"/>
    <s v="Pays full"/>
  </r>
  <r>
    <d v="2022-10-28T00:00:00"/>
    <x v="6"/>
    <x v="0"/>
    <n v="270"/>
    <m/>
    <n v="206"/>
    <m/>
    <s v="2022-10"/>
    <s v="Pays full"/>
  </r>
  <r>
    <d v="2022-10-29T00:00:00"/>
    <x v="6"/>
    <x v="0"/>
    <n v="180"/>
    <m/>
    <n v="206"/>
    <m/>
    <s v="2022-10"/>
    <s v="Pays full"/>
  </r>
  <r>
    <d v="2022-10-29T00:00:00"/>
    <x v="6"/>
    <x v="0"/>
    <n v="80"/>
    <m/>
    <n v="206"/>
    <m/>
    <s v="2022-10"/>
    <s v="Pays full"/>
  </r>
  <r>
    <d v="2022-10-30T00:00:00"/>
    <x v="6"/>
    <x v="0"/>
    <n v="1900"/>
    <m/>
    <n v="206"/>
    <s v="GAS"/>
    <s v="2022-10"/>
    <s v="Pays full"/>
  </r>
  <r>
    <d v="2022-10-30T00:00:00"/>
    <x v="6"/>
    <x v="0"/>
    <n v="243"/>
    <m/>
    <n v="206"/>
    <m/>
    <s v="2022-10"/>
    <s v="Pays full"/>
  </r>
  <r>
    <d v="2022-10-31T00:00:00"/>
    <x v="6"/>
    <x v="0"/>
    <n v="1780"/>
    <m/>
    <n v="206"/>
    <m/>
    <s v="2022-10"/>
    <s v="Pays full"/>
  </r>
  <r>
    <d v="2022-11-02T00:00:00"/>
    <x v="6"/>
    <x v="0"/>
    <n v="80"/>
    <m/>
    <n v="206"/>
    <s v="Water"/>
    <s v="2022-11"/>
    <s v="Pays full"/>
  </r>
  <r>
    <d v="2022-11-03T00:00:00"/>
    <x v="6"/>
    <x v="0"/>
    <n v="340"/>
    <m/>
    <n v="206"/>
    <m/>
    <s v="2022-11"/>
    <s v="Pays full"/>
  </r>
  <r>
    <d v="2022-11-06T00:00:00"/>
    <x v="6"/>
    <x v="0"/>
    <n v="156"/>
    <m/>
    <n v="206"/>
    <m/>
    <s v="2022-11"/>
    <s v="Pays full"/>
  </r>
  <r>
    <d v="2022-11-07T00:00:00"/>
    <x v="6"/>
    <x v="0"/>
    <n v="168"/>
    <m/>
    <n v="206"/>
    <m/>
    <s v="2022-11"/>
    <s v="Pays full"/>
  </r>
  <r>
    <d v="2022-11-07T00:00:00"/>
    <x v="6"/>
    <x v="2"/>
    <n v="20"/>
    <n v="9788"/>
    <n v="206"/>
    <s v="Book Total 9788 is 20 more than the lines"/>
    <s v="2022-11"/>
    <s v="Pays full"/>
  </r>
  <r>
    <d v="2022-11-11T00:00:00"/>
    <x v="6"/>
    <x v="1"/>
    <n v="9788"/>
    <n v="0"/>
    <n v="206"/>
    <s v="Book: paid 9788 on 11/11"/>
    <s v="2022-11"/>
    <s v="Pays full"/>
  </r>
  <r>
    <d v="2022-11-10T00:00:00"/>
    <x v="6"/>
    <x v="0"/>
    <n v="156"/>
    <m/>
    <n v="206"/>
    <m/>
    <s v="2022-11"/>
    <s v="Pays full"/>
  </r>
  <r>
    <d v="2022-11-11T00:00:00"/>
    <x v="6"/>
    <x v="0"/>
    <n v="730"/>
    <m/>
    <n v="206"/>
    <m/>
    <s v="2022-11"/>
    <s v="Pays full"/>
  </r>
  <r>
    <d v="2022-11-13T00:00:00"/>
    <x v="6"/>
    <x v="0"/>
    <n v="156"/>
    <m/>
    <n v="206"/>
    <m/>
    <s v="2022-11"/>
    <s v="Pays full"/>
  </r>
  <r>
    <d v="2022-11-14T00:00:00"/>
    <x v="6"/>
    <x v="0"/>
    <n v="556"/>
    <m/>
    <n v="206"/>
    <m/>
    <s v="2022-11"/>
    <s v="Pays full"/>
  </r>
  <r>
    <d v="2022-11-15T00:00:00"/>
    <x v="6"/>
    <x v="0"/>
    <n v="1576"/>
    <m/>
    <n v="206"/>
    <m/>
    <s v="2022-11"/>
    <s v="Pays full"/>
  </r>
  <r>
    <d v="2022-11-15T00:00:00"/>
    <x v="6"/>
    <x v="0"/>
    <n v="50"/>
    <m/>
    <n v="206"/>
    <m/>
    <s v="2022-11"/>
    <s v="Pays full"/>
  </r>
  <r>
    <d v="2022-11-16T00:00:00"/>
    <x v="6"/>
    <x v="0"/>
    <n v="80"/>
    <m/>
    <n v="206"/>
    <s v="Water"/>
    <s v="2022-11"/>
    <s v="Pays full"/>
  </r>
  <r>
    <d v="2022-11-19T00:00:00"/>
    <x v="6"/>
    <x v="0"/>
    <n v="240"/>
    <m/>
    <n v="206"/>
    <s v="Dal"/>
    <s v="2022-11"/>
    <s v="Pays full"/>
  </r>
  <r>
    <d v="2022-11-20T00:00:00"/>
    <x v="6"/>
    <x v="0"/>
    <n v="80"/>
    <m/>
    <n v="206"/>
    <s v="Water"/>
    <s v="2022-11"/>
    <s v="Pays full"/>
  </r>
  <r>
    <d v="2022-11-23T00:00:00"/>
    <x v="6"/>
    <x v="0"/>
    <n v="265"/>
    <m/>
    <n v="206"/>
    <s v="Dal"/>
    <s v="2022-11"/>
    <s v="Pays full"/>
  </r>
  <r>
    <d v="2022-11-24T00:00:00"/>
    <x v="6"/>
    <x v="0"/>
    <n v="126"/>
    <m/>
    <n v="206"/>
    <m/>
    <s v="2022-11"/>
    <s v="Pays full"/>
  </r>
  <r>
    <d v="2022-11-25T00:00:00"/>
    <x v="6"/>
    <x v="0"/>
    <n v="163"/>
    <m/>
    <n v="206"/>
    <m/>
    <s v="2022-11"/>
    <s v="Pays full"/>
  </r>
  <r>
    <d v="2022-11-26T00:00:00"/>
    <x v="6"/>
    <x v="0"/>
    <n v="600"/>
    <m/>
    <n v="206"/>
    <m/>
    <s v="2022-11"/>
    <s v="Pays full"/>
  </r>
  <r>
    <d v="2022-11-27T00:00:00"/>
    <x v="6"/>
    <x v="0"/>
    <n v="385"/>
    <m/>
    <n v="206"/>
    <m/>
    <s v="2022-11"/>
    <s v="Pays full"/>
  </r>
  <r>
    <d v="2022-11-28T00:00:00"/>
    <x v="6"/>
    <x v="0"/>
    <n v="189"/>
    <m/>
    <n v="206"/>
    <m/>
    <s v="2022-11"/>
    <s v="Pays full"/>
  </r>
  <r>
    <d v="2022-11-28T00:00:00"/>
    <x v="6"/>
    <x v="0"/>
    <n v="1590"/>
    <m/>
    <n v="206"/>
    <m/>
    <s v="2022-11"/>
    <s v="Pays full"/>
  </r>
  <r>
    <d v="2022-11-29T00:00:00"/>
    <x v="6"/>
    <x v="0"/>
    <n v="39"/>
    <m/>
    <n v="206"/>
    <m/>
    <s v="2022-11"/>
    <s v="Pays full"/>
  </r>
  <r>
    <d v="2022-11-30T00:00:00"/>
    <x v="6"/>
    <x v="0"/>
    <n v="537"/>
    <m/>
    <n v="206"/>
    <s v="Written '39 537', read as 537"/>
    <s v="2022-11"/>
    <s v="Pays full"/>
  </r>
  <r>
    <d v="2022-12-03T00:00:00"/>
    <x v="6"/>
    <x v="0"/>
    <n v="80"/>
    <m/>
    <n v="206"/>
    <m/>
    <s v="2022-12"/>
    <s v="Pays full"/>
  </r>
  <r>
    <d v="2022-12-04T00:00:00"/>
    <x v="6"/>
    <x v="0"/>
    <n v="39"/>
    <m/>
    <n v="206"/>
    <s v="Date not clear"/>
    <s v="2022-12"/>
    <s v="Pays full"/>
  </r>
  <r>
    <d v="2022-12-05T00:00:00"/>
    <x v="6"/>
    <x v="0"/>
    <n v="204"/>
    <m/>
    <n v="206"/>
    <m/>
    <s v="2022-12"/>
    <s v="Pays full"/>
  </r>
  <r>
    <d v="2022-12-06T00:00:00"/>
    <x v="6"/>
    <x v="0"/>
    <n v="200"/>
    <m/>
    <n v="206"/>
    <m/>
    <s v="2022-12"/>
    <s v="Pays full"/>
  </r>
  <r>
    <d v="2022-12-06T00:00:00"/>
    <x v="6"/>
    <x v="0"/>
    <n v="67"/>
    <m/>
    <n v="206"/>
    <m/>
    <s v="2022-12"/>
    <s v="Pays full"/>
  </r>
  <r>
    <d v="2022-12-06T00:00:00"/>
    <x v="6"/>
    <x v="0"/>
    <n v="255"/>
    <m/>
    <n v="206"/>
    <m/>
    <s v="2022-12"/>
    <s v="Pays full"/>
  </r>
  <r>
    <d v="2022-12-08T00:00:00"/>
    <x v="6"/>
    <x v="0"/>
    <n v="62"/>
    <m/>
    <n v="206"/>
    <m/>
    <s v="2022-12"/>
    <s v="Pays full"/>
  </r>
  <r>
    <d v="2022-12-09T00:00:00"/>
    <x v="6"/>
    <x v="0"/>
    <n v="79"/>
    <m/>
    <n v="206"/>
    <m/>
    <s v="2022-12"/>
    <s v="Pays full"/>
  </r>
  <r>
    <d v="2022-12-09T00:00:00"/>
    <x v="6"/>
    <x v="0"/>
    <n v="80"/>
    <m/>
    <n v="206"/>
    <m/>
    <s v="2022-12"/>
    <s v="Pays full"/>
  </r>
  <r>
    <d v="2022-12-10T00:00:00"/>
    <x v="6"/>
    <x v="0"/>
    <n v="62"/>
    <m/>
    <n v="206"/>
    <s v="Water"/>
    <s v="2022-12"/>
    <s v="Pays full"/>
  </r>
  <r>
    <d v="2022-12-11T00:00:00"/>
    <x v="6"/>
    <x v="0"/>
    <n v="311"/>
    <m/>
    <n v="206"/>
    <m/>
    <s v="2022-12"/>
    <s v="Pays full"/>
  </r>
  <r>
    <d v="2022-12-11T00:00:00"/>
    <x v="6"/>
    <x v="2"/>
    <n v="56"/>
    <n v="9013"/>
    <n v="206"/>
    <s v="Book Tot 9013 is 56 more than the lines"/>
    <s v="2022-12"/>
    <s v="Pays full"/>
  </r>
  <r>
    <d v="2022-12-12T00:00:00"/>
    <x v="6"/>
    <x v="1"/>
    <n v="9013"/>
    <n v="0"/>
    <n v="206"/>
    <s v="Book: paid 9013 on 12/12. Lines after this are cut off at the page edge"/>
    <s v="2022-12"/>
    <s v="Pays full"/>
  </r>
  <r>
    <d v="2022-12-12T00:00:00"/>
    <x v="6"/>
    <x v="0"/>
    <n v="1540"/>
    <m/>
    <n v="207"/>
    <s v="Page 207 (continues page 206)"/>
    <s v="2022-12"/>
    <s v="Pays full"/>
  </r>
  <r>
    <d v="2022-12-13T00:00:00"/>
    <x v="6"/>
    <x v="0"/>
    <n v="390"/>
    <m/>
    <n v="207"/>
    <m/>
    <s v="2022-12"/>
    <s v="Pays full"/>
  </r>
  <r>
    <d v="2022-12-14T00:00:00"/>
    <x v="6"/>
    <x v="0"/>
    <n v="434"/>
    <m/>
    <n v="207"/>
    <m/>
    <s v="2022-12"/>
    <s v="Pays full"/>
  </r>
  <r>
    <d v="2022-12-15T00:00:00"/>
    <x v="6"/>
    <x v="0"/>
    <n v="74"/>
    <m/>
    <n v="207"/>
    <m/>
    <s v="2022-12"/>
    <s v="Pays full"/>
  </r>
  <r>
    <d v="2022-12-16T00:00:00"/>
    <x v="6"/>
    <x v="0"/>
    <n v="1900"/>
    <m/>
    <n v="207"/>
    <m/>
    <s v="2022-12"/>
    <s v="Pays full"/>
  </r>
  <r>
    <d v="2022-12-17T00:00:00"/>
    <x v="6"/>
    <x v="0"/>
    <n v="405"/>
    <m/>
    <n v="207"/>
    <m/>
    <s v="2022-12"/>
    <s v="Pays full"/>
  </r>
  <r>
    <d v="2022-12-18T00:00:00"/>
    <x v="6"/>
    <x v="0"/>
    <n v="54"/>
    <m/>
    <n v="207"/>
    <m/>
    <s v="2022-12"/>
    <s v="Pays full"/>
  </r>
  <r>
    <d v="2022-12-19T00:00:00"/>
    <x v="6"/>
    <x v="0"/>
    <n v="170"/>
    <m/>
    <n v="207"/>
    <m/>
    <s v="2022-12"/>
    <s v="Pays full"/>
  </r>
  <r>
    <d v="2022-12-19T00:00:00"/>
    <x v="6"/>
    <x v="0"/>
    <n v="80"/>
    <m/>
    <n v="207"/>
    <m/>
    <s v="2022-12"/>
    <s v="Pays full"/>
  </r>
  <r>
    <d v="2022-12-20T00:00:00"/>
    <x v="6"/>
    <x v="0"/>
    <n v="150"/>
    <m/>
    <n v="207"/>
    <m/>
    <s v="2022-12"/>
    <s v="Pays full"/>
  </r>
  <r>
    <d v="2022-12-21T00:00:00"/>
    <x v="6"/>
    <x v="0"/>
    <n v="113"/>
    <m/>
    <n v="207"/>
    <m/>
    <s v="2022-12"/>
    <s v="Pays full"/>
  </r>
  <r>
    <d v="2022-12-22T00:00:00"/>
    <x v="6"/>
    <x v="0"/>
    <n v="284"/>
    <m/>
    <n v="207"/>
    <m/>
    <s v="2022-12"/>
    <s v="Pays full"/>
  </r>
  <r>
    <d v="2022-12-23T00:00:00"/>
    <x v="6"/>
    <x v="0"/>
    <n v="150"/>
    <m/>
    <n v="207"/>
    <m/>
    <s v="2022-12"/>
    <s v="Pays full"/>
  </r>
  <r>
    <d v="2022-12-24T00:00:00"/>
    <x v="6"/>
    <x v="0"/>
    <n v="240"/>
    <m/>
    <n v="207"/>
    <m/>
    <s v="2022-12"/>
    <s v="Pays full"/>
  </r>
  <r>
    <d v="2022-12-25T00:00:00"/>
    <x v="6"/>
    <x v="0"/>
    <n v="80"/>
    <m/>
    <n v="207"/>
    <s v="Water"/>
    <s v="2022-12"/>
    <s v="Pays full"/>
  </r>
  <r>
    <d v="2022-12-26T00:00:00"/>
    <x v="6"/>
    <x v="0"/>
    <n v="1540"/>
    <m/>
    <n v="207"/>
    <s v="Rice"/>
    <s v="2022-12"/>
    <s v="Pays full"/>
  </r>
  <r>
    <d v="2022-12-27T00:00:00"/>
    <x v="6"/>
    <x v="0"/>
    <n v="55"/>
    <m/>
    <n v="207"/>
    <m/>
    <s v="2022-12"/>
    <s v="Pays full"/>
  </r>
  <r>
    <d v="2022-12-28T00:00:00"/>
    <x v="6"/>
    <x v="0"/>
    <n v="118"/>
    <m/>
    <n v="207"/>
    <m/>
    <s v="2022-12"/>
    <s v="Pays full"/>
  </r>
  <r>
    <d v="2022-12-28T00:00:00"/>
    <x v="6"/>
    <x v="0"/>
    <n v="1307"/>
    <n v="9084"/>
    <n v="207"/>
    <s v="Book: Tot 9084. Payment not on this page"/>
    <s v="2022-12"/>
    <s v="Pays full"/>
  </r>
  <r>
    <d v="2022-09-09T00:00:00"/>
    <x v="7"/>
    <x v="3"/>
    <n v="259"/>
    <n v="259"/>
    <n v="205"/>
    <s v="Opening Total 259 (small account, no account number; page 205 column 3)"/>
    <s v="2022-09"/>
    <s v="Carries forward"/>
  </r>
  <r>
    <d v="2022-09-09T00:00:00"/>
    <x v="7"/>
    <x v="0"/>
    <n v="15"/>
    <m/>
    <n v="205"/>
    <m/>
    <s v="2022-09"/>
    <s v="Carries forward"/>
  </r>
  <r>
    <d v="2022-09-13T00:00:00"/>
    <x v="7"/>
    <x v="0"/>
    <n v="10"/>
    <m/>
    <n v="205"/>
    <m/>
    <s v="2022-09"/>
    <s v="Carries forward"/>
  </r>
  <r>
    <d v="2022-09-14T00:00:00"/>
    <x v="7"/>
    <x v="0"/>
    <n v="20"/>
    <n v="304"/>
    <n v="205"/>
    <s v="Book: TL 304"/>
    <s v="2022-09"/>
    <s v="Carries forward"/>
  </r>
  <r>
    <d v="2022-09-15T00:00:00"/>
    <x v="7"/>
    <x v="0"/>
    <n v="10"/>
    <m/>
    <n v="205"/>
    <m/>
    <s v="2022-09"/>
    <s v="Carries forward"/>
  </r>
  <r>
    <d v="2022-09-16T00:00:00"/>
    <x v="7"/>
    <x v="0"/>
    <n v="10"/>
    <m/>
    <n v="205"/>
    <m/>
    <s v="2022-09"/>
    <s v="Carries forward"/>
  </r>
  <r>
    <d v="2022-09-17T00:00:00"/>
    <x v="7"/>
    <x v="0"/>
    <n v="10"/>
    <m/>
    <n v="205"/>
    <m/>
    <s v="2022-09"/>
    <s v="Carries forward"/>
  </r>
  <r>
    <d v="2022-09-18T00:00:00"/>
    <x v="7"/>
    <x v="0"/>
    <n v="85"/>
    <m/>
    <n v="205"/>
    <m/>
    <s v="2022-09"/>
    <s v="Carries forward"/>
  </r>
  <r>
    <d v="2022-09-20T00:00:00"/>
    <x v="7"/>
    <x v="0"/>
    <n v="47"/>
    <m/>
    <n v="205"/>
    <s v="First digit scribbled, read as 47: makes Tot 660 exact"/>
    <s v="2022-09"/>
    <s v="Carries forward"/>
  </r>
  <r>
    <d v="2022-09-22T00:00:00"/>
    <x v="7"/>
    <x v="0"/>
    <n v="12"/>
    <m/>
    <n v="205"/>
    <m/>
    <s v="2022-09"/>
    <s v="Carries forward"/>
  </r>
  <r>
    <d v="2022-09-23T00:00:00"/>
    <x v="7"/>
    <x v="0"/>
    <n v="10"/>
    <m/>
    <n v="205"/>
    <m/>
    <s v="2022-09"/>
    <s v="Carries forward"/>
  </r>
  <r>
    <d v="2022-09-23T00:00:00"/>
    <x v="7"/>
    <x v="0"/>
    <n v="11"/>
    <m/>
    <n v="205"/>
    <m/>
    <s v="2022-09"/>
    <s v="Carries forward"/>
  </r>
  <r>
    <d v="2022-09-26T00:00:00"/>
    <x v="7"/>
    <x v="0"/>
    <n v="22"/>
    <m/>
    <n v="205"/>
    <m/>
    <s v="2022-09"/>
    <s v="Carries forward"/>
  </r>
  <r>
    <d v="2022-09-29T00:00:00"/>
    <x v="7"/>
    <x v="0"/>
    <n v="25"/>
    <m/>
    <n v="205"/>
    <m/>
    <s v="2022-09"/>
    <s v="Carries forward"/>
  </r>
  <r>
    <d v="2022-09-30T00:00:00"/>
    <x v="7"/>
    <x v="0"/>
    <n v="10"/>
    <m/>
    <n v="205"/>
    <m/>
    <s v="2022-09"/>
    <s v="Carries forward"/>
  </r>
  <r>
    <d v="2022-10-01T00:00:00"/>
    <x v="7"/>
    <x v="0"/>
    <n v="10"/>
    <m/>
    <n v="205"/>
    <m/>
    <s v="2022-10"/>
    <s v="Carries forward"/>
  </r>
  <r>
    <d v="2022-10-03T00:00:00"/>
    <x v="7"/>
    <x v="0"/>
    <n v="20"/>
    <m/>
    <n v="205"/>
    <m/>
    <s v="2022-10"/>
    <s v="Carries forward"/>
  </r>
  <r>
    <d v="2022-10-03T00:00:00"/>
    <x v="7"/>
    <x v="0"/>
    <n v="10"/>
    <m/>
    <n v="205"/>
    <m/>
    <s v="2022-10"/>
    <s v="Carries forward"/>
  </r>
  <r>
    <d v="2022-10-04T00:00:00"/>
    <x v="7"/>
    <x v="0"/>
    <n v="10"/>
    <m/>
    <n v="205"/>
    <m/>
    <s v="2022-10"/>
    <s v="Carries forward"/>
  </r>
  <r>
    <d v="2022-10-05T00:00:00"/>
    <x v="7"/>
    <x v="0"/>
    <n v="10"/>
    <m/>
    <n v="205"/>
    <m/>
    <s v="2022-10"/>
    <s v="Carries forward"/>
  </r>
  <r>
    <d v="2022-10-06T00:00:00"/>
    <x v="7"/>
    <x v="0"/>
    <n v="24"/>
    <m/>
    <n v="205"/>
    <m/>
    <s v="2022-10"/>
    <s v="Carries forward"/>
  </r>
  <r>
    <d v="2022-10-07T00:00:00"/>
    <x v="7"/>
    <x v="0"/>
    <n v="10"/>
    <m/>
    <n v="205"/>
    <m/>
    <s v="2022-10"/>
    <s v="Carries forward"/>
  </r>
  <r>
    <d v="2022-10-09T00:00:00"/>
    <x v="7"/>
    <x v="0"/>
    <n v="10"/>
    <n v="660"/>
    <n v="205"/>
    <s v="Book: TOL 660"/>
    <s v="2022-10"/>
    <s v="Carries forward"/>
  </r>
  <r>
    <d v="2022-10-09T00:00:00"/>
    <x v="7"/>
    <x v="0"/>
    <n v="41"/>
    <m/>
    <n v="205"/>
    <m/>
    <s v="2022-10"/>
    <s v="Carries forward"/>
  </r>
  <r>
    <d v="2022-10-10T00:00:00"/>
    <x v="7"/>
    <x v="0"/>
    <n v="35"/>
    <n v="736"/>
    <n v="205"/>
    <s v="Book: TL 736"/>
    <s v="2022-10"/>
    <s v="Carries forward"/>
  </r>
  <r>
    <d v="2022-10-11T00:00:00"/>
    <x v="7"/>
    <x v="1"/>
    <n v="500"/>
    <n v="236"/>
    <n v="205"/>
    <s v="Book: paid 500 (date looks like 11/10), BAK 236"/>
    <s v="2022-10"/>
    <s v="Carries forward"/>
  </r>
  <r>
    <d v="2022-10-12T00:00:00"/>
    <x v="7"/>
    <x v="0"/>
    <n v="74"/>
    <m/>
    <n v="205"/>
    <m/>
    <s v="2022-10"/>
    <s v="Carries forward"/>
  </r>
  <r>
    <d v="2022-10-13T00:00:00"/>
    <x v="7"/>
    <x v="0"/>
    <n v="15"/>
    <m/>
    <n v="205"/>
    <m/>
    <s v="2022-10"/>
    <s v="Carries forward"/>
  </r>
  <r>
    <d v="2022-10-14T00:00:00"/>
    <x v="7"/>
    <x v="0"/>
    <n v="18"/>
    <m/>
    <n v="205"/>
    <m/>
    <s v="2022-10"/>
    <s v="Carries forward"/>
  </r>
  <r>
    <d v="2022-10-15T00:00:00"/>
    <x v="7"/>
    <x v="0"/>
    <n v="10"/>
    <m/>
    <n v="205"/>
    <m/>
    <s v="2022-10"/>
    <s v="Carries forward"/>
  </r>
  <r>
    <d v="2022-10-16T00:00:00"/>
    <x v="7"/>
    <x v="0"/>
    <n v="20"/>
    <m/>
    <n v="205"/>
    <m/>
    <s v="2022-10"/>
    <s v="Carries forward"/>
  </r>
  <r>
    <d v="2022-10-17T00:00:00"/>
    <x v="7"/>
    <x v="0"/>
    <n v="10"/>
    <m/>
    <n v="205"/>
    <m/>
    <s v="2022-10"/>
    <s v="Carries forward"/>
  </r>
  <r>
    <d v="2022-10-18T00:00:00"/>
    <x v="7"/>
    <x v="0"/>
    <n v="10"/>
    <m/>
    <n v="205"/>
    <m/>
    <s v="2022-10"/>
    <s v="Carries forward"/>
  </r>
  <r>
    <d v="2022-10-19T00:00:00"/>
    <x v="7"/>
    <x v="0"/>
    <n v="10"/>
    <m/>
    <n v="205"/>
    <m/>
    <s v="2022-10"/>
    <s v="Carries forward"/>
  </r>
  <r>
    <d v="2022-10-21T00:00:00"/>
    <x v="7"/>
    <x v="0"/>
    <n v="10"/>
    <m/>
    <n v="205"/>
    <m/>
    <s v="2022-10"/>
    <s v="Carries forward"/>
  </r>
  <r>
    <d v="2022-10-22T00:00:00"/>
    <x v="7"/>
    <x v="0"/>
    <n v="24"/>
    <m/>
    <n v="205"/>
    <m/>
    <s v="2022-10"/>
    <s v="Carries forward"/>
  </r>
  <r>
    <d v="2022-10-23T00:00:00"/>
    <x v="7"/>
    <x v="0"/>
    <n v="10"/>
    <m/>
    <n v="205"/>
    <m/>
    <s v="2022-10"/>
    <s v="Carries forward"/>
  </r>
  <r>
    <d v="2022-10-24T00:00:00"/>
    <x v="7"/>
    <x v="0"/>
    <n v="10"/>
    <m/>
    <n v="205"/>
    <m/>
    <s v="2022-10"/>
    <s v="Carries forward"/>
  </r>
  <r>
    <d v="2022-10-25T00:00:00"/>
    <x v="7"/>
    <x v="0"/>
    <n v="10"/>
    <m/>
    <n v="205"/>
    <m/>
    <s v="2022-10"/>
    <s v="Carries forward"/>
  </r>
  <r>
    <d v="2022-10-26T00:00:00"/>
    <x v="7"/>
    <x v="0"/>
    <n v="10"/>
    <m/>
    <n v="205"/>
    <m/>
    <s v="2022-10"/>
    <s v="Carries forward"/>
  </r>
  <r>
    <d v="2022-10-28T00:00:00"/>
    <x v="7"/>
    <x v="0"/>
    <n v="10"/>
    <m/>
    <n v="205"/>
    <m/>
    <s v="2022-10"/>
    <s v="Carries forward"/>
  </r>
  <r>
    <d v="2022-10-29T00:00:00"/>
    <x v="7"/>
    <x v="0"/>
    <n v="10"/>
    <m/>
    <n v="205"/>
    <m/>
    <s v="2022-10"/>
    <s v="Carries forward"/>
  </r>
  <r>
    <d v="2022-11-02T00:00:00"/>
    <x v="7"/>
    <x v="0"/>
    <n v="23"/>
    <m/>
    <n v="205"/>
    <m/>
    <s v="2022-11"/>
    <s v="Carries forward"/>
  </r>
  <r>
    <d v="2022-11-06T00:00:00"/>
    <x v="7"/>
    <x v="0"/>
    <n v="17"/>
    <m/>
    <n v="205"/>
    <s v="Dates written like 6/10, 7/10; read as November"/>
    <s v="2022-11"/>
    <s v="Carries forward"/>
  </r>
  <r>
    <d v="2022-11-07T00:00:00"/>
    <x v="7"/>
    <x v="0"/>
    <n v="17"/>
    <m/>
    <n v="205"/>
    <m/>
    <s v="2022-11"/>
    <s v="Carries forward"/>
  </r>
  <r>
    <d v="2022-11-08T00:00:00"/>
    <x v="7"/>
    <x v="0"/>
    <n v="25"/>
    <m/>
    <n v="205"/>
    <m/>
    <s v="2022-11"/>
    <s v="Carries forward"/>
  </r>
  <r>
    <d v="2022-11-08T00:00:00"/>
    <x v="7"/>
    <x v="0"/>
    <n v="20"/>
    <m/>
    <n v="205"/>
    <m/>
    <s v="2022-11"/>
    <s v="Carries forward"/>
  </r>
  <r>
    <d v="2022-11-08T00:00:00"/>
    <x v="7"/>
    <x v="2"/>
    <n v="-8"/>
    <n v="591"/>
    <n v="205"/>
    <s v="Book total 591 is 8 less than the lines"/>
    <s v="2022-11"/>
    <s v="Carries forward"/>
  </r>
  <r>
    <m/>
    <x v="7"/>
    <x v="1"/>
    <n v="500"/>
    <n v="91"/>
    <n v="205"/>
    <s v="Book: paid 500 (date not clear), BAKI 91"/>
    <s v=""/>
    <s v="Carries forward"/>
  </r>
  <r>
    <d v="2022-11-10T00:00:00"/>
    <x v="7"/>
    <x v="0"/>
    <n v="10"/>
    <m/>
    <n v="205"/>
    <m/>
    <s v="2022-11"/>
    <s v="Carries forward"/>
  </r>
  <r>
    <d v="2022-11-10T00:00:00"/>
    <x v="7"/>
    <x v="0"/>
    <n v="10"/>
    <m/>
    <n v="205"/>
    <m/>
    <s v="2022-11"/>
    <s v="Carries forward"/>
  </r>
  <r>
    <d v="2022-11-12T00:00:00"/>
    <x v="7"/>
    <x v="0"/>
    <n v="38"/>
    <m/>
    <n v="205"/>
    <m/>
    <s v="2022-11"/>
    <s v="Carries forward"/>
  </r>
  <r>
    <d v="2022-11-13T00:00:00"/>
    <x v="7"/>
    <x v="0"/>
    <n v="10"/>
    <m/>
    <n v="205"/>
    <m/>
    <s v="2022-11"/>
    <s v="Carries forward"/>
  </r>
  <r>
    <d v="2022-11-14T00:00:00"/>
    <x v="7"/>
    <x v="0"/>
    <n v="10"/>
    <m/>
    <n v="205"/>
    <m/>
    <s v="2022-11"/>
    <s v="Carries forward"/>
  </r>
  <r>
    <d v="2022-11-17T00:00:00"/>
    <x v="7"/>
    <x v="0"/>
    <n v="10"/>
    <m/>
    <n v="205"/>
    <m/>
    <s v="2022-11"/>
    <s v="Carries forward"/>
  </r>
  <r>
    <d v="2022-11-19T00:00:00"/>
    <x v="7"/>
    <x v="0"/>
    <n v="10"/>
    <m/>
    <n v="205"/>
    <m/>
    <s v="2022-11"/>
    <s v="Carries forward"/>
  </r>
  <r>
    <d v="2022-11-20T00:00:00"/>
    <x v="7"/>
    <x v="0"/>
    <n v="79"/>
    <m/>
    <n v="205"/>
    <m/>
    <s v="2022-11"/>
    <s v="Carries forward"/>
  </r>
  <r>
    <d v="2022-11-20T00:00:00"/>
    <x v="7"/>
    <x v="0"/>
    <n v="12"/>
    <m/>
    <n v="205"/>
    <m/>
    <s v="2022-11"/>
    <s v="Carries forward"/>
  </r>
  <r>
    <d v="2022-11-20T00:00:00"/>
    <x v="7"/>
    <x v="0"/>
    <n v="10"/>
    <m/>
    <n v="205"/>
    <m/>
    <s v="2022-11"/>
    <s v="Carries forward"/>
  </r>
  <r>
    <d v="2022-11-22T00:00:00"/>
    <x v="7"/>
    <x v="0"/>
    <n v="22"/>
    <m/>
    <n v="205"/>
    <m/>
    <s v="2022-11"/>
    <s v="Carries forward"/>
  </r>
  <r>
    <d v="2022-11-23T00:00:00"/>
    <x v="7"/>
    <x v="0"/>
    <n v="28"/>
    <m/>
    <n v="205"/>
    <m/>
    <s v="2022-11"/>
    <s v="Carries forward"/>
  </r>
  <r>
    <d v="2022-11-25T00:00:00"/>
    <x v="7"/>
    <x v="0"/>
    <n v="27"/>
    <m/>
    <n v="205"/>
    <m/>
    <s v="2022-11"/>
    <s v="Carries forward"/>
  </r>
  <r>
    <d v="2022-11-26T00:00:00"/>
    <x v="7"/>
    <x v="0"/>
    <n v="25"/>
    <m/>
    <n v="205"/>
    <m/>
    <s v="2022-11"/>
    <s v="Carries forward"/>
  </r>
  <r>
    <d v="2022-11-27T00:00:00"/>
    <x v="7"/>
    <x v="0"/>
    <n v="10"/>
    <m/>
    <n v="205"/>
    <m/>
    <s v="2022-11"/>
    <s v="Carries forward"/>
  </r>
  <r>
    <d v="2022-11-30T00:00:00"/>
    <x v="7"/>
    <x v="0"/>
    <n v="15"/>
    <m/>
    <n v="205"/>
    <m/>
    <s v="2022-11"/>
    <s v="Carries forward"/>
  </r>
  <r>
    <d v="2022-11-30T00:00:00"/>
    <x v="7"/>
    <x v="0"/>
    <n v="10"/>
    <m/>
    <n v="205"/>
    <s v="Date not clear"/>
    <s v="2022-11"/>
    <s v="Carries forward"/>
  </r>
  <r>
    <d v="2022-12-01T00:00:00"/>
    <x v="7"/>
    <x v="0"/>
    <n v="10"/>
    <m/>
    <n v="205"/>
    <m/>
    <s v="2022-12"/>
    <s v="Carries forward"/>
  </r>
  <r>
    <d v="2022-12-02T00:00:00"/>
    <x v="7"/>
    <x v="0"/>
    <n v="10"/>
    <m/>
    <n v="205"/>
    <m/>
    <s v="2022-12"/>
    <s v="Carries forward"/>
  </r>
  <r>
    <d v="2022-12-03T00:00:00"/>
    <x v="7"/>
    <x v="0"/>
    <n v="10"/>
    <m/>
    <n v="205"/>
    <m/>
    <s v="2022-12"/>
    <s v="Carries forward"/>
  </r>
  <r>
    <d v="2022-12-04T00:00:00"/>
    <x v="7"/>
    <x v="0"/>
    <n v="19"/>
    <m/>
    <n v="205"/>
    <m/>
    <s v="2022-12"/>
    <s v="Carries forward"/>
  </r>
  <r>
    <d v="2022-12-06T00:00:00"/>
    <x v="7"/>
    <x v="0"/>
    <n v="10"/>
    <m/>
    <n v="205"/>
    <m/>
    <s v="2022-12"/>
    <s v="Carries forward"/>
  </r>
  <r>
    <d v="2022-12-08T00:00:00"/>
    <x v="7"/>
    <x v="0"/>
    <n v="20"/>
    <m/>
    <n v="205"/>
    <m/>
    <s v="2022-12"/>
    <s v="Carries forward"/>
  </r>
  <r>
    <d v="2022-12-09T00:00:00"/>
    <x v="7"/>
    <x v="0"/>
    <n v="10"/>
    <m/>
    <n v="205"/>
    <m/>
    <s v="2022-12"/>
    <s v="Carries forward"/>
  </r>
  <r>
    <d v="2022-12-10T00:00:00"/>
    <x v="7"/>
    <x v="0"/>
    <n v="10"/>
    <m/>
    <n v="205"/>
    <m/>
    <s v="2022-12"/>
    <s v="Carries forward"/>
  </r>
  <r>
    <d v="2022-12-11T00:00:00"/>
    <x v="7"/>
    <x v="0"/>
    <n v="10"/>
    <m/>
    <n v="205"/>
    <m/>
    <s v="2022-12"/>
    <s v="Carries forward"/>
  </r>
  <r>
    <d v="2022-12-11T00:00:00"/>
    <x v="7"/>
    <x v="0"/>
    <n v="10"/>
    <m/>
    <n v="205"/>
    <m/>
    <s v="2022-12"/>
    <s v="Carries forward"/>
  </r>
  <r>
    <d v="2022-12-12T00:00:00"/>
    <x v="7"/>
    <x v="0"/>
    <n v="10"/>
    <m/>
    <n v="205"/>
    <m/>
    <s v="2022-12"/>
    <s v="Carries forward"/>
  </r>
  <r>
    <d v="2022-12-12T00:00:00"/>
    <x v="7"/>
    <x v="2"/>
    <n v="3"/>
    <n v="559"/>
    <n v="205"/>
    <s v="Book total 559 is 3 more than the lines"/>
    <s v="2022-12"/>
    <s v="Carries forward"/>
  </r>
  <r>
    <d v="2022-12-12T00:00:00"/>
    <x v="7"/>
    <x v="1"/>
    <n v="200"/>
    <n v="359"/>
    <n v="205"/>
    <s v="Book: paid 200 on 12/12, BAK 359"/>
    <s v="2022-12"/>
    <s v="Carries forward"/>
  </r>
  <r>
    <d v="2022-12-17T00:00:00"/>
    <x v="7"/>
    <x v="0"/>
    <n v="24"/>
    <m/>
    <n v="205"/>
    <m/>
    <s v="2022-12"/>
    <s v="Carries forward"/>
  </r>
  <r>
    <d v="2022-12-18T00:00:00"/>
    <x v="7"/>
    <x v="0"/>
    <n v="10"/>
    <m/>
    <n v="205"/>
    <m/>
    <s v="2022-12"/>
    <s v="Carries forward"/>
  </r>
  <r>
    <d v="2022-12-19T00:00:00"/>
    <x v="7"/>
    <x v="0"/>
    <n v="20"/>
    <m/>
    <n v="205"/>
    <m/>
    <s v="2022-12"/>
    <s v="Carries forward"/>
  </r>
  <r>
    <d v="2022-12-20T00:00:00"/>
    <x v="7"/>
    <x v="0"/>
    <n v="10"/>
    <m/>
    <n v="205"/>
    <m/>
    <s v="2022-12"/>
    <s v="Carries forward"/>
  </r>
  <r>
    <d v="2022-12-21T00:00:00"/>
    <x v="7"/>
    <x v="0"/>
    <n v="30"/>
    <m/>
    <n v="205"/>
    <m/>
    <s v="2022-12"/>
    <s v="Carries forward"/>
  </r>
  <r>
    <d v="2022-12-22T00:00:00"/>
    <x v="7"/>
    <x v="0"/>
    <n v="10"/>
    <m/>
    <n v="205"/>
    <m/>
    <s v="2022-12"/>
    <s v="Carries forward"/>
  </r>
  <r>
    <d v="2022-12-23T00:00:00"/>
    <x v="7"/>
    <x v="0"/>
    <n v="10"/>
    <m/>
    <n v="205"/>
    <m/>
    <s v="2022-12"/>
    <s v="Carries forward"/>
  </r>
  <r>
    <d v="2022-12-24T00:00:00"/>
    <x v="7"/>
    <x v="0"/>
    <n v="10"/>
    <m/>
    <n v="205"/>
    <m/>
    <s v="2022-12"/>
    <s v="Carries forward"/>
  </r>
  <r>
    <d v="2022-12-25T00:00:00"/>
    <x v="7"/>
    <x v="0"/>
    <n v="10"/>
    <m/>
    <n v="205"/>
    <m/>
    <s v="2022-12"/>
    <s v="Carries forward"/>
  </r>
  <r>
    <d v="2022-12-26T00:00:00"/>
    <x v="7"/>
    <x v="0"/>
    <n v="10"/>
    <m/>
    <n v="205"/>
    <m/>
    <s v="2022-12"/>
    <s v="Carries forward"/>
  </r>
  <r>
    <d v="2022-12-27T00:00:00"/>
    <x v="7"/>
    <x v="0"/>
    <n v="10"/>
    <m/>
    <n v="205"/>
    <m/>
    <s v="2022-12"/>
    <s v="Carries forward"/>
  </r>
  <r>
    <d v="2022-12-27T00:00:00"/>
    <x v="7"/>
    <x v="0"/>
    <n v="10"/>
    <m/>
    <n v="205"/>
    <m/>
    <s v="2022-12"/>
    <s v="Carries forward"/>
  </r>
  <r>
    <d v="2022-12-28T00:00:00"/>
    <x v="7"/>
    <x v="0"/>
    <n v="10"/>
    <m/>
    <n v="205"/>
    <m/>
    <s v="2022-12"/>
    <s v="Carries forward"/>
  </r>
  <r>
    <d v="2022-12-29T00:00:00"/>
    <x v="7"/>
    <x v="0"/>
    <n v="10"/>
    <m/>
    <n v="205"/>
    <m/>
    <s v="2022-12"/>
    <s v="Carries forward"/>
  </r>
  <r>
    <d v="2022-12-31T00:00:00"/>
    <x v="7"/>
    <x v="0"/>
    <n v="30"/>
    <m/>
    <n v="205"/>
    <m/>
    <s v="2022-12"/>
    <s v="Carries forward"/>
  </r>
  <r>
    <d v="2023-01-01T00:00:00"/>
    <x v="7"/>
    <x v="0"/>
    <n v="20"/>
    <m/>
    <n v="205"/>
    <m/>
    <s v="2023-01"/>
    <s v="Carries forward"/>
  </r>
  <r>
    <d v="2023-01-03T00:00:00"/>
    <x v="7"/>
    <x v="0"/>
    <n v="22"/>
    <m/>
    <n v="205"/>
    <s v="Top of page"/>
    <s v="2023-01"/>
    <s v="Carries forward"/>
  </r>
  <r>
    <d v="2023-01-04T00:00:00"/>
    <x v="7"/>
    <x v="0"/>
    <n v="10"/>
    <m/>
    <n v="205"/>
    <m/>
    <s v="2023-01"/>
    <s v="Carries forward"/>
  </r>
  <r>
    <d v="2023-01-05T00:00:00"/>
    <x v="7"/>
    <x v="0"/>
    <n v="10"/>
    <m/>
    <n v="205"/>
    <m/>
    <s v="2023-01"/>
    <s v="Carries forward"/>
  </r>
  <r>
    <d v="2023-01-06T00:00:00"/>
    <x v="7"/>
    <x v="0"/>
    <n v="10"/>
    <m/>
    <n v="205"/>
    <m/>
    <s v="2023-01"/>
    <s v="Carries forward"/>
  </r>
  <r>
    <d v="2023-01-07T00:00:00"/>
    <x v="7"/>
    <x v="0"/>
    <n v="33"/>
    <m/>
    <n v="205"/>
    <m/>
    <s v="2023-01"/>
    <s v="Carries forward"/>
  </r>
  <r>
    <d v="2023-01-08T00:00:00"/>
    <x v="7"/>
    <x v="0"/>
    <n v="10"/>
    <m/>
    <n v="205"/>
    <m/>
    <s v="2023-01"/>
    <s v="Carries forward"/>
  </r>
  <r>
    <m/>
    <x v="7"/>
    <x v="1"/>
    <n v="688"/>
    <n v="0"/>
    <n v="205"/>
    <s v="Book: 688 written twice and crossed = paid"/>
    <s v=""/>
    <s v="Carries forward"/>
  </r>
  <r>
    <d v="2022-09-10T00:00:00"/>
    <x v="8"/>
    <x v="3"/>
    <n v="197"/>
    <n v="197"/>
    <n v="205"/>
    <s v="Opening Total 197 (small account, no account number; page 205 column 4)"/>
    <s v="2022-09"/>
    <s v="Carries forward"/>
  </r>
  <r>
    <d v="2022-09-10T00:00:00"/>
    <x v="8"/>
    <x v="0"/>
    <n v="20"/>
    <m/>
    <n v="205"/>
    <m/>
    <s v="2022-09"/>
    <s v="Carries forward"/>
  </r>
  <r>
    <d v="2022-09-12T00:00:00"/>
    <x v="8"/>
    <x v="0"/>
    <n v="26"/>
    <m/>
    <n v="205"/>
    <m/>
    <s v="2022-09"/>
    <s v="Carries forward"/>
  </r>
  <r>
    <d v="2022-09-13T00:00:00"/>
    <x v="8"/>
    <x v="0"/>
    <n v="20"/>
    <m/>
    <n v="205"/>
    <m/>
    <s v="2022-09"/>
    <s v="Carries forward"/>
  </r>
  <r>
    <d v="2022-09-14T00:00:00"/>
    <x v="8"/>
    <x v="0"/>
    <n v="20"/>
    <m/>
    <n v="205"/>
    <m/>
    <s v="2022-09"/>
    <s v="Carries forward"/>
  </r>
  <r>
    <d v="2022-09-14T00:00:00"/>
    <x v="8"/>
    <x v="0"/>
    <n v="20"/>
    <m/>
    <n v="205"/>
    <m/>
    <s v="2022-09"/>
    <s v="Carries forward"/>
  </r>
  <r>
    <d v="2022-09-15T00:00:00"/>
    <x v="8"/>
    <x v="0"/>
    <n v="58"/>
    <m/>
    <n v="205"/>
    <m/>
    <s v="2022-09"/>
    <s v="Carries forward"/>
  </r>
  <r>
    <d v="2022-09-16T00:00:00"/>
    <x v="8"/>
    <x v="0"/>
    <n v="20"/>
    <m/>
    <n v="205"/>
    <m/>
    <s v="2022-09"/>
    <s v="Carries forward"/>
  </r>
  <r>
    <d v="2022-09-18T00:00:00"/>
    <x v="8"/>
    <x v="0"/>
    <n v="85"/>
    <m/>
    <n v="205"/>
    <m/>
    <s v="2022-09"/>
    <s v="Carries forward"/>
  </r>
  <r>
    <d v="2022-09-18T00:00:00"/>
    <x v="8"/>
    <x v="0"/>
    <n v="43"/>
    <m/>
    <n v="205"/>
    <m/>
    <s v="2022-09"/>
    <s v="Carries forward"/>
  </r>
  <r>
    <d v="2022-09-21T00:00:00"/>
    <x v="8"/>
    <x v="0"/>
    <n v="61"/>
    <m/>
    <n v="205"/>
    <m/>
    <s v="2022-09"/>
    <s v="Carries forward"/>
  </r>
  <r>
    <d v="2022-09-22T00:00:00"/>
    <x v="8"/>
    <x v="0"/>
    <n v="62"/>
    <m/>
    <n v="205"/>
    <m/>
    <s v="2022-09"/>
    <s v="Carries forward"/>
  </r>
  <r>
    <d v="2022-09-22T00:00:00"/>
    <x v="8"/>
    <x v="0"/>
    <n v="20"/>
    <m/>
    <n v="205"/>
    <m/>
    <s v="2022-09"/>
    <s v="Carries forward"/>
  </r>
  <r>
    <d v="2022-09-24T00:00:00"/>
    <x v="8"/>
    <x v="0"/>
    <n v="23"/>
    <m/>
    <n v="205"/>
    <m/>
    <s v="2022-09"/>
    <s v="Carries forward"/>
  </r>
  <r>
    <d v="2022-09-25T00:00:00"/>
    <x v="8"/>
    <x v="0"/>
    <n v="25"/>
    <m/>
    <n v="205"/>
    <m/>
    <s v="2022-09"/>
    <s v="Carries forward"/>
  </r>
  <r>
    <d v="2022-09-25T00:00:00"/>
    <x v="8"/>
    <x v="0"/>
    <n v="40"/>
    <m/>
    <n v="205"/>
    <m/>
    <s v="2022-09"/>
    <s v="Carries forward"/>
  </r>
  <r>
    <d v="2022-09-27T00:00:00"/>
    <x v="8"/>
    <x v="0"/>
    <n v="54"/>
    <m/>
    <n v="205"/>
    <m/>
    <s v="2022-09"/>
    <s v="Carries forward"/>
  </r>
  <r>
    <d v="2022-09-28T00:00:00"/>
    <x v="8"/>
    <x v="0"/>
    <n v="37"/>
    <n v="831"/>
    <n v="205"/>
    <s v="Book: Tot 831 (still shown as 831 on a later page)"/>
    <s v="2022-09"/>
    <s v="Carries forward"/>
  </r>
  <r>
    <d v="2022-09-07T00:00:00"/>
    <x v="9"/>
    <x v="3"/>
    <n v="2631"/>
    <n v="2631"/>
    <n v="219"/>
    <s v="Opening Total 2631 (account 100)"/>
    <s v="2022-09"/>
    <s v="Mixed"/>
  </r>
  <r>
    <d v="2022-09-07T00:00:00"/>
    <x v="9"/>
    <x v="0"/>
    <n v="90"/>
    <n v="2721"/>
    <n v="219"/>
    <s v="Book: TL 2721"/>
    <s v="2022-09"/>
    <s v="Mixed"/>
  </r>
  <r>
    <m/>
    <x v="9"/>
    <x v="1"/>
    <n v="2500"/>
    <n v="221"/>
    <n v="219"/>
    <s v="Book: paid 2500 (date not clear), balance 221"/>
    <s v=""/>
    <s v="Mixed"/>
  </r>
  <r>
    <d v="2022-09-12T00:00:00"/>
    <x v="9"/>
    <x v="0"/>
    <n v="1598"/>
    <m/>
    <n v="219"/>
    <m/>
    <s v="2022-09"/>
    <s v="Mixed"/>
  </r>
  <r>
    <d v="2022-09-24T00:00:00"/>
    <x v="9"/>
    <x v="0"/>
    <n v="116"/>
    <m/>
    <n v="219"/>
    <m/>
    <s v="2022-09"/>
    <s v="Mixed"/>
  </r>
  <r>
    <d v="2022-10-03T00:00:00"/>
    <x v="9"/>
    <x v="0"/>
    <n v="262"/>
    <n v="2197"/>
    <n v="219"/>
    <s v="Book: Tot 2197"/>
    <s v="2022-10"/>
    <s v="Mixed"/>
  </r>
  <r>
    <d v="2022-10-13T00:00:00"/>
    <x v="9"/>
    <x v="0"/>
    <n v="38"/>
    <n v="2235"/>
    <n v="219"/>
    <s v="Book: T 2235"/>
    <s v="2022-10"/>
    <s v="Mixed"/>
  </r>
  <r>
    <d v="2022-10-13T00:00:00"/>
    <x v="9"/>
    <x v="1"/>
    <n v="2000"/>
    <n v="235"/>
    <n v="219"/>
    <s v="Book: paid 2000 on 13/10, BAK 235"/>
    <s v="2022-10"/>
    <s v="Mixed"/>
  </r>
  <r>
    <d v="2022-10-14T00:00:00"/>
    <x v="9"/>
    <x v="0"/>
    <n v="1091"/>
    <m/>
    <n v="219"/>
    <m/>
    <s v="2022-10"/>
    <s v="Mixed"/>
  </r>
  <r>
    <d v="2022-10-20T00:00:00"/>
    <x v="9"/>
    <x v="0"/>
    <n v="140"/>
    <m/>
    <n v="219"/>
    <m/>
    <s v="2022-10"/>
    <s v="Mixed"/>
  </r>
  <r>
    <d v="2022-11-02T00:00:00"/>
    <x v="9"/>
    <x v="0"/>
    <n v="163"/>
    <n v="1629"/>
    <n v="219"/>
    <s v="Book: T 1629"/>
    <s v="2022-11"/>
    <s v="Mixed"/>
  </r>
  <r>
    <d v="2022-11-06T00:00:00"/>
    <x v="9"/>
    <x v="1"/>
    <n v="1500"/>
    <n v="129"/>
    <n v="219"/>
    <s v="Book: paid 1500 on 6/11, BAK 129"/>
    <s v="2022-11"/>
    <s v="Mixed"/>
  </r>
  <r>
    <d v="2022-11-07T00:00:00"/>
    <x v="9"/>
    <x v="0"/>
    <n v="1431"/>
    <m/>
    <n v="219"/>
    <m/>
    <s v="2022-11"/>
    <s v="Mixed"/>
  </r>
  <r>
    <d v="2022-11-11T00:00:00"/>
    <x v="9"/>
    <x v="0"/>
    <n v="170"/>
    <m/>
    <n v="219"/>
    <m/>
    <s v="2022-11"/>
    <s v="Mixed"/>
  </r>
  <r>
    <d v="2022-11-21T00:00:00"/>
    <x v="9"/>
    <x v="0"/>
    <n v="145"/>
    <m/>
    <n v="219"/>
    <m/>
    <s v="2022-11"/>
    <s v="Mixed"/>
  </r>
  <r>
    <d v="2022-11-24T00:00:00"/>
    <x v="9"/>
    <x v="0"/>
    <n v="164"/>
    <m/>
    <n v="219"/>
    <m/>
    <s v="2022-11"/>
    <s v="Mixed"/>
  </r>
  <r>
    <d v="2022-11-24T00:00:00"/>
    <x v="9"/>
    <x v="0"/>
    <n v="15"/>
    <n v="2054"/>
    <n v="219"/>
    <s v="Book: TL 2054"/>
    <s v="2022-11"/>
    <s v="Mixed"/>
  </r>
  <r>
    <d v="2022-12-08T00:00:00"/>
    <x v="9"/>
    <x v="0"/>
    <n v="48"/>
    <n v="2102"/>
    <n v="219"/>
    <s v="Book: T 2102"/>
    <s v="2022-12"/>
    <s v="Mixed"/>
  </r>
  <r>
    <m/>
    <x v="9"/>
    <x v="1"/>
    <n v="1800"/>
    <n v="302"/>
    <n v="219"/>
    <s v="Book: paid 1800 (date not clear), 302 left"/>
    <s v=""/>
    <s v="Mixed"/>
  </r>
  <r>
    <d v="2022-12-08T00:00:00"/>
    <x v="9"/>
    <x v="0"/>
    <n v="1018"/>
    <m/>
    <n v="219"/>
    <m/>
    <s v="2022-12"/>
    <s v="Mixed"/>
  </r>
  <r>
    <d v="2022-12-14T00:00:00"/>
    <x v="9"/>
    <x v="0"/>
    <n v="33"/>
    <m/>
    <n v="219"/>
    <m/>
    <s v="2022-12"/>
    <s v="Mixed"/>
  </r>
  <r>
    <d v="2022-12-14T00:00:00"/>
    <x v="9"/>
    <x v="0"/>
    <n v="50"/>
    <n v="1403"/>
    <n v="219"/>
    <s v="Book: TL 1403 (crossed-out line above not counted)"/>
    <s v="2022-12"/>
    <s v="Mixed"/>
  </r>
  <r>
    <m/>
    <x v="9"/>
    <x v="1"/>
    <n v="1403"/>
    <n v="0"/>
    <n v="219"/>
    <s v="Book: paid 1403 (date looks like late December)"/>
    <s v=""/>
    <s v="Mixed"/>
  </r>
  <r>
    <d v="2023-01-09T00:00:00"/>
    <x v="9"/>
    <x v="0"/>
    <n v="1203"/>
    <m/>
    <n v="219"/>
    <m/>
    <s v="2023-01"/>
    <s v="Mixed"/>
  </r>
  <r>
    <d v="2023-01-19T00:00:00"/>
    <x v="9"/>
    <x v="0"/>
    <n v="295"/>
    <m/>
    <n v="219"/>
    <m/>
    <s v="2023-01"/>
    <s v="Mixed"/>
  </r>
  <r>
    <d v="2023-01-19T00:00:00"/>
    <x v="9"/>
    <x v="0"/>
    <n v="14"/>
    <m/>
    <n v="219"/>
    <m/>
    <s v="2023-01"/>
    <s v="Mixed"/>
  </r>
  <r>
    <d v="2023-01-30T00:00:00"/>
    <x v="9"/>
    <x v="0"/>
    <n v="189"/>
    <m/>
    <n v="219"/>
    <m/>
    <s v="2023-01"/>
    <s v="Mixed"/>
  </r>
  <r>
    <d v="2023-01-30T00:00:00"/>
    <x v="9"/>
    <x v="2"/>
    <n v="-10"/>
    <n v="1691"/>
    <n v="219"/>
    <s v="Book total 1691 is 10 less than the lines"/>
    <s v="2023-01"/>
    <s v="Mixed"/>
  </r>
  <r>
    <d v="2023-02-08T00:00:00"/>
    <x v="9"/>
    <x v="0"/>
    <n v="118"/>
    <m/>
    <n v="219"/>
    <m/>
    <s v="2023-02"/>
    <s v="Mixed"/>
  </r>
  <r>
    <d v="2023-02-08T00:00:00"/>
    <x v="9"/>
    <x v="0"/>
    <n v="60"/>
    <n v="1869"/>
    <n v="219"/>
    <s v="Book: T 1869 (crossed-out line below not counted)"/>
    <s v="2023-02"/>
    <s v="Mixed"/>
  </r>
  <r>
    <m/>
    <x v="9"/>
    <x v="1"/>
    <n v="1700"/>
    <n v="169"/>
    <n v="219"/>
    <s v="Book: paid 1700, BAK 169"/>
    <s v=""/>
    <s v="Mixed"/>
  </r>
  <r>
    <d v="2023-02-10T00:00:00"/>
    <x v="9"/>
    <x v="0"/>
    <n v="1135"/>
    <m/>
    <n v="219"/>
    <m/>
    <s v="2023-02"/>
    <s v="Mixed"/>
  </r>
  <r>
    <d v="2023-02-11T00:00:00"/>
    <x v="9"/>
    <x v="0"/>
    <n v="190"/>
    <m/>
    <n v="219"/>
    <m/>
    <s v="2023-02"/>
    <s v="Mixed"/>
  </r>
  <r>
    <d v="2023-02-16T00:00:00"/>
    <x v="9"/>
    <x v="0"/>
    <n v="28"/>
    <m/>
    <n v="219"/>
    <m/>
    <s v="2023-02"/>
    <s v="Mixed"/>
  </r>
  <r>
    <d v="2023-02-24T00:00:00"/>
    <x v="9"/>
    <x v="0"/>
    <n v="66"/>
    <n v="1588"/>
    <n v="219"/>
    <s v="Book: TL 1588"/>
    <s v="2023-02"/>
    <s v="Mixed"/>
  </r>
  <r>
    <m/>
    <x v="9"/>
    <x v="1"/>
    <n v="1500"/>
    <n v="88"/>
    <n v="219"/>
    <s v="Book: paid 1500, 88 left"/>
    <s v=""/>
    <s v="Mixed"/>
  </r>
  <r>
    <d v="2023-03-13T00:00:00"/>
    <x v="9"/>
    <x v="0"/>
    <n v="864"/>
    <m/>
    <n v="219"/>
    <m/>
    <s v="2023-03"/>
    <s v="Mixed"/>
  </r>
  <r>
    <d v="2023-03-13T00:00:00"/>
    <x v="9"/>
    <x v="0"/>
    <n v="37"/>
    <m/>
    <n v="219"/>
    <s v="Date not clear"/>
    <s v="2023-03"/>
    <s v="Mixed"/>
  </r>
  <r>
    <d v="2023-03-26T00:00:00"/>
    <x v="9"/>
    <x v="0"/>
    <n v="300"/>
    <m/>
    <n v="219"/>
    <m/>
    <s v="2023-03"/>
    <s v="Mixed"/>
  </r>
  <r>
    <d v="2023-03-28T00:00:00"/>
    <x v="9"/>
    <x v="0"/>
    <n v="192"/>
    <m/>
    <n v="219"/>
    <m/>
    <s v="2023-03"/>
    <s v="Mixed"/>
  </r>
  <r>
    <d v="2023-04-04T00:00:00"/>
    <x v="9"/>
    <x v="0"/>
    <n v="110"/>
    <n v="1591"/>
    <n v="219"/>
    <s v="Book: Tot 1591"/>
    <s v="2023-04"/>
    <s v="Mixed"/>
  </r>
  <r>
    <m/>
    <x v="9"/>
    <x v="1"/>
    <n v="1500"/>
    <n v="91"/>
    <n v="219"/>
    <s v="Book: paid 1500, BAL 91"/>
    <s v=""/>
    <s v="Mixed"/>
  </r>
  <r>
    <d v="2023-04-10T00:00:00"/>
    <x v="9"/>
    <x v="0"/>
    <n v="940"/>
    <m/>
    <n v="219"/>
    <m/>
    <s v="2023-04"/>
    <s v="Mixed"/>
  </r>
  <r>
    <d v="2023-04-11T00:00:00"/>
    <x v="9"/>
    <x v="0"/>
    <n v="90"/>
    <m/>
    <n v="219"/>
    <m/>
    <s v="2023-04"/>
    <s v="Mixed"/>
  </r>
  <r>
    <d v="2023-04-11T00:00:00"/>
    <x v="9"/>
    <x v="0"/>
    <n v="70"/>
    <m/>
    <n v="219"/>
    <m/>
    <s v="2023-04"/>
    <s v="Mixed"/>
  </r>
  <r>
    <d v="2023-04-19T00:00:00"/>
    <x v="9"/>
    <x v="0"/>
    <n v="215"/>
    <m/>
    <n v="219"/>
    <m/>
    <s v="2023-04"/>
    <s v="Mixed"/>
  </r>
  <r>
    <d v="2023-04-22T00:00:00"/>
    <x v="9"/>
    <x v="0"/>
    <n v="127"/>
    <m/>
    <n v="219"/>
    <m/>
    <s v="2023-04"/>
    <s v="Mixed"/>
  </r>
  <r>
    <d v="2023-04-27T00:00:00"/>
    <x v="9"/>
    <x v="0"/>
    <n v="110"/>
    <m/>
    <n v="219"/>
    <m/>
    <s v="2023-04"/>
    <s v="Mixed"/>
  </r>
  <r>
    <d v="2023-04-29T00:00:00"/>
    <x v="9"/>
    <x v="0"/>
    <n v="31"/>
    <m/>
    <n v="219"/>
    <m/>
    <s v="2023-04"/>
    <s v="Mixed"/>
  </r>
  <r>
    <d v="2023-05-01T00:00:00"/>
    <x v="9"/>
    <x v="0"/>
    <n v="93"/>
    <m/>
    <n v="219"/>
    <m/>
    <s v="2023-05"/>
    <s v="Mixed"/>
  </r>
  <r>
    <d v="2023-05-03T00:00:00"/>
    <x v="9"/>
    <x v="0"/>
    <n v="150"/>
    <m/>
    <n v="219"/>
    <m/>
    <s v="2023-05"/>
    <s v="Mixed"/>
  </r>
  <r>
    <d v="2023-05-05T00:00:00"/>
    <x v="9"/>
    <x v="0"/>
    <n v="110"/>
    <m/>
    <n v="219"/>
    <m/>
    <s v="2023-05"/>
    <s v="Mixed"/>
  </r>
  <r>
    <d v="2023-05-05T00:00:00"/>
    <x v="9"/>
    <x v="2"/>
    <n v="-60"/>
    <n v="1967"/>
    <n v="219"/>
    <s v="Book total 1967 is 60 less than the lines"/>
    <s v="2023-05"/>
    <s v="Mixed"/>
  </r>
  <r>
    <d v="2023-05-05T00:00:00"/>
    <x v="9"/>
    <x v="0"/>
    <n v="50"/>
    <n v="2017"/>
    <n v="219"/>
    <s v="Date not written. Book: T 2017"/>
    <s v="2023-05"/>
    <s v="Mixed"/>
  </r>
  <r>
    <d v="2023-05-12T00:00:00"/>
    <x v="9"/>
    <x v="1"/>
    <n v="1800"/>
    <n v="217"/>
    <n v="219"/>
    <s v="Book: paid 1800 on 12/5, BAK 217"/>
    <s v="2023-05"/>
    <s v="Mixed"/>
  </r>
  <r>
    <d v="2023-05-12T00:00:00"/>
    <x v="9"/>
    <x v="0"/>
    <n v="1206"/>
    <m/>
    <n v="219"/>
    <m/>
    <s v="2023-05"/>
    <s v="Mixed"/>
  </r>
  <r>
    <d v="2023-05-13T00:00:00"/>
    <x v="9"/>
    <x v="0"/>
    <n v="52"/>
    <m/>
    <n v="219"/>
    <m/>
    <s v="2023-05"/>
    <s v="Mixed"/>
  </r>
  <r>
    <d v="2023-06-01T00:00:00"/>
    <x v="9"/>
    <x v="0"/>
    <n v="91"/>
    <n v="1566"/>
    <n v="219"/>
    <s v="Book: TC 1566"/>
    <s v="2023-06"/>
    <s v="Mixed"/>
  </r>
  <r>
    <d v="2023-06-01T00:00:00"/>
    <x v="9"/>
    <x v="1"/>
    <n v="1500"/>
    <n v="66"/>
    <n v="219"/>
    <s v="Book: paid 1500 (date looks like 1/6), 66 left"/>
    <s v="2023-06"/>
    <s v="Mixed"/>
  </r>
  <r>
    <d v="2023-06-07T00:00:00"/>
    <x v="9"/>
    <x v="0"/>
    <n v="10"/>
    <m/>
    <n v="219"/>
    <m/>
    <s v="2023-06"/>
    <s v="Mixed"/>
  </r>
  <r>
    <d v="2022-09-07T00:00:00"/>
    <x v="10"/>
    <x v="3"/>
    <n v="2508"/>
    <n v="2508"/>
    <n v="244"/>
    <s v="Opening Total 2508 (account 115)"/>
    <s v="2022-09"/>
    <s v="Pays full"/>
  </r>
  <r>
    <d v="2022-09-07T00:00:00"/>
    <x v="10"/>
    <x v="0"/>
    <n v="20"/>
    <m/>
    <n v="244"/>
    <m/>
    <s v="2022-09"/>
    <s v="Pays full"/>
  </r>
  <r>
    <d v="2022-09-09T00:00:00"/>
    <x v="10"/>
    <x v="0"/>
    <n v="252"/>
    <m/>
    <n v="244"/>
    <m/>
    <s v="2022-09"/>
    <s v="Pays full"/>
  </r>
  <r>
    <d v="2022-09-09T00:00:00"/>
    <x v="10"/>
    <x v="0"/>
    <n v="242"/>
    <m/>
    <n v="244"/>
    <m/>
    <s v="2022-09"/>
    <s v="Pays full"/>
  </r>
  <r>
    <d v="2022-09-10T00:00:00"/>
    <x v="10"/>
    <x v="0"/>
    <n v="30"/>
    <m/>
    <n v="244"/>
    <m/>
    <s v="2022-09"/>
    <s v="Pays full"/>
  </r>
  <r>
    <d v="2022-09-11T00:00:00"/>
    <x v="10"/>
    <x v="0"/>
    <n v="50"/>
    <m/>
    <n v="244"/>
    <m/>
    <s v="2022-09"/>
    <s v="Pays full"/>
  </r>
  <r>
    <d v="2022-09-11T00:00:00"/>
    <x v="10"/>
    <x v="0"/>
    <n v="40"/>
    <m/>
    <n v="244"/>
    <m/>
    <s v="2022-09"/>
    <s v="Pays full"/>
  </r>
  <r>
    <d v="2022-09-11T00:00:00"/>
    <x v="10"/>
    <x v="0"/>
    <n v="15"/>
    <n v="3157"/>
    <n v="244"/>
    <s v="Book: TL 3157"/>
    <s v="2022-09"/>
    <s v="Pays full"/>
  </r>
  <r>
    <m/>
    <x v="10"/>
    <x v="1"/>
    <n v="3100"/>
    <n v="57"/>
    <n v="244"/>
    <s v="Book: paid 3100 (date not clear)"/>
    <s v=""/>
    <s v="Pays full"/>
  </r>
  <r>
    <m/>
    <x v="10"/>
    <x v="2"/>
    <n v="-57"/>
    <n v="0"/>
    <n v="244"/>
    <s v="57 let go: next total starts from zero"/>
    <s v=""/>
    <s v="Pays full"/>
  </r>
  <r>
    <d v="2022-09-13T00:00:00"/>
    <x v="10"/>
    <x v="0"/>
    <n v="15"/>
    <m/>
    <n v="244"/>
    <m/>
    <s v="2022-09"/>
    <s v="Pays full"/>
  </r>
  <r>
    <d v="2022-09-15T00:00:00"/>
    <x v="10"/>
    <x v="0"/>
    <n v="129"/>
    <m/>
    <n v="244"/>
    <m/>
    <s v="2022-09"/>
    <s v="Pays full"/>
  </r>
  <r>
    <d v="2022-09-17T00:00:00"/>
    <x v="10"/>
    <x v="0"/>
    <n v="44"/>
    <m/>
    <n v="244"/>
    <m/>
    <s v="2022-09"/>
    <s v="Pays full"/>
  </r>
  <r>
    <d v="2022-09-17T00:00:00"/>
    <x v="10"/>
    <x v="0"/>
    <n v="20"/>
    <m/>
    <n v="244"/>
    <m/>
    <s v="2022-09"/>
    <s v="Pays full"/>
  </r>
  <r>
    <d v="2022-09-17T00:00:00"/>
    <x v="10"/>
    <x v="0"/>
    <n v="228"/>
    <m/>
    <n v="244"/>
    <m/>
    <s v="2022-09"/>
    <s v="Pays full"/>
  </r>
  <r>
    <d v="2022-09-20T00:00:00"/>
    <x v="10"/>
    <x v="0"/>
    <n v="235"/>
    <m/>
    <n v="244"/>
    <m/>
    <s v="2022-09"/>
    <s v="Pays full"/>
  </r>
  <r>
    <d v="2022-09-21T00:00:00"/>
    <x v="10"/>
    <x v="0"/>
    <n v="60"/>
    <m/>
    <n v="244"/>
    <m/>
    <s v="2022-09"/>
    <s v="Pays full"/>
  </r>
  <r>
    <d v="2022-09-22T00:00:00"/>
    <x v="10"/>
    <x v="0"/>
    <n v="10"/>
    <m/>
    <n v="244"/>
    <m/>
    <s v="2022-09"/>
    <s v="Pays full"/>
  </r>
  <r>
    <d v="2022-09-24T00:00:00"/>
    <x v="10"/>
    <x v="0"/>
    <n v="187"/>
    <m/>
    <n v="244"/>
    <m/>
    <s v="2022-09"/>
    <s v="Pays full"/>
  </r>
  <r>
    <d v="2022-09-26T00:00:00"/>
    <x v="10"/>
    <x v="0"/>
    <n v="65"/>
    <m/>
    <n v="244"/>
    <m/>
    <s v="2022-09"/>
    <s v="Pays full"/>
  </r>
  <r>
    <d v="2022-09-27T00:00:00"/>
    <x v="10"/>
    <x v="0"/>
    <n v="750"/>
    <m/>
    <n v="244"/>
    <m/>
    <s v="2022-09"/>
    <s v="Pays full"/>
  </r>
  <r>
    <d v="2022-09-29T00:00:00"/>
    <x v="10"/>
    <x v="0"/>
    <n v="16"/>
    <m/>
    <n v="244"/>
    <m/>
    <s v="2022-09"/>
    <s v="Pays full"/>
  </r>
  <r>
    <d v="2022-09-30T00:00:00"/>
    <x v="10"/>
    <x v="0"/>
    <n v="149"/>
    <m/>
    <n v="244"/>
    <m/>
    <s v="2022-09"/>
    <s v="Pays full"/>
  </r>
  <r>
    <d v="2022-10-01T00:00:00"/>
    <x v="10"/>
    <x v="0"/>
    <n v="28"/>
    <m/>
    <n v="244"/>
    <m/>
    <s v="2022-10"/>
    <s v="Pays full"/>
  </r>
  <r>
    <d v="2022-10-02T00:00:00"/>
    <x v="10"/>
    <x v="0"/>
    <n v="54"/>
    <m/>
    <n v="244"/>
    <m/>
    <s v="2022-10"/>
    <s v="Pays full"/>
  </r>
  <r>
    <d v="2022-10-04T00:00:00"/>
    <x v="10"/>
    <x v="0"/>
    <n v="10"/>
    <m/>
    <n v="244"/>
    <m/>
    <s v="2022-10"/>
    <s v="Pays full"/>
  </r>
  <r>
    <d v="2022-10-06T00:00:00"/>
    <x v="10"/>
    <x v="0"/>
    <n v="35"/>
    <m/>
    <n v="244"/>
    <m/>
    <s v="2022-10"/>
    <s v="Pays full"/>
  </r>
  <r>
    <d v="2022-10-07T00:00:00"/>
    <x v="10"/>
    <x v="0"/>
    <n v="137"/>
    <n v="2172"/>
    <n v="244"/>
    <s v="Book: Tot 2172"/>
    <s v="2022-10"/>
    <s v="Pays full"/>
  </r>
  <r>
    <d v="2022-10-07T00:00:00"/>
    <x v="10"/>
    <x v="0"/>
    <n v="8"/>
    <n v="2180"/>
    <n v="244"/>
    <s v="Book: +8 = 2180 (date not written)"/>
    <s v="2022-10"/>
    <s v="Pays full"/>
  </r>
  <r>
    <m/>
    <x v="10"/>
    <x v="1"/>
    <n v="2180"/>
    <n v="0"/>
    <n v="244"/>
    <s v="Book: 2180 written twice and crossed = paid"/>
    <s v=""/>
    <s v="Pays full"/>
  </r>
  <r>
    <d v="2022-10-08T00:00:00"/>
    <x v="10"/>
    <x v="0"/>
    <n v="149"/>
    <m/>
    <n v="244"/>
    <m/>
    <s v="2022-10"/>
    <s v="Pays full"/>
  </r>
  <r>
    <d v="2022-10-12T00:00:00"/>
    <x v="10"/>
    <x v="0"/>
    <n v="304"/>
    <m/>
    <n v="244"/>
    <m/>
    <s v="2022-10"/>
    <s v="Pays full"/>
  </r>
  <r>
    <d v="2022-10-17T00:00:00"/>
    <x v="10"/>
    <x v="0"/>
    <n v="99"/>
    <m/>
    <n v="244"/>
    <m/>
    <s v="2022-10"/>
    <s v="Pays full"/>
  </r>
  <r>
    <d v="2022-10-21T00:00:00"/>
    <x v="10"/>
    <x v="0"/>
    <n v="118"/>
    <m/>
    <n v="244"/>
    <m/>
    <s v="2022-10"/>
    <s v="Pays full"/>
  </r>
  <r>
    <d v="2022-10-23T00:00:00"/>
    <x v="10"/>
    <x v="0"/>
    <n v="40"/>
    <m/>
    <n v="244"/>
    <m/>
    <s v="2022-10"/>
    <s v="Pays full"/>
  </r>
  <r>
    <d v="2022-10-25T00:00:00"/>
    <x v="10"/>
    <x v="0"/>
    <n v="60"/>
    <m/>
    <n v="244"/>
    <m/>
    <s v="2022-10"/>
    <s v="Pays full"/>
  </r>
  <r>
    <d v="2022-10-26T00:00:00"/>
    <x v="10"/>
    <x v="0"/>
    <n v="20"/>
    <m/>
    <n v="244"/>
    <m/>
    <s v="2022-10"/>
    <s v="Pays full"/>
  </r>
  <r>
    <d v="2022-10-26T00:00:00"/>
    <x v="10"/>
    <x v="0"/>
    <n v="68"/>
    <m/>
    <n v="244"/>
    <m/>
    <s v="2022-10"/>
    <s v="Pays full"/>
  </r>
  <r>
    <d v="2022-10-27T00:00:00"/>
    <x v="10"/>
    <x v="0"/>
    <n v="149"/>
    <m/>
    <n v="244"/>
    <m/>
    <s v="2022-10"/>
    <s v="Pays full"/>
  </r>
  <r>
    <d v="2022-10-28T00:00:00"/>
    <x v="10"/>
    <x v="0"/>
    <n v="56"/>
    <m/>
    <n v="244"/>
    <m/>
    <s v="2022-10"/>
    <s v="Pays full"/>
  </r>
  <r>
    <d v="2022-10-30T00:00:00"/>
    <x v="10"/>
    <x v="0"/>
    <n v="100"/>
    <m/>
    <n v="244"/>
    <m/>
    <s v="2022-10"/>
    <s v="Pays full"/>
  </r>
  <r>
    <d v="2022-10-31T00:00:00"/>
    <x v="10"/>
    <x v="0"/>
    <n v="268"/>
    <m/>
    <n v="244"/>
    <m/>
    <s v="2022-10"/>
    <s v="Pays full"/>
  </r>
  <r>
    <d v="2022-11-03T00:00:00"/>
    <x v="10"/>
    <x v="0"/>
    <n v="180"/>
    <m/>
    <n v="244"/>
    <m/>
    <s v="2022-11"/>
    <s v="Pays full"/>
  </r>
  <r>
    <d v="2022-11-08T00:00:00"/>
    <x v="10"/>
    <x v="0"/>
    <n v="55"/>
    <m/>
    <n v="244"/>
    <m/>
    <s v="2022-11"/>
    <s v="Pays full"/>
  </r>
  <r>
    <d v="2022-11-08T00:00:00"/>
    <x v="10"/>
    <x v="0"/>
    <n v="60"/>
    <m/>
    <n v="244"/>
    <s v="Crossed-out 60 below not counted"/>
    <s v="2022-11"/>
    <s v="Pays full"/>
  </r>
  <r>
    <d v="2022-11-08T00:00:00"/>
    <x v="10"/>
    <x v="2"/>
    <n v="-5"/>
    <n v="1721"/>
    <n v="244"/>
    <s v="Book total 1721 is 5 less than the lines"/>
    <s v="2022-11"/>
    <s v="Pays full"/>
  </r>
  <r>
    <d v="2022-11-10T00:00:00"/>
    <x v="10"/>
    <x v="0"/>
    <n v="433"/>
    <m/>
    <n v="244"/>
    <m/>
    <s v="2022-11"/>
    <s v="Pays full"/>
  </r>
  <r>
    <d v="2022-11-10T00:00:00"/>
    <x v="10"/>
    <x v="0"/>
    <n v="10"/>
    <n v="2164"/>
    <n v="244"/>
    <s v="Date not written. Book: TL 2164"/>
    <s v="2022-11"/>
    <s v="Pays full"/>
  </r>
  <r>
    <d v="2022-11-15T00:00:00"/>
    <x v="10"/>
    <x v="1"/>
    <n v="2160"/>
    <n v="4"/>
    <n v="244"/>
    <s v="Book: paid 2160 on 15/11"/>
    <s v="2022-11"/>
    <s v="Pays full"/>
  </r>
  <r>
    <d v="2022-11-15T00:00:00"/>
    <x v="10"/>
    <x v="2"/>
    <n v="-4"/>
    <n v="0"/>
    <n v="244"/>
    <s v="4 let go: next total starts from zero"/>
    <s v="2022-11"/>
    <s v="Pays full"/>
  </r>
  <r>
    <d v="2022-11-15T00:00:00"/>
    <x v="10"/>
    <x v="0"/>
    <n v="32"/>
    <m/>
    <n v="244"/>
    <m/>
    <s v="2022-11"/>
    <s v="Pays full"/>
  </r>
  <r>
    <d v="2022-11-16T00:00:00"/>
    <x v="10"/>
    <x v="0"/>
    <n v="153"/>
    <m/>
    <n v="244"/>
    <m/>
    <s v="2022-11"/>
    <s v="Pays full"/>
  </r>
  <r>
    <d v="2022-11-19T00:00:00"/>
    <x v="10"/>
    <x v="0"/>
    <n v="185"/>
    <m/>
    <n v="244"/>
    <s v="Read as 185 (looks like 135): makes TL 814 exact"/>
    <s v="2022-11"/>
    <s v="Pays full"/>
  </r>
  <r>
    <d v="2022-11-25T00:00:00"/>
    <x v="10"/>
    <x v="0"/>
    <n v="240"/>
    <m/>
    <n v="244"/>
    <m/>
    <s v="2022-11"/>
    <s v="Pays full"/>
  </r>
  <r>
    <d v="2022-11-26T00:00:00"/>
    <x v="10"/>
    <x v="0"/>
    <n v="89"/>
    <m/>
    <n v="244"/>
    <m/>
    <s v="2022-11"/>
    <s v="Pays full"/>
  </r>
  <r>
    <d v="2022-11-29T00:00:00"/>
    <x v="10"/>
    <x v="0"/>
    <n v="115"/>
    <n v="814"/>
    <n v="244"/>
    <s v="Book: TL 814"/>
    <s v="2022-11"/>
    <s v="Pays full"/>
  </r>
  <r>
    <d v="2022-12-13T00:00:00"/>
    <x v="10"/>
    <x v="1"/>
    <n v="814"/>
    <n v="0"/>
    <n v="244"/>
    <s v="Book: paid 814 on 13/12"/>
    <s v="2022-12"/>
    <s v="Pays full"/>
  </r>
  <r>
    <d v="2022-12-14T00:00:00"/>
    <x v="10"/>
    <x v="0"/>
    <n v="283"/>
    <m/>
    <n v="244"/>
    <m/>
    <s v="2022-12"/>
    <s v="Pays full"/>
  </r>
  <r>
    <d v="2022-12-18T00:00:00"/>
    <x v="10"/>
    <x v="0"/>
    <n v="52"/>
    <m/>
    <n v="244"/>
    <m/>
    <s v="2022-12"/>
    <s v="Pays full"/>
  </r>
  <r>
    <d v="2022-12-20T00:00:00"/>
    <x v="10"/>
    <x v="0"/>
    <n v="180"/>
    <m/>
    <n v="244"/>
    <m/>
    <s v="2022-12"/>
    <s v="Pays full"/>
  </r>
  <r>
    <d v="2022-12-23T00:00:00"/>
    <x v="10"/>
    <x v="0"/>
    <n v="57"/>
    <m/>
    <n v="244"/>
    <m/>
    <s v="2022-12"/>
    <s v="Pays full"/>
  </r>
  <r>
    <d v="2022-12-25T00:00:00"/>
    <x v="10"/>
    <x v="0"/>
    <n v="142"/>
    <m/>
    <n v="244"/>
    <m/>
    <s v="2022-12"/>
    <s v="Pays full"/>
  </r>
  <r>
    <d v="2022-12-27T00:00:00"/>
    <x v="10"/>
    <x v="0"/>
    <n v="25"/>
    <m/>
    <n v="244"/>
    <m/>
    <s v="2022-12"/>
    <s v="Pays full"/>
  </r>
  <r>
    <d v="2022-12-30T00:00:00"/>
    <x v="10"/>
    <x v="0"/>
    <n v="519"/>
    <m/>
    <n v="244"/>
    <m/>
    <s v="2022-12"/>
    <s v="Pays full"/>
  </r>
  <r>
    <d v="2023-01-01T00:00:00"/>
    <x v="10"/>
    <x v="0"/>
    <n v="175"/>
    <m/>
    <n v="244"/>
    <m/>
    <s v="2023-01"/>
    <s v="Pays full"/>
  </r>
  <r>
    <d v="2023-01-07T00:00:00"/>
    <x v="10"/>
    <x v="0"/>
    <n v="60"/>
    <n v="1493"/>
    <n v="244"/>
    <s v="Book: Total 1493"/>
    <s v="2023-01"/>
    <s v="Pays full"/>
  </r>
  <r>
    <d v="2023-01-11T00:00:00"/>
    <x v="10"/>
    <x v="0"/>
    <n v="56"/>
    <n v="1549"/>
    <n v="244"/>
    <s v="Book: TO 1549"/>
    <s v="2023-01"/>
    <s v="Pays full"/>
  </r>
  <r>
    <d v="2023-01-12T00:00:00"/>
    <x v="10"/>
    <x v="1"/>
    <n v="1000"/>
    <n v="549"/>
    <n v="244"/>
    <s v="Book: paid 1000 on 12/1, BAK 549"/>
    <s v="2023-01"/>
    <s v="Pays full"/>
  </r>
  <r>
    <d v="2023-01-12T00:00:00"/>
    <x v="10"/>
    <x v="1"/>
    <n v="549"/>
    <n v="0"/>
    <n v="244"/>
    <s v="Book: 549 written again and crossed = paid"/>
    <s v="2023-01"/>
    <s v="Pays full"/>
  </r>
  <r>
    <d v="2023-01-18T00:00:00"/>
    <x v="10"/>
    <x v="0"/>
    <n v="297"/>
    <m/>
    <n v="244"/>
    <m/>
    <s v="2023-01"/>
    <s v="Pays full"/>
  </r>
  <r>
    <d v="2023-01-18T00:00:00"/>
    <x v="10"/>
    <x v="0"/>
    <n v="86"/>
    <m/>
    <n v="244"/>
    <m/>
    <s v="2023-01"/>
    <s v="Pays full"/>
  </r>
  <r>
    <d v="2023-01-22T00:00:00"/>
    <x v="10"/>
    <x v="0"/>
    <n v="169"/>
    <m/>
    <n v="244"/>
    <m/>
    <s v="2023-01"/>
    <s v="Pays full"/>
  </r>
  <r>
    <d v="2023-01-22T00:00:00"/>
    <x v="10"/>
    <x v="0"/>
    <n v="104"/>
    <m/>
    <n v="244"/>
    <m/>
    <s v="2023-01"/>
    <s v="Pays full"/>
  </r>
  <r>
    <d v="2023-01-24T00:00:00"/>
    <x v="10"/>
    <x v="0"/>
    <n v="172"/>
    <m/>
    <n v="244"/>
    <m/>
    <s v="2023-01"/>
    <s v="Pays full"/>
  </r>
  <r>
    <d v="2023-01-26T00:00:00"/>
    <x v="10"/>
    <x v="0"/>
    <n v="71"/>
    <m/>
    <n v="244"/>
    <s v="Scribbled; may be 21"/>
    <s v="2023-01"/>
    <s v="Pays full"/>
  </r>
  <r>
    <d v="2023-01-26T00:00:00"/>
    <x v="10"/>
    <x v="0"/>
    <n v="495"/>
    <m/>
    <n v="244"/>
    <m/>
    <s v="2023-01"/>
    <s v="Pays full"/>
  </r>
  <r>
    <d v="2023-01-29T00:00:00"/>
    <x v="10"/>
    <x v="0"/>
    <n v="166"/>
    <m/>
    <n v="244"/>
    <m/>
    <s v="2023-01"/>
    <s v="Pays full"/>
  </r>
  <r>
    <d v="2023-02-01T00:00:00"/>
    <x v="10"/>
    <x v="0"/>
    <n v="115"/>
    <m/>
    <n v="244"/>
    <m/>
    <s v="2023-02"/>
    <s v="Pays full"/>
  </r>
  <r>
    <d v="2023-02-03T00:00:00"/>
    <x v="10"/>
    <x v="0"/>
    <n v="81"/>
    <m/>
    <n v="244"/>
    <m/>
    <s v="2023-02"/>
    <s v="Pays full"/>
  </r>
  <r>
    <d v="2023-02-03T00:00:00"/>
    <x v="10"/>
    <x v="2"/>
    <n v="-50"/>
    <n v="1706"/>
    <n v="244"/>
    <s v="Book total 1706 is 50 less than the lines"/>
    <s v="2023-02"/>
    <s v="Pays full"/>
  </r>
  <r>
    <m/>
    <x v="10"/>
    <x v="1"/>
    <n v="1706"/>
    <n v="0"/>
    <n v="244"/>
    <s v="Book: 1706 written twice and crossed = paid"/>
    <s v=""/>
    <s v="Pays full"/>
  </r>
  <r>
    <d v="2023-02-11T00:00:00"/>
    <x v="10"/>
    <x v="0"/>
    <n v="242"/>
    <m/>
    <n v="244"/>
    <m/>
    <s v="2023-02"/>
    <s v="Pays full"/>
  </r>
  <r>
    <d v="2023-02-18T00:00:00"/>
    <x v="10"/>
    <x v="0"/>
    <n v="173"/>
    <m/>
    <n v="244"/>
    <s v="Read as 173 (looks like 193): makes TB 1166 exact"/>
    <s v="2023-02"/>
    <s v="Pays full"/>
  </r>
  <r>
    <d v="2023-02-19T00:00:00"/>
    <x v="10"/>
    <x v="0"/>
    <n v="45"/>
    <m/>
    <n v="244"/>
    <m/>
    <s v="2023-02"/>
    <s v="Pays full"/>
  </r>
  <r>
    <d v="2023-02-21T00:00:00"/>
    <x v="10"/>
    <x v="0"/>
    <n v="48"/>
    <m/>
    <n v="244"/>
    <m/>
    <s v="2023-02"/>
    <s v="Pays full"/>
  </r>
  <r>
    <d v="2023-02-26T00:00:00"/>
    <x v="10"/>
    <x v="0"/>
    <n v="96"/>
    <m/>
    <n v="244"/>
    <m/>
    <s v="2023-02"/>
    <s v="Pays full"/>
  </r>
  <r>
    <d v="2023-02-26T00:00:00"/>
    <x v="10"/>
    <x v="0"/>
    <n v="180"/>
    <m/>
    <n v="244"/>
    <m/>
    <s v="2023-02"/>
    <s v="Pays full"/>
  </r>
  <r>
    <d v="2023-03-05T00:00:00"/>
    <x v="10"/>
    <x v="0"/>
    <n v="198"/>
    <m/>
    <n v="244"/>
    <m/>
    <s v="2023-03"/>
    <s v="Pays full"/>
  </r>
  <r>
    <d v="2023-03-05T00:00:00"/>
    <x v="10"/>
    <x v="0"/>
    <n v="10"/>
    <m/>
    <n v="244"/>
    <s v="Date not written"/>
    <s v="2023-03"/>
    <s v="Pays full"/>
  </r>
  <r>
    <d v="2023-03-05T00:00:00"/>
    <x v="10"/>
    <x v="0"/>
    <n v="120"/>
    <m/>
    <n v="244"/>
    <m/>
    <s v="2023-03"/>
    <s v="Pays full"/>
  </r>
  <r>
    <d v="2023-03-05T00:00:00"/>
    <x v="10"/>
    <x v="0"/>
    <n v="20"/>
    <m/>
    <n v="244"/>
    <m/>
    <s v="2023-03"/>
    <s v="Pays full"/>
  </r>
  <r>
    <d v="2023-03-08T00:00:00"/>
    <x v="10"/>
    <x v="0"/>
    <n v="34"/>
    <n v="1166"/>
    <n v="244"/>
    <s v="Book: TB 1166"/>
    <s v="2023-03"/>
    <s v="Pays full"/>
  </r>
  <r>
    <d v="2023-03-11T00:00:00"/>
    <x v="10"/>
    <x v="1"/>
    <n v="1166"/>
    <n v="0"/>
    <n v="244"/>
    <s v="Book: paid 1166 (date looks like 11/3). Lines after this are cut off at the page edge"/>
    <s v="2023-03"/>
    <s v="Pays full"/>
  </r>
  <r>
    <d v="2023-03-11T00:00:00"/>
    <x v="10"/>
    <x v="0"/>
    <n v="127"/>
    <m/>
    <n v="245"/>
    <s v="Page 245 (continues page 244)"/>
    <s v="2023-03"/>
    <s v="Pays full"/>
  </r>
  <r>
    <d v="2023-03-13T00:00:00"/>
    <x v="10"/>
    <x v="0"/>
    <n v="73"/>
    <m/>
    <n v="245"/>
    <m/>
    <s v="2023-03"/>
    <s v="Pays full"/>
  </r>
  <r>
    <d v="2023-03-19T00:00:00"/>
    <x v="10"/>
    <x v="0"/>
    <n v="143"/>
    <m/>
    <n v="245"/>
    <m/>
    <s v="2023-03"/>
    <s v="Pays full"/>
  </r>
  <r>
    <d v="2023-03-20T00:00:00"/>
    <x v="10"/>
    <x v="0"/>
    <n v="67"/>
    <m/>
    <n v="245"/>
    <m/>
    <s v="2023-03"/>
    <s v="Pays full"/>
  </r>
  <r>
    <d v="2023-03-26T00:00:00"/>
    <x v="10"/>
    <x v="0"/>
    <n v="55"/>
    <m/>
    <n v="245"/>
    <m/>
    <s v="2023-03"/>
    <s v="Pays full"/>
  </r>
  <r>
    <d v="2023-03-27T00:00:00"/>
    <x v="10"/>
    <x v="0"/>
    <n v="201"/>
    <m/>
    <n v="245"/>
    <m/>
    <s v="2023-03"/>
    <s v="Pays full"/>
  </r>
  <r>
    <d v="2023-03-28T00:00:00"/>
    <x v="10"/>
    <x v="0"/>
    <n v="29"/>
    <m/>
    <n v="245"/>
    <m/>
    <s v="2023-03"/>
    <s v="Pays full"/>
  </r>
  <r>
    <d v="2023-03-31T00:00:00"/>
    <x v="10"/>
    <x v="0"/>
    <n v="116"/>
    <m/>
    <n v="245"/>
    <m/>
    <s v="2023-03"/>
    <s v="Pays full"/>
  </r>
  <r>
    <d v="2023-04-02T00:00:00"/>
    <x v="10"/>
    <x v="0"/>
    <n v="270"/>
    <m/>
    <n v="245"/>
    <s v="Small '91' written above 270"/>
    <s v="2023-04"/>
    <s v="Pays full"/>
  </r>
  <r>
    <d v="2023-04-04T00:00:00"/>
    <x v="10"/>
    <x v="0"/>
    <n v="121"/>
    <m/>
    <n v="245"/>
    <m/>
    <s v="2023-04"/>
    <s v="Pays full"/>
  </r>
  <r>
    <d v="2023-04-04T00:00:00"/>
    <x v="10"/>
    <x v="0"/>
    <n v="44"/>
    <m/>
    <n v="245"/>
    <m/>
    <s v="2023-04"/>
    <s v="Pays full"/>
  </r>
  <r>
    <d v="2023-04-04T00:00:00"/>
    <x v="10"/>
    <x v="2"/>
    <n v="105"/>
    <n v="1351"/>
    <n v="245"/>
    <s v="CHECK: Book total 1351 is 105 more than the lines"/>
    <s v="2023-04"/>
    <s v="Pays full"/>
  </r>
  <r>
    <d v="2023-04-05T00:00:00"/>
    <x v="10"/>
    <x v="0"/>
    <n v="32"/>
    <m/>
    <n v="245"/>
    <m/>
    <s v="2023-04"/>
    <s v="Pays full"/>
  </r>
  <r>
    <d v="2023-04-06T00:00:00"/>
    <x v="10"/>
    <x v="0"/>
    <n v="24"/>
    <m/>
    <n v="245"/>
    <m/>
    <s v="2023-04"/>
    <s v="Pays full"/>
  </r>
  <r>
    <d v="2023-04-08T00:00:00"/>
    <x v="10"/>
    <x v="0"/>
    <n v="80"/>
    <m/>
    <n v="245"/>
    <m/>
    <s v="2023-04"/>
    <s v="Pays full"/>
  </r>
  <r>
    <d v="2023-04-09T00:00:00"/>
    <x v="10"/>
    <x v="0"/>
    <n v="211"/>
    <m/>
    <n v="245"/>
    <m/>
    <s v="2023-04"/>
    <s v="Pays full"/>
  </r>
  <r>
    <d v="2023-04-09T00:00:00"/>
    <x v="10"/>
    <x v="0"/>
    <n v="148"/>
    <m/>
    <n v="245"/>
    <m/>
    <s v="2023-04"/>
    <s v="Pays full"/>
  </r>
  <r>
    <d v="2023-04-09T00:00:00"/>
    <x v="10"/>
    <x v="0"/>
    <n v="50"/>
    <n v="1896"/>
    <n v="245"/>
    <s v="Book: TL 1896"/>
    <s v="2023-04"/>
    <s v="Pays full"/>
  </r>
  <r>
    <m/>
    <x v="10"/>
    <x v="1"/>
    <n v="1896"/>
    <n v="0"/>
    <n v="245"/>
    <s v="Book: 1896 written twice and crossed = paid (April)"/>
    <s v=""/>
    <s v="Pays full"/>
  </r>
  <r>
    <d v="2024-03-10T00:00:00"/>
    <x v="11"/>
    <x v="3"/>
    <n v="1705"/>
    <n v="1705"/>
    <n v="238"/>
    <s v="Opening Total 1705 (account 113, 2024 book)"/>
    <s v="2024-03"/>
    <s v="Carries forward"/>
  </r>
  <r>
    <m/>
    <x v="11"/>
    <x v="1"/>
    <n v="1000"/>
    <n v="705"/>
    <n v="238"/>
    <s v="Book: paid 1000 (date not clear), BAKI 705"/>
    <s v=""/>
    <s v="Carries forward"/>
  </r>
  <r>
    <d v="2024-03-10T00:00:00"/>
    <x v="11"/>
    <x v="0"/>
    <n v="20"/>
    <m/>
    <n v="238"/>
    <m/>
    <s v="2024-03"/>
    <s v="Carries forward"/>
  </r>
  <r>
    <d v="2024-03-11T00:00:00"/>
    <x v="11"/>
    <x v="0"/>
    <n v="30"/>
    <m/>
    <n v="238"/>
    <m/>
    <s v="2024-03"/>
    <s v="Carries forward"/>
  </r>
  <r>
    <d v="2024-03-12T00:00:00"/>
    <x v="11"/>
    <x v="0"/>
    <n v="30"/>
    <n v="785"/>
    <n v="238"/>
    <s v="Book: Tol 785"/>
    <s v="2024-03"/>
    <s v="Carries forward"/>
  </r>
  <r>
    <d v="2024-04-11T00:00:00"/>
    <x v="11"/>
    <x v="0"/>
    <n v="10"/>
    <m/>
    <n v="238"/>
    <m/>
    <s v="2024-04"/>
    <s v="Carries forward"/>
  </r>
  <r>
    <d v="2024-04-12T00:00:00"/>
    <x v="11"/>
    <x v="0"/>
    <n v="20"/>
    <m/>
    <n v="238"/>
    <m/>
    <s v="2024-04"/>
    <s v="Carries forward"/>
  </r>
  <r>
    <d v="2024-04-14T00:00:00"/>
    <x v="11"/>
    <x v="0"/>
    <n v="10"/>
    <m/>
    <n v="238"/>
    <s v="Read as 10 (looks like 20): makes Tol 1300 exact"/>
    <s v="2024-04"/>
    <s v="Carries forward"/>
  </r>
  <r>
    <d v="2024-04-17T00:00:00"/>
    <x v="11"/>
    <x v="0"/>
    <n v="22"/>
    <m/>
    <n v="238"/>
    <m/>
    <s v="2024-04"/>
    <s v="Carries forward"/>
  </r>
  <r>
    <d v="2024-04-18T00:00:00"/>
    <x v="11"/>
    <x v="0"/>
    <n v="10"/>
    <m/>
    <n v="238"/>
    <m/>
    <s v="2024-04"/>
    <s v="Carries forward"/>
  </r>
  <r>
    <d v="2024-04-20T00:00:00"/>
    <x v="11"/>
    <x v="0"/>
    <n v="27"/>
    <m/>
    <n v="238"/>
    <m/>
    <s v="2024-04"/>
    <s v="Carries forward"/>
  </r>
  <r>
    <d v="2024-04-21T00:00:00"/>
    <x v="11"/>
    <x v="0"/>
    <n v="20"/>
    <m/>
    <n v="238"/>
    <m/>
    <s v="2024-04"/>
    <s v="Carries forward"/>
  </r>
  <r>
    <d v="2024-04-22T00:00:00"/>
    <x v="11"/>
    <x v="0"/>
    <n v="20"/>
    <m/>
    <n v="238"/>
    <m/>
    <s v="2024-04"/>
    <s v="Carries forward"/>
  </r>
  <r>
    <d v="2024-04-23T00:00:00"/>
    <x v="11"/>
    <x v="0"/>
    <n v="20"/>
    <m/>
    <n v="238"/>
    <m/>
    <s v="2024-04"/>
    <s v="Carries forward"/>
  </r>
  <r>
    <d v="2024-04-24T00:00:00"/>
    <x v="11"/>
    <x v="0"/>
    <n v="20"/>
    <m/>
    <n v="238"/>
    <m/>
    <s v="2024-04"/>
    <s v="Carries forward"/>
  </r>
  <r>
    <d v="2024-04-28T00:00:00"/>
    <x v="11"/>
    <x v="0"/>
    <n v="20"/>
    <m/>
    <n v="238"/>
    <m/>
    <s v="2024-04"/>
    <s v="Carries forward"/>
  </r>
  <r>
    <d v="2024-04-30T00:00:00"/>
    <x v="11"/>
    <x v="0"/>
    <n v="10"/>
    <m/>
    <n v="238"/>
    <m/>
    <s v="2024-04"/>
    <s v="Carries forward"/>
  </r>
  <r>
    <d v="2024-05-01T00:00:00"/>
    <x v="11"/>
    <x v="0"/>
    <n v="44"/>
    <m/>
    <n v="238"/>
    <m/>
    <s v="2024-05"/>
    <s v="Carries forward"/>
  </r>
  <r>
    <d v="2024-05-02T00:00:00"/>
    <x v="11"/>
    <x v="0"/>
    <n v="20"/>
    <m/>
    <n v="238"/>
    <m/>
    <s v="2024-05"/>
    <s v="Carries forward"/>
  </r>
  <r>
    <d v="2024-05-03T00:00:00"/>
    <x v="11"/>
    <x v="0"/>
    <n v="42"/>
    <m/>
    <n v="238"/>
    <m/>
    <s v="2024-05"/>
    <s v="Carries forward"/>
  </r>
  <r>
    <d v="2024-05-04T00:00:00"/>
    <x v="11"/>
    <x v="0"/>
    <n v="20"/>
    <m/>
    <n v="238"/>
    <m/>
    <s v="2024-05"/>
    <s v="Carries forward"/>
  </r>
  <r>
    <d v="2024-05-04T00:00:00"/>
    <x v="11"/>
    <x v="0"/>
    <n v="20"/>
    <m/>
    <n v="238"/>
    <m/>
    <s v="2024-05"/>
    <s v="Carries forward"/>
  </r>
  <r>
    <d v="2024-05-04T00:00:00"/>
    <x v="11"/>
    <x v="0"/>
    <n v="50"/>
    <m/>
    <n v="238"/>
    <s v="Date not clear"/>
    <s v="2024-05"/>
    <s v="Carries forward"/>
  </r>
  <r>
    <d v="2024-05-05T00:00:00"/>
    <x v="11"/>
    <x v="0"/>
    <n v="20"/>
    <m/>
    <n v="238"/>
    <m/>
    <s v="2024-05"/>
    <s v="Carries forward"/>
  </r>
  <r>
    <d v="2024-05-06T00:00:00"/>
    <x v="11"/>
    <x v="0"/>
    <n v="20"/>
    <m/>
    <n v="238"/>
    <m/>
    <s v="2024-05"/>
    <s v="Carries forward"/>
  </r>
  <r>
    <d v="2024-05-07T00:00:00"/>
    <x v="11"/>
    <x v="0"/>
    <n v="20"/>
    <m/>
    <n v="238"/>
    <m/>
    <s v="2024-05"/>
    <s v="Carries forward"/>
  </r>
  <r>
    <d v="2024-05-08T00:00:00"/>
    <x v="11"/>
    <x v="0"/>
    <n v="20"/>
    <m/>
    <n v="238"/>
    <m/>
    <s v="2024-05"/>
    <s v="Carries forward"/>
  </r>
  <r>
    <d v="2024-05-09T00:00:00"/>
    <x v="11"/>
    <x v="0"/>
    <n v="30"/>
    <n v="1300"/>
    <n v="238"/>
    <s v="Book: Tol 1300"/>
    <s v="2024-05"/>
    <s v="Carries forward"/>
  </r>
  <r>
    <d v="2024-05-10T00:00:00"/>
    <x v="11"/>
    <x v="0"/>
    <n v="20"/>
    <m/>
    <n v="238"/>
    <m/>
    <s v="2024-05"/>
    <s v="Carries forward"/>
  </r>
  <r>
    <d v="2024-05-11T00:00:00"/>
    <x v="11"/>
    <x v="0"/>
    <n v="30"/>
    <m/>
    <n v="238"/>
    <m/>
    <s v="2024-05"/>
    <s v="Carries forward"/>
  </r>
  <r>
    <d v="2024-05-12T00:00:00"/>
    <x v="11"/>
    <x v="0"/>
    <n v="20"/>
    <m/>
    <n v="238"/>
    <m/>
    <s v="2024-05"/>
    <s v="Carries forward"/>
  </r>
  <r>
    <d v="2024-05-13T00:00:00"/>
    <x v="11"/>
    <x v="0"/>
    <n v="20"/>
    <m/>
    <n v="238"/>
    <m/>
    <s v="2024-05"/>
    <s v="Carries forward"/>
  </r>
  <r>
    <d v="2024-05-14T00:00:00"/>
    <x v="11"/>
    <x v="0"/>
    <n v="20"/>
    <m/>
    <n v="238"/>
    <m/>
    <s v="2024-05"/>
    <s v="Carries forward"/>
  </r>
  <r>
    <d v="2024-05-14T00:00:00"/>
    <x v="11"/>
    <x v="0"/>
    <n v="20"/>
    <m/>
    <n v="238"/>
    <m/>
    <s v="2024-05"/>
    <s v="Carries forward"/>
  </r>
  <r>
    <d v="2024-05-16T00:00:00"/>
    <x v="11"/>
    <x v="0"/>
    <n v="30"/>
    <m/>
    <n v="238"/>
    <m/>
    <s v="2024-05"/>
    <s v="Carries forward"/>
  </r>
  <r>
    <d v="2024-05-17T00:00:00"/>
    <x v="11"/>
    <x v="0"/>
    <n v="20"/>
    <m/>
    <n v="238"/>
    <m/>
    <s v="2024-05"/>
    <s v="Carries forward"/>
  </r>
  <r>
    <d v="2024-05-17T00:00:00"/>
    <x v="11"/>
    <x v="0"/>
    <n v="20"/>
    <m/>
    <n v="238"/>
    <m/>
    <s v="2024-05"/>
    <s v="Carries forward"/>
  </r>
  <r>
    <d v="2024-05-20T00:00:00"/>
    <x v="11"/>
    <x v="0"/>
    <n v="15"/>
    <m/>
    <n v="238"/>
    <m/>
    <s v="2024-05"/>
    <s v="Carries forward"/>
  </r>
  <r>
    <d v="2024-05-21T00:00:00"/>
    <x v="11"/>
    <x v="0"/>
    <n v="12"/>
    <m/>
    <n v="238"/>
    <m/>
    <s v="2024-05"/>
    <s v="Carries forward"/>
  </r>
  <r>
    <d v="2024-05-21T00:00:00"/>
    <x v="11"/>
    <x v="0"/>
    <n v="20"/>
    <m/>
    <n v="238"/>
    <m/>
    <s v="2024-05"/>
    <s v="Carries forward"/>
  </r>
  <r>
    <d v="2024-05-22T00:00:00"/>
    <x v="11"/>
    <x v="0"/>
    <n v="30"/>
    <m/>
    <n v="238"/>
    <m/>
    <s v="2024-05"/>
    <s v="Carries forward"/>
  </r>
  <r>
    <d v="2024-05-23T00:00:00"/>
    <x v="11"/>
    <x v="0"/>
    <n v="44"/>
    <m/>
    <n v="238"/>
    <m/>
    <s v="2024-05"/>
    <s v="Carries forward"/>
  </r>
  <r>
    <d v="2024-05-24T00:00:00"/>
    <x v="11"/>
    <x v="0"/>
    <n v="25"/>
    <m/>
    <n v="238"/>
    <m/>
    <s v="2024-05"/>
    <s v="Carries forward"/>
  </r>
  <r>
    <d v="2024-05-25T00:00:00"/>
    <x v="11"/>
    <x v="0"/>
    <n v="20"/>
    <m/>
    <n v="238"/>
    <m/>
    <s v="2024-05"/>
    <s v="Carries forward"/>
  </r>
  <r>
    <d v="2024-05-26T00:00:00"/>
    <x v="11"/>
    <x v="0"/>
    <n v="20"/>
    <m/>
    <n v="238"/>
    <m/>
    <s v="2024-05"/>
    <s v="Carries forward"/>
  </r>
  <r>
    <d v="2024-05-27T00:00:00"/>
    <x v="11"/>
    <x v="0"/>
    <n v="20"/>
    <m/>
    <n v="238"/>
    <m/>
    <s v="2024-05"/>
    <s v="Carries forward"/>
  </r>
  <r>
    <d v="2024-05-28T00:00:00"/>
    <x v="11"/>
    <x v="0"/>
    <n v="20"/>
    <m/>
    <n v="238"/>
    <m/>
    <s v="2024-05"/>
    <s v="Carries forward"/>
  </r>
  <r>
    <d v="2024-05-29T00:00:00"/>
    <x v="11"/>
    <x v="0"/>
    <n v="20"/>
    <m/>
    <n v="238"/>
    <m/>
    <s v="2024-05"/>
    <s v="Carries forward"/>
  </r>
  <r>
    <d v="2024-05-30T00:00:00"/>
    <x v="11"/>
    <x v="0"/>
    <n v="30"/>
    <m/>
    <n v="238"/>
    <m/>
    <s v="2024-05"/>
    <s v="Carries forward"/>
  </r>
  <r>
    <d v="2024-05-31T00:00:00"/>
    <x v="11"/>
    <x v="0"/>
    <n v="20"/>
    <m/>
    <n v="238"/>
    <m/>
    <s v="2024-05"/>
    <s v="Carries forward"/>
  </r>
  <r>
    <d v="2024-06-01T00:00:00"/>
    <x v="11"/>
    <x v="0"/>
    <n v="30"/>
    <m/>
    <n v="238"/>
    <m/>
    <s v="2024-06"/>
    <s v="Carries forward"/>
  </r>
  <r>
    <d v="2024-06-02T00:00:00"/>
    <x v="11"/>
    <x v="0"/>
    <n v="20"/>
    <m/>
    <n v="238"/>
    <m/>
    <s v="2024-06"/>
    <s v="Carries forward"/>
  </r>
  <r>
    <d v="2024-06-04T00:00:00"/>
    <x v="11"/>
    <x v="0"/>
    <n v="40"/>
    <m/>
    <n v="238"/>
    <m/>
    <s v="2024-06"/>
    <s v="Carries forward"/>
  </r>
  <r>
    <d v="2024-06-06T00:00:00"/>
    <x v="11"/>
    <x v="0"/>
    <n v="20"/>
    <m/>
    <n v="238"/>
    <m/>
    <s v="2024-06"/>
    <s v="Carries forward"/>
  </r>
  <r>
    <d v="2024-06-06T00:00:00"/>
    <x v="11"/>
    <x v="0"/>
    <n v="20"/>
    <m/>
    <n v="238"/>
    <m/>
    <s v="2024-06"/>
    <s v="Carries forward"/>
  </r>
  <r>
    <d v="2024-06-07T00:00:00"/>
    <x v="11"/>
    <x v="0"/>
    <n v="30"/>
    <n v="1956"/>
    <n v="238"/>
    <s v="Book: TO 1956"/>
    <s v="2024-06"/>
    <s v="Carries forward"/>
  </r>
  <r>
    <d v="2024-06-07T00:00:00"/>
    <x v="11"/>
    <x v="1"/>
    <n v="1500"/>
    <n v="456"/>
    <n v="238"/>
    <s v="Book: paid 1500 on 7/6, BAKI 456"/>
    <s v="2024-06"/>
    <s v="Carries forward"/>
  </r>
  <r>
    <d v="2024-06-08T00:00:00"/>
    <x v="11"/>
    <x v="0"/>
    <n v="54"/>
    <m/>
    <n v="238"/>
    <m/>
    <s v="2024-06"/>
    <s v="Carries forward"/>
  </r>
  <r>
    <d v="2024-06-08T00:00:00"/>
    <x v="11"/>
    <x v="0"/>
    <n v="20"/>
    <m/>
    <n v="238"/>
    <m/>
    <s v="2024-06"/>
    <s v="Carries forward"/>
  </r>
  <r>
    <d v="2024-06-09T00:00:00"/>
    <x v="11"/>
    <x v="0"/>
    <n v="20"/>
    <m/>
    <n v="238"/>
    <m/>
    <s v="2024-06"/>
    <s v="Carries forward"/>
  </r>
  <r>
    <d v="2024-06-09T00:00:00"/>
    <x v="11"/>
    <x v="0"/>
    <n v="40"/>
    <m/>
    <n v="238"/>
    <m/>
    <s v="2024-06"/>
    <s v="Carries forward"/>
  </r>
  <r>
    <d v="2024-06-11T00:00:00"/>
    <x v="11"/>
    <x v="0"/>
    <n v="100"/>
    <m/>
    <n v="238"/>
    <m/>
    <s v="2024-06"/>
    <s v="Carries forward"/>
  </r>
  <r>
    <d v="2024-06-12T00:00:00"/>
    <x v="11"/>
    <x v="0"/>
    <n v="20"/>
    <m/>
    <n v="238"/>
    <m/>
    <s v="2024-06"/>
    <s v="Carries forward"/>
  </r>
  <r>
    <d v="2024-06-13T00:00:00"/>
    <x v="11"/>
    <x v="0"/>
    <n v="30"/>
    <m/>
    <n v="238"/>
    <m/>
    <s v="2024-06"/>
    <s v="Carries forward"/>
  </r>
  <r>
    <d v="2024-06-15T00:00:00"/>
    <x v="11"/>
    <x v="0"/>
    <n v="20"/>
    <m/>
    <n v="238"/>
    <m/>
    <s v="2024-06"/>
    <s v="Carries forward"/>
  </r>
  <r>
    <d v="2024-06-15T00:00:00"/>
    <x v="11"/>
    <x v="0"/>
    <n v="10"/>
    <m/>
    <n v="238"/>
    <m/>
    <s v="2024-06"/>
    <s v="Carries forward"/>
  </r>
  <r>
    <d v="2024-06-16T00:00:00"/>
    <x v="11"/>
    <x v="0"/>
    <n v="50"/>
    <m/>
    <n v="238"/>
    <m/>
    <s v="2024-06"/>
    <s v="Carries forward"/>
  </r>
  <r>
    <d v="2024-06-17T00:00:00"/>
    <x v="11"/>
    <x v="0"/>
    <n v="40"/>
    <m/>
    <n v="238"/>
    <m/>
    <s v="2024-06"/>
    <s v="Carries forward"/>
  </r>
  <r>
    <d v="2024-06-18T00:00:00"/>
    <x v="11"/>
    <x v="0"/>
    <n v="20"/>
    <m/>
    <n v="238"/>
    <m/>
    <s v="2024-06"/>
    <s v="Carries forward"/>
  </r>
  <r>
    <d v="2024-06-18T00:00:00"/>
    <x v="11"/>
    <x v="0"/>
    <n v="20"/>
    <m/>
    <n v="238"/>
    <m/>
    <s v="2024-06"/>
    <s v="Carries forward"/>
  </r>
  <r>
    <d v="2024-06-19T00:00:00"/>
    <x v="11"/>
    <x v="0"/>
    <n v="20"/>
    <m/>
    <n v="238"/>
    <m/>
    <s v="2024-06"/>
    <s v="Carries forward"/>
  </r>
  <r>
    <d v="2024-06-21T00:00:00"/>
    <x v="11"/>
    <x v="0"/>
    <n v="30"/>
    <m/>
    <n v="238"/>
    <m/>
    <s v="2024-06"/>
    <s v="Carries forward"/>
  </r>
  <r>
    <d v="2024-06-21T00:00:00"/>
    <x v="11"/>
    <x v="0"/>
    <n v="20"/>
    <m/>
    <n v="238"/>
    <m/>
    <s v="2024-06"/>
    <s v="Carries forward"/>
  </r>
  <r>
    <d v="2024-06-22T00:00:00"/>
    <x v="11"/>
    <x v="0"/>
    <n v="20"/>
    <m/>
    <n v="238"/>
    <m/>
    <s v="2024-06"/>
    <s v="Carries forward"/>
  </r>
  <r>
    <d v="2024-06-24T00:00:00"/>
    <x v="11"/>
    <x v="0"/>
    <n v="20"/>
    <m/>
    <n v="238"/>
    <m/>
    <s v="2024-06"/>
    <s v="Carries forward"/>
  </r>
  <r>
    <d v="2024-06-25T00:00:00"/>
    <x v="11"/>
    <x v="0"/>
    <n v="30"/>
    <m/>
    <n v="238"/>
    <m/>
    <s v="2024-06"/>
    <s v="Carries forward"/>
  </r>
  <r>
    <d v="2024-06-26T00:00:00"/>
    <x v="11"/>
    <x v="0"/>
    <n v="10"/>
    <m/>
    <n v="238"/>
    <m/>
    <s v="2024-06"/>
    <s v="Carries forward"/>
  </r>
  <r>
    <d v="2024-06-27T00:00:00"/>
    <x v="11"/>
    <x v="0"/>
    <n v="30"/>
    <m/>
    <n v="238"/>
    <m/>
    <s v="2024-06"/>
    <s v="Carries forward"/>
  </r>
  <r>
    <d v="2024-06-28T00:00:00"/>
    <x v="11"/>
    <x v="0"/>
    <n v="30"/>
    <m/>
    <n v="238"/>
    <m/>
    <s v="2024-06"/>
    <s v="Carries forward"/>
  </r>
  <r>
    <d v="2024-06-28T00:00:00"/>
    <x v="11"/>
    <x v="0"/>
    <n v="20"/>
    <m/>
    <n v="238"/>
    <m/>
    <s v="2024-06"/>
    <s v="Carries forward"/>
  </r>
  <r>
    <d v="2024-07-02T00:00:00"/>
    <x v="11"/>
    <x v="0"/>
    <n v="20"/>
    <m/>
    <n v="238"/>
    <m/>
    <s v="2024-07"/>
    <s v="Carries forward"/>
  </r>
  <r>
    <d v="2024-07-03T00:00:00"/>
    <x v="11"/>
    <x v="0"/>
    <n v="20"/>
    <m/>
    <n v="238"/>
    <s v="Last line on the page; no total yet"/>
    <s v="2024-07"/>
    <s v="Carries forward"/>
  </r>
  <r>
    <d v="2024-03-01T00:00:00"/>
    <x v="12"/>
    <x v="3"/>
    <n v="2918"/>
    <n v="2918"/>
    <n v="236"/>
    <s v="Opening BAKI 2918 (account 114, 2024 book)"/>
    <s v="2024-03"/>
    <s v="Carries forward"/>
  </r>
  <r>
    <d v="2024-03-01T00:00:00"/>
    <x v="12"/>
    <x v="0"/>
    <n v="71"/>
    <m/>
    <n v="236"/>
    <m/>
    <s v="2024-03"/>
    <s v="Carries forward"/>
  </r>
  <r>
    <d v="2024-03-01T00:00:00"/>
    <x v="12"/>
    <x v="0"/>
    <n v="210"/>
    <m/>
    <n v="236"/>
    <m/>
    <s v="2024-03"/>
    <s v="Carries forward"/>
  </r>
  <r>
    <d v="2024-03-02T00:00:00"/>
    <x v="12"/>
    <x v="0"/>
    <n v="11"/>
    <m/>
    <n v="236"/>
    <m/>
    <s v="2024-03"/>
    <s v="Carries forward"/>
  </r>
  <r>
    <d v="2024-03-04T00:00:00"/>
    <x v="12"/>
    <x v="0"/>
    <n v="265"/>
    <m/>
    <n v="236"/>
    <m/>
    <s v="2024-03"/>
    <s v="Carries forward"/>
  </r>
  <r>
    <d v="2024-03-04T00:00:00"/>
    <x v="12"/>
    <x v="0"/>
    <n v="47"/>
    <m/>
    <n v="236"/>
    <m/>
    <s v="2024-03"/>
    <s v="Carries forward"/>
  </r>
  <r>
    <d v="2024-03-04T00:00:00"/>
    <x v="12"/>
    <x v="0"/>
    <n v="133"/>
    <m/>
    <n v="236"/>
    <m/>
    <s v="2024-03"/>
    <s v="Carries forward"/>
  </r>
  <r>
    <d v="2024-03-04T00:00:00"/>
    <x v="12"/>
    <x v="0"/>
    <n v="96"/>
    <m/>
    <n v="236"/>
    <m/>
    <s v="2024-03"/>
    <s v="Carries forward"/>
  </r>
  <r>
    <d v="2024-03-04T00:00:00"/>
    <x v="12"/>
    <x v="0"/>
    <n v="45"/>
    <m/>
    <n v="236"/>
    <m/>
    <s v="2024-03"/>
    <s v="Carries forward"/>
  </r>
  <r>
    <d v="2024-03-04T00:00:00"/>
    <x v="12"/>
    <x v="0"/>
    <n v="346"/>
    <m/>
    <n v="236"/>
    <m/>
    <s v="2024-03"/>
    <s v="Carries forward"/>
  </r>
  <r>
    <d v="2024-03-04T00:00:00"/>
    <x v="12"/>
    <x v="0"/>
    <n v="37"/>
    <m/>
    <n v="236"/>
    <m/>
    <s v="2024-03"/>
    <s v="Carries forward"/>
  </r>
  <r>
    <d v="2024-03-04T00:00:00"/>
    <x v="12"/>
    <x v="0"/>
    <n v="1740"/>
    <m/>
    <n v="236"/>
    <m/>
    <s v="2024-03"/>
    <s v="Carries forward"/>
  </r>
  <r>
    <d v="2024-03-05T00:00:00"/>
    <x v="12"/>
    <x v="0"/>
    <n v="150"/>
    <m/>
    <n v="236"/>
    <s v="May be 157"/>
    <s v="2024-03"/>
    <s v="Carries forward"/>
  </r>
  <r>
    <d v="2024-03-05T00:00:00"/>
    <x v="12"/>
    <x v="0"/>
    <n v="62"/>
    <m/>
    <n v="236"/>
    <m/>
    <s v="2024-03"/>
    <s v="Carries forward"/>
  </r>
  <r>
    <d v="2024-03-05T00:00:00"/>
    <x v="12"/>
    <x v="0"/>
    <n v="28"/>
    <m/>
    <n v="236"/>
    <m/>
    <s v="2024-03"/>
    <s v="Carries forward"/>
  </r>
  <r>
    <d v="2024-03-05T00:00:00"/>
    <x v="12"/>
    <x v="0"/>
    <n v="50"/>
    <m/>
    <n v="236"/>
    <m/>
    <s v="2024-03"/>
    <s v="Carries forward"/>
  </r>
  <r>
    <d v="2024-03-05T00:00:00"/>
    <x v="12"/>
    <x v="0"/>
    <n v="25"/>
    <m/>
    <n v="236"/>
    <m/>
    <s v="2024-03"/>
    <s v="Carries forward"/>
  </r>
  <r>
    <d v="2024-03-05T00:00:00"/>
    <x v="12"/>
    <x v="0"/>
    <n v="20"/>
    <m/>
    <n v="236"/>
    <m/>
    <s v="2024-03"/>
    <s v="Carries forward"/>
  </r>
  <r>
    <d v="2024-03-05T00:00:00"/>
    <x v="12"/>
    <x v="0"/>
    <n v="112"/>
    <m/>
    <n v="236"/>
    <m/>
    <s v="2024-03"/>
    <s v="Carries forward"/>
  </r>
  <r>
    <d v="2024-03-05T00:00:00"/>
    <x v="12"/>
    <x v="0"/>
    <n v="105"/>
    <m/>
    <n v="236"/>
    <m/>
    <s v="2024-03"/>
    <s v="Carries forward"/>
  </r>
  <r>
    <d v="2024-03-05T00:00:00"/>
    <x v="12"/>
    <x v="0"/>
    <n v="90"/>
    <m/>
    <n v="236"/>
    <m/>
    <s v="2024-03"/>
    <s v="Carries forward"/>
  </r>
  <r>
    <d v="2024-03-06T00:00:00"/>
    <x v="12"/>
    <x v="0"/>
    <n v="80"/>
    <m/>
    <n v="236"/>
    <m/>
    <s v="2024-03"/>
    <s v="Carries forward"/>
  </r>
  <r>
    <d v="2024-03-06T00:00:00"/>
    <x v="12"/>
    <x v="0"/>
    <n v="20"/>
    <m/>
    <n v="236"/>
    <m/>
    <s v="2024-03"/>
    <s v="Carries forward"/>
  </r>
  <r>
    <d v="2024-03-06T00:00:00"/>
    <x v="12"/>
    <x v="0"/>
    <n v="60"/>
    <m/>
    <n v="236"/>
    <m/>
    <s v="2024-03"/>
    <s v="Carries forward"/>
  </r>
  <r>
    <d v="2024-03-06T00:00:00"/>
    <x v="12"/>
    <x v="0"/>
    <n v="131"/>
    <m/>
    <n v="236"/>
    <m/>
    <s v="2024-03"/>
    <s v="Carries forward"/>
  </r>
  <r>
    <d v="2024-03-07T00:00:00"/>
    <x v="12"/>
    <x v="0"/>
    <n v="86"/>
    <m/>
    <n v="236"/>
    <m/>
    <s v="2024-03"/>
    <s v="Carries forward"/>
  </r>
  <r>
    <d v="2024-03-07T00:00:00"/>
    <x v="12"/>
    <x v="0"/>
    <n v="249"/>
    <m/>
    <n v="236"/>
    <m/>
    <s v="2024-03"/>
    <s v="Carries forward"/>
  </r>
  <r>
    <d v="2024-03-07T00:00:00"/>
    <x v="12"/>
    <x v="0"/>
    <n v="64"/>
    <m/>
    <n v="236"/>
    <m/>
    <s v="2024-03"/>
    <s v="Carries forward"/>
  </r>
  <r>
    <d v="2024-03-07T00:00:00"/>
    <x v="12"/>
    <x v="0"/>
    <n v="46"/>
    <m/>
    <n v="236"/>
    <m/>
    <s v="2024-03"/>
    <s v="Carries forward"/>
  </r>
  <r>
    <d v="2024-03-07T00:00:00"/>
    <x v="12"/>
    <x v="0"/>
    <n v="87"/>
    <m/>
    <n v="236"/>
    <m/>
    <s v="2024-03"/>
    <s v="Carries forward"/>
  </r>
  <r>
    <d v="2024-03-07T00:00:00"/>
    <x v="12"/>
    <x v="0"/>
    <n v="45"/>
    <m/>
    <n v="236"/>
    <m/>
    <s v="2024-03"/>
    <s v="Carries forward"/>
  </r>
  <r>
    <d v="2024-03-08T00:00:00"/>
    <x v="12"/>
    <x v="0"/>
    <n v="85"/>
    <m/>
    <n v="236"/>
    <m/>
    <s v="2024-03"/>
    <s v="Carries forward"/>
  </r>
  <r>
    <d v="2024-03-08T00:00:00"/>
    <x v="12"/>
    <x v="0"/>
    <n v="100"/>
    <m/>
    <n v="236"/>
    <m/>
    <s v="2024-03"/>
    <s v="Carries forward"/>
  </r>
  <r>
    <d v="2024-03-08T00:00:00"/>
    <x v="12"/>
    <x v="0"/>
    <n v="87"/>
    <m/>
    <n v="236"/>
    <m/>
    <s v="2024-03"/>
    <s v="Carries forward"/>
  </r>
  <r>
    <d v="2024-03-08T00:00:00"/>
    <x v="12"/>
    <x v="0"/>
    <n v="47"/>
    <m/>
    <n v="236"/>
    <m/>
    <s v="2024-03"/>
    <s v="Carries forward"/>
  </r>
  <r>
    <d v="2024-03-09T00:00:00"/>
    <x v="12"/>
    <x v="0"/>
    <n v="219"/>
    <m/>
    <n v="236"/>
    <m/>
    <s v="2024-03"/>
    <s v="Carries forward"/>
  </r>
  <r>
    <d v="2024-03-09T00:00:00"/>
    <x v="12"/>
    <x v="0"/>
    <n v="29"/>
    <m/>
    <n v="236"/>
    <m/>
    <s v="2024-03"/>
    <s v="Carries forward"/>
  </r>
  <r>
    <d v="2024-03-09T00:00:00"/>
    <x v="12"/>
    <x v="0"/>
    <n v="95"/>
    <m/>
    <n v="236"/>
    <m/>
    <s v="2024-03"/>
    <s v="Carries forward"/>
  </r>
  <r>
    <d v="2024-03-09T00:00:00"/>
    <x v="12"/>
    <x v="0"/>
    <n v="15"/>
    <m/>
    <n v="236"/>
    <m/>
    <s v="2024-03"/>
    <s v="Carries forward"/>
  </r>
  <r>
    <d v="2024-03-09T00:00:00"/>
    <x v="12"/>
    <x v="0"/>
    <n v="15"/>
    <m/>
    <n v="236"/>
    <m/>
    <s v="2024-03"/>
    <s v="Carries forward"/>
  </r>
  <r>
    <d v="2024-03-10T00:00:00"/>
    <x v="12"/>
    <x v="0"/>
    <n v="171"/>
    <m/>
    <n v="236"/>
    <m/>
    <s v="2024-03"/>
    <s v="Carries forward"/>
  </r>
  <r>
    <d v="2024-03-10T00:00:00"/>
    <x v="12"/>
    <x v="0"/>
    <n v="97"/>
    <m/>
    <n v="236"/>
    <m/>
    <s v="2024-03"/>
    <s v="Carries forward"/>
  </r>
  <r>
    <d v="2024-03-10T00:00:00"/>
    <x v="12"/>
    <x v="0"/>
    <n v="210"/>
    <m/>
    <n v="236"/>
    <m/>
    <s v="2024-03"/>
    <s v="Carries forward"/>
  </r>
  <r>
    <d v="2024-03-10T00:00:00"/>
    <x v="12"/>
    <x v="0"/>
    <n v="40"/>
    <m/>
    <n v="236"/>
    <m/>
    <s v="2024-03"/>
    <s v="Carries forward"/>
  </r>
  <r>
    <d v="2024-03-10T00:00:00"/>
    <x v="12"/>
    <x v="0"/>
    <n v="125"/>
    <m/>
    <n v="236"/>
    <s v="Date written like 9/3"/>
    <s v="2024-03"/>
    <s v="Carries forward"/>
  </r>
  <r>
    <d v="2024-03-10T00:00:00"/>
    <x v="12"/>
    <x v="0"/>
    <n v="227"/>
    <m/>
    <n v="236"/>
    <s v="Date written like 9/3"/>
    <s v="2024-03"/>
    <s v="Carries forward"/>
  </r>
  <r>
    <d v="2024-03-11T00:00:00"/>
    <x v="12"/>
    <x v="0"/>
    <n v="56"/>
    <m/>
    <n v="236"/>
    <m/>
    <s v="2024-03"/>
    <s v="Carries forward"/>
  </r>
  <r>
    <d v="2024-03-11T00:00:00"/>
    <x v="12"/>
    <x v="0"/>
    <n v="65"/>
    <m/>
    <n v="236"/>
    <m/>
    <s v="2024-03"/>
    <s v="Carries forward"/>
  </r>
  <r>
    <d v="2024-03-11T00:00:00"/>
    <x v="12"/>
    <x v="0"/>
    <n v="51"/>
    <m/>
    <n v="236"/>
    <m/>
    <s v="2024-03"/>
    <s v="Carries forward"/>
  </r>
  <r>
    <d v="2024-03-11T00:00:00"/>
    <x v="12"/>
    <x v="0"/>
    <n v="40"/>
    <m/>
    <n v="236"/>
    <m/>
    <s v="2024-03"/>
    <s v="Carries forward"/>
  </r>
  <r>
    <d v="2024-03-12T00:00:00"/>
    <x v="12"/>
    <x v="0"/>
    <n v="348"/>
    <m/>
    <n v="236"/>
    <m/>
    <s v="2024-03"/>
    <s v="Carries forward"/>
  </r>
  <r>
    <d v="2024-03-12T00:00:00"/>
    <x v="12"/>
    <x v="0"/>
    <n v="27"/>
    <m/>
    <n v="236"/>
    <s v="Small '54' written next to it"/>
    <s v="2024-03"/>
    <s v="Carries forward"/>
  </r>
  <r>
    <d v="2024-03-12T00:00:00"/>
    <x v="12"/>
    <x v="0"/>
    <n v="296"/>
    <m/>
    <n v="236"/>
    <m/>
    <s v="2024-03"/>
    <s v="Carries forward"/>
  </r>
  <r>
    <d v="2024-03-12T00:00:00"/>
    <x v="12"/>
    <x v="0"/>
    <n v="10"/>
    <m/>
    <n v="236"/>
    <m/>
    <s v="2024-03"/>
    <s v="Carries forward"/>
  </r>
  <r>
    <d v="2024-03-12T00:00:00"/>
    <x v="12"/>
    <x v="0"/>
    <n v="10"/>
    <m/>
    <n v="236"/>
    <m/>
    <s v="2024-03"/>
    <s v="Carries forward"/>
  </r>
  <r>
    <d v="2024-03-12T00:00:00"/>
    <x v="12"/>
    <x v="0"/>
    <n v="67"/>
    <m/>
    <n v="236"/>
    <m/>
    <s v="2024-03"/>
    <s v="Carries forward"/>
  </r>
  <r>
    <d v="2024-03-13T00:00:00"/>
    <x v="12"/>
    <x v="0"/>
    <n v="56"/>
    <m/>
    <n v="236"/>
    <m/>
    <s v="2024-03"/>
    <s v="Carries forward"/>
  </r>
  <r>
    <d v="2024-03-13T00:00:00"/>
    <x v="12"/>
    <x v="0"/>
    <n v="20"/>
    <m/>
    <n v="236"/>
    <m/>
    <s v="2024-03"/>
    <s v="Carries forward"/>
  </r>
  <r>
    <d v="2024-03-13T00:00:00"/>
    <x v="12"/>
    <x v="0"/>
    <n v="180"/>
    <m/>
    <n v="236"/>
    <m/>
    <s v="2024-03"/>
    <s v="Carries forward"/>
  </r>
  <r>
    <d v="2024-03-13T00:00:00"/>
    <x v="12"/>
    <x v="0"/>
    <n v="125"/>
    <m/>
    <n v="236"/>
    <m/>
    <s v="2024-03"/>
    <s v="Carries forward"/>
  </r>
  <r>
    <d v="2024-03-13T00:00:00"/>
    <x v="12"/>
    <x v="0"/>
    <n v="42"/>
    <m/>
    <n v="236"/>
    <m/>
    <s v="2024-03"/>
    <s v="Carries forward"/>
  </r>
  <r>
    <d v="2024-03-14T00:00:00"/>
    <x v="12"/>
    <x v="0"/>
    <n v="258"/>
    <m/>
    <n v="236"/>
    <m/>
    <s v="2024-03"/>
    <s v="Carries forward"/>
  </r>
  <r>
    <d v="2024-03-14T00:00:00"/>
    <x v="12"/>
    <x v="0"/>
    <n v="56"/>
    <m/>
    <n v="236"/>
    <m/>
    <s v="2024-03"/>
    <s v="Carries forward"/>
  </r>
  <r>
    <d v="2024-03-14T00:00:00"/>
    <x v="12"/>
    <x v="0"/>
    <n v="85"/>
    <m/>
    <n v="236"/>
    <m/>
    <s v="2024-03"/>
    <s v="Carries forward"/>
  </r>
  <r>
    <d v="2024-03-14T00:00:00"/>
    <x v="12"/>
    <x v="0"/>
    <n v="207"/>
    <m/>
    <n v="236"/>
    <s v="Date written like 14/2"/>
    <s v="2024-03"/>
    <s v="Carries forward"/>
  </r>
  <r>
    <d v="2024-03-15T00:00:00"/>
    <x v="12"/>
    <x v="0"/>
    <n v="85"/>
    <m/>
    <n v="236"/>
    <s v="Date written like 15/2"/>
    <s v="2024-03"/>
    <s v="Carries forward"/>
  </r>
  <r>
    <d v="2024-03-14T00:00:00"/>
    <x v="12"/>
    <x v="0"/>
    <n v="40"/>
    <m/>
    <n v="236"/>
    <m/>
    <s v="2024-03"/>
    <s v="Carries forward"/>
  </r>
  <r>
    <d v="2024-03-15T00:00:00"/>
    <x v="12"/>
    <x v="0"/>
    <n v="72"/>
    <m/>
    <n v="236"/>
    <m/>
    <s v="2024-03"/>
    <s v="Carries forward"/>
  </r>
  <r>
    <d v="2024-03-17T00:00:00"/>
    <x v="12"/>
    <x v="0"/>
    <n v="52"/>
    <m/>
    <n v="236"/>
    <s v="Written above the top line; date not clear"/>
    <s v="2024-03"/>
    <s v="Carries forward"/>
  </r>
  <r>
    <d v="2024-03-13T00:00:00"/>
    <x v="12"/>
    <x v="0"/>
    <n v="40"/>
    <m/>
    <n v="236"/>
    <m/>
    <s v="2024-03"/>
    <s v="Carries forward"/>
  </r>
  <r>
    <d v="2024-03-15T00:00:00"/>
    <x v="12"/>
    <x v="0"/>
    <n v="139"/>
    <m/>
    <n v="236"/>
    <m/>
    <s v="2024-03"/>
    <s v="Carries forward"/>
  </r>
  <r>
    <d v="2024-03-15T00:00:00"/>
    <x v="12"/>
    <x v="0"/>
    <n v="40"/>
    <m/>
    <n v="236"/>
    <s v="Water"/>
    <s v="2024-03"/>
    <s v="Carries forward"/>
  </r>
  <r>
    <d v="2024-03-15T00:00:00"/>
    <x v="12"/>
    <x v="0"/>
    <n v="80"/>
    <m/>
    <n v="236"/>
    <s v="Eggs"/>
    <s v="2024-03"/>
    <s v="Carries forward"/>
  </r>
  <r>
    <d v="2024-03-16T00:00:00"/>
    <x v="12"/>
    <x v="0"/>
    <n v="50"/>
    <m/>
    <n v="236"/>
    <m/>
    <s v="2024-03"/>
    <s v="Carries forward"/>
  </r>
  <r>
    <d v="2024-03-16T00:00:00"/>
    <x v="12"/>
    <x v="0"/>
    <n v="114"/>
    <m/>
    <n v="236"/>
    <m/>
    <s v="2024-03"/>
    <s v="Carries forward"/>
  </r>
  <r>
    <d v="2024-03-16T00:00:00"/>
    <x v="12"/>
    <x v="0"/>
    <n v="194"/>
    <m/>
    <n v="236"/>
    <m/>
    <s v="2024-03"/>
    <s v="Carries forward"/>
  </r>
  <r>
    <d v="2024-03-17T00:00:00"/>
    <x v="12"/>
    <x v="0"/>
    <n v="60"/>
    <m/>
    <n v="236"/>
    <s v="Water"/>
    <s v="2024-03"/>
    <s v="Carries forward"/>
  </r>
  <r>
    <d v="2024-03-17T00:00:00"/>
    <x v="12"/>
    <x v="0"/>
    <n v="90"/>
    <m/>
    <n v="236"/>
    <m/>
    <s v="2024-03"/>
    <s v="Carries forward"/>
  </r>
  <r>
    <d v="2024-03-17T00:00:00"/>
    <x v="12"/>
    <x v="0"/>
    <n v="130"/>
    <m/>
    <n v="236"/>
    <m/>
    <s v="2024-03"/>
    <s v="Carries forward"/>
  </r>
  <r>
    <d v="2024-03-17T00:00:00"/>
    <x v="12"/>
    <x v="0"/>
    <n v="6"/>
    <m/>
    <n v="236"/>
    <m/>
    <s v="2024-03"/>
    <s v="Carries forward"/>
  </r>
  <r>
    <d v="2024-03-17T00:00:00"/>
    <x v="12"/>
    <x v="0"/>
    <n v="40"/>
    <m/>
    <n v="236"/>
    <s v="Coconut"/>
    <s v="2024-03"/>
    <s v="Carries forward"/>
  </r>
  <r>
    <d v="2024-03-17T00:00:00"/>
    <x v="12"/>
    <x v="0"/>
    <n v="80"/>
    <m/>
    <n v="236"/>
    <m/>
    <s v="2024-03"/>
    <s v="Carries forward"/>
  </r>
  <r>
    <d v="2024-03-18T00:00:00"/>
    <x v="12"/>
    <x v="0"/>
    <n v="94"/>
    <m/>
    <n v="236"/>
    <m/>
    <s v="2024-03"/>
    <s v="Carries forward"/>
  </r>
  <r>
    <d v="2024-03-18T00:00:00"/>
    <x v="12"/>
    <x v="0"/>
    <n v="67"/>
    <m/>
    <n v="236"/>
    <m/>
    <s v="2024-03"/>
    <s v="Carries forward"/>
  </r>
  <r>
    <d v="2024-03-18T00:00:00"/>
    <x v="12"/>
    <x v="0"/>
    <n v="40"/>
    <m/>
    <n v="236"/>
    <m/>
    <s v="2024-03"/>
    <s v="Carries forward"/>
  </r>
  <r>
    <d v="2024-03-18T00:00:00"/>
    <x v="12"/>
    <x v="0"/>
    <n v="123"/>
    <m/>
    <n v="236"/>
    <m/>
    <s v="2024-03"/>
    <s v="Carries forward"/>
  </r>
  <r>
    <d v="2024-03-18T00:00:00"/>
    <x v="12"/>
    <x v="0"/>
    <n v="100"/>
    <m/>
    <n v="236"/>
    <m/>
    <s v="2024-03"/>
    <s v="Carries forward"/>
  </r>
  <r>
    <d v="2024-03-18T00:00:00"/>
    <x v="12"/>
    <x v="0"/>
    <n v="65"/>
    <m/>
    <n v="236"/>
    <m/>
    <s v="2024-03"/>
    <s v="Carries forward"/>
  </r>
  <r>
    <d v="2024-03-18T00:00:00"/>
    <x v="12"/>
    <x v="0"/>
    <n v="112"/>
    <m/>
    <n v="236"/>
    <m/>
    <s v="2024-03"/>
    <s v="Carries forward"/>
  </r>
  <r>
    <d v="2024-03-18T00:00:00"/>
    <x v="12"/>
    <x v="0"/>
    <n v="27"/>
    <m/>
    <n v="236"/>
    <m/>
    <s v="2024-03"/>
    <s v="Carries forward"/>
  </r>
  <r>
    <d v="2024-03-19T00:00:00"/>
    <x v="12"/>
    <x v="0"/>
    <n v="141"/>
    <m/>
    <n v="236"/>
    <m/>
    <s v="2024-03"/>
    <s v="Carries forward"/>
  </r>
  <r>
    <d v="2024-03-19T00:00:00"/>
    <x v="12"/>
    <x v="0"/>
    <n v="67"/>
    <m/>
    <n v="236"/>
    <m/>
    <s v="2024-03"/>
    <s v="Carries forward"/>
  </r>
  <r>
    <d v="2024-03-19T00:00:00"/>
    <x v="12"/>
    <x v="0"/>
    <n v="143"/>
    <m/>
    <n v="236"/>
    <m/>
    <s v="2024-03"/>
    <s v="Carries forward"/>
  </r>
  <r>
    <d v="2024-03-19T00:00:00"/>
    <x v="12"/>
    <x v="0"/>
    <n v="130"/>
    <m/>
    <n v="236"/>
    <m/>
    <s v="2024-03"/>
    <s v="Carries forward"/>
  </r>
  <r>
    <d v="2024-03-20T00:00:00"/>
    <x v="12"/>
    <x v="0"/>
    <n v="55"/>
    <m/>
    <n v="236"/>
    <m/>
    <s v="2024-03"/>
    <s v="Carries forward"/>
  </r>
  <r>
    <d v="2024-03-20T00:00:00"/>
    <x v="12"/>
    <x v="0"/>
    <n v="120"/>
    <m/>
    <n v="236"/>
    <m/>
    <s v="2024-03"/>
    <s v="Carries forward"/>
  </r>
  <r>
    <d v="2024-03-20T00:00:00"/>
    <x v="12"/>
    <x v="0"/>
    <n v="87"/>
    <m/>
    <n v="236"/>
    <m/>
    <s v="2024-03"/>
    <s v="Carries forward"/>
  </r>
  <r>
    <d v="2024-03-20T00:00:00"/>
    <x v="12"/>
    <x v="0"/>
    <n v="81"/>
    <m/>
    <n v="236"/>
    <m/>
    <s v="2024-03"/>
    <s v="Carries forward"/>
  </r>
  <r>
    <d v="2024-03-20T00:00:00"/>
    <x v="12"/>
    <x v="0"/>
    <n v="42"/>
    <m/>
    <n v="236"/>
    <m/>
    <s v="2024-03"/>
    <s v="Carries forward"/>
  </r>
  <r>
    <d v="2024-03-21T00:00:00"/>
    <x v="12"/>
    <x v="0"/>
    <n v="250"/>
    <m/>
    <n v="236"/>
    <m/>
    <s v="2024-03"/>
    <s v="Carries forward"/>
  </r>
  <r>
    <d v="2024-03-21T00:00:00"/>
    <x v="12"/>
    <x v="0"/>
    <n v="1250"/>
    <m/>
    <n v="236"/>
    <s v="GAS (1800 crossed out, 1250 written)"/>
    <s v="2024-03"/>
    <s v="Carries forward"/>
  </r>
  <r>
    <d v="2024-03-21T00:00:00"/>
    <x v="12"/>
    <x v="0"/>
    <n v="86"/>
    <m/>
    <n v="237"/>
    <m/>
    <s v="2024-03"/>
    <s v="Carries forward"/>
  </r>
  <r>
    <d v="2024-03-22T00:00:00"/>
    <x v="12"/>
    <x v="0"/>
    <n v="100"/>
    <m/>
    <n v="237"/>
    <m/>
    <s v="2024-03"/>
    <s v="Carries forward"/>
  </r>
  <r>
    <d v="2024-03-21T00:00:00"/>
    <x v="12"/>
    <x v="0"/>
    <n v="75"/>
    <m/>
    <n v="237"/>
    <m/>
    <s v="2024-03"/>
    <s v="Carries forward"/>
  </r>
  <r>
    <d v="2024-03-21T00:00:00"/>
    <x v="12"/>
    <x v="0"/>
    <n v="37"/>
    <m/>
    <n v="237"/>
    <m/>
    <s v="2024-03"/>
    <s v="Carries forward"/>
  </r>
  <r>
    <d v="2024-03-22T00:00:00"/>
    <x v="12"/>
    <x v="0"/>
    <n v="81"/>
    <m/>
    <n v="237"/>
    <m/>
    <s v="2024-03"/>
    <s v="Carries forward"/>
  </r>
  <r>
    <d v="2024-03-22T00:00:00"/>
    <x v="12"/>
    <x v="0"/>
    <n v="75"/>
    <m/>
    <n v="237"/>
    <m/>
    <s v="2024-03"/>
    <s v="Carries forward"/>
  </r>
  <r>
    <d v="2024-03-22T00:00:00"/>
    <x v="12"/>
    <x v="0"/>
    <n v="70"/>
    <m/>
    <n v="237"/>
    <m/>
    <s v="2024-03"/>
    <s v="Carries forward"/>
  </r>
  <r>
    <d v="2024-03-22T00:00:00"/>
    <x v="12"/>
    <x v="0"/>
    <n v="60"/>
    <m/>
    <n v="237"/>
    <m/>
    <s v="2024-03"/>
    <s v="Carries forward"/>
  </r>
  <r>
    <d v="2024-03-23T00:00:00"/>
    <x v="12"/>
    <x v="0"/>
    <n v="1500"/>
    <m/>
    <n v="237"/>
    <m/>
    <s v="2024-03"/>
    <s v="Carries forward"/>
  </r>
  <r>
    <d v="2024-03-23T00:00:00"/>
    <x v="12"/>
    <x v="0"/>
    <n v="77"/>
    <m/>
    <n v="237"/>
    <s v="Water"/>
    <s v="2024-03"/>
    <s v="Carries forward"/>
  </r>
  <r>
    <d v="2024-03-23T00:00:00"/>
    <x v="12"/>
    <x v="0"/>
    <n v="135"/>
    <m/>
    <n v="237"/>
    <s v="May be 175"/>
    <s v="2024-03"/>
    <s v="Carries forward"/>
  </r>
  <r>
    <d v="2024-03-23T00:00:00"/>
    <x v="12"/>
    <x v="0"/>
    <n v="163"/>
    <m/>
    <n v="237"/>
    <m/>
    <s v="2024-03"/>
    <s v="Carries forward"/>
  </r>
  <r>
    <d v="2024-03-24T00:00:00"/>
    <x v="12"/>
    <x v="0"/>
    <n v="74"/>
    <m/>
    <n v="237"/>
    <m/>
    <s v="2024-03"/>
    <s v="Carries forward"/>
  </r>
  <r>
    <d v="2024-03-24T00:00:00"/>
    <x v="12"/>
    <x v="0"/>
    <n v="30"/>
    <m/>
    <n v="237"/>
    <m/>
    <s v="2024-03"/>
    <s v="Carries forward"/>
  </r>
  <r>
    <d v="2024-03-25T00:00:00"/>
    <x v="12"/>
    <x v="0"/>
    <n v="26"/>
    <m/>
    <n v="237"/>
    <m/>
    <s v="2024-03"/>
    <s v="Carries forward"/>
  </r>
  <r>
    <d v="2024-03-25T00:00:00"/>
    <x v="12"/>
    <x v="0"/>
    <n v="60"/>
    <m/>
    <n v="237"/>
    <m/>
    <s v="2024-03"/>
    <s v="Carries forward"/>
  </r>
  <r>
    <d v="2024-03-25T00:00:00"/>
    <x v="12"/>
    <x v="0"/>
    <n v="145"/>
    <m/>
    <n v="237"/>
    <s v="May be 125"/>
    <s v="2024-03"/>
    <s v="Carries forward"/>
  </r>
  <r>
    <d v="2024-03-25T00:00:00"/>
    <x v="12"/>
    <x v="0"/>
    <n v="120"/>
    <m/>
    <n v="237"/>
    <m/>
    <s v="2024-03"/>
    <s v="Carries forward"/>
  </r>
  <r>
    <d v="2024-03-25T00:00:00"/>
    <x v="12"/>
    <x v="0"/>
    <n v="66"/>
    <m/>
    <n v="237"/>
    <m/>
    <s v="2024-03"/>
    <s v="Carries forward"/>
  </r>
  <r>
    <d v="2024-03-26T00:00:00"/>
    <x v="12"/>
    <x v="0"/>
    <n v="190"/>
    <m/>
    <n v="237"/>
    <m/>
    <s v="2024-03"/>
    <s v="Carries forward"/>
  </r>
  <r>
    <d v="2024-03-26T00:00:00"/>
    <x v="12"/>
    <x v="0"/>
    <n v="215"/>
    <m/>
    <n v="237"/>
    <m/>
    <s v="2024-03"/>
    <s v="Carries forward"/>
  </r>
  <r>
    <d v="2024-03-26T00:00:00"/>
    <x v="12"/>
    <x v="0"/>
    <n v="10"/>
    <m/>
    <n v="237"/>
    <m/>
    <s v="2024-03"/>
    <s v="Carries forward"/>
  </r>
  <r>
    <d v="2024-03-27T00:00:00"/>
    <x v="12"/>
    <x v="0"/>
    <n v="105"/>
    <m/>
    <n v="237"/>
    <m/>
    <s v="2024-03"/>
    <s v="Carries forward"/>
  </r>
  <r>
    <d v="2024-03-26T00:00:00"/>
    <x v="12"/>
    <x v="0"/>
    <n v="54"/>
    <m/>
    <n v="237"/>
    <m/>
    <s v="2024-03"/>
    <s v="Carries forward"/>
  </r>
  <r>
    <d v="2024-03-27T00:00:00"/>
    <x v="12"/>
    <x v="0"/>
    <n v="364"/>
    <m/>
    <n v="237"/>
    <m/>
    <s v="2024-03"/>
    <s v="Carries forward"/>
  </r>
  <r>
    <d v="2024-03-27T00:00:00"/>
    <x v="12"/>
    <x v="0"/>
    <n v="21"/>
    <m/>
    <n v="237"/>
    <s v="May be 211"/>
    <s v="2024-03"/>
    <s v="Carries forward"/>
  </r>
  <r>
    <d v="2024-03-28T00:00:00"/>
    <x v="12"/>
    <x v="0"/>
    <n v="185"/>
    <m/>
    <n v="237"/>
    <m/>
    <s v="2024-03"/>
    <s v="Carries forward"/>
  </r>
  <r>
    <d v="2024-03-28T00:00:00"/>
    <x v="12"/>
    <x v="0"/>
    <n v="43"/>
    <m/>
    <n v="237"/>
    <m/>
    <s v="2024-03"/>
    <s v="Carries forward"/>
  </r>
  <r>
    <d v="2024-03-28T00:00:00"/>
    <x v="12"/>
    <x v="0"/>
    <n v="100"/>
    <m/>
    <n v="237"/>
    <m/>
    <s v="2024-03"/>
    <s v="Carries forward"/>
  </r>
  <r>
    <d v="2024-03-29T00:00:00"/>
    <x v="12"/>
    <x v="0"/>
    <n v="155"/>
    <m/>
    <n v="237"/>
    <m/>
    <s v="2024-03"/>
    <s v="Carries forward"/>
  </r>
  <r>
    <d v="2024-03-29T00:00:00"/>
    <x v="12"/>
    <x v="0"/>
    <n v="85"/>
    <m/>
    <n v="237"/>
    <m/>
    <s v="2024-03"/>
    <s v="Carries forward"/>
  </r>
  <r>
    <d v="2024-03-29T00:00:00"/>
    <x v="12"/>
    <x v="0"/>
    <n v="126"/>
    <m/>
    <n v="237"/>
    <m/>
    <s v="2024-03"/>
    <s v="Carries forward"/>
  </r>
  <r>
    <d v="2024-03-29T00:00:00"/>
    <x v="12"/>
    <x v="0"/>
    <n v="37"/>
    <m/>
    <n v="237"/>
    <m/>
    <s v="2024-03"/>
    <s v="Carries forward"/>
  </r>
  <r>
    <d v="2024-03-30T00:00:00"/>
    <x v="12"/>
    <x v="0"/>
    <n v="82"/>
    <m/>
    <n v="237"/>
    <m/>
    <s v="2024-03"/>
    <s v="Carries forward"/>
  </r>
  <r>
    <d v="2024-03-30T00:00:00"/>
    <x v="12"/>
    <x v="0"/>
    <n v="90"/>
    <m/>
    <n v="237"/>
    <m/>
    <s v="2024-03"/>
    <s v="Carries forward"/>
  </r>
  <r>
    <d v="2024-03-30T00:00:00"/>
    <x v="12"/>
    <x v="0"/>
    <n v="96"/>
    <m/>
    <n v="237"/>
    <m/>
    <s v="2024-03"/>
    <s v="Carries forward"/>
  </r>
  <r>
    <d v="2024-03-30T00:00:00"/>
    <x v="12"/>
    <x v="0"/>
    <n v="120"/>
    <m/>
    <n v="237"/>
    <m/>
    <s v="2024-03"/>
    <s v="Carries forward"/>
  </r>
  <r>
    <d v="2024-03-30T00:00:00"/>
    <x v="12"/>
    <x v="0"/>
    <n v="140"/>
    <m/>
    <n v="237"/>
    <m/>
    <s v="2024-03"/>
    <s v="Carries forward"/>
  </r>
  <r>
    <d v="2024-03-31T00:00:00"/>
    <x v="12"/>
    <x v="0"/>
    <n v="174"/>
    <m/>
    <n v="237"/>
    <m/>
    <s v="2024-03"/>
    <s v="Carries forward"/>
  </r>
  <r>
    <d v="2024-03-31T00:00:00"/>
    <x v="12"/>
    <x v="0"/>
    <n v="127"/>
    <m/>
    <n v="237"/>
    <m/>
    <s v="2024-03"/>
    <s v="Carries forward"/>
  </r>
  <r>
    <d v="2024-03-31T00:00:00"/>
    <x v="12"/>
    <x v="0"/>
    <n v="60"/>
    <m/>
    <n v="237"/>
    <m/>
    <s v="2024-03"/>
    <s v="Carries forward"/>
  </r>
  <r>
    <d v="2024-03-31T00:00:00"/>
    <x v="12"/>
    <x v="0"/>
    <n v="30"/>
    <m/>
    <n v="237"/>
    <m/>
    <s v="2024-03"/>
    <s v="Carries forward"/>
  </r>
  <r>
    <d v="2024-03-31T00:00:00"/>
    <x v="12"/>
    <x v="2"/>
    <n v="794"/>
    <n v="21679"/>
    <n v="237"/>
    <s v="CHECK: Book total 21679 is 794 more than the lines"/>
    <s v="2024-03"/>
    <s v="Carries forward"/>
  </r>
  <r>
    <d v="2024-04-07T00:00:00"/>
    <x v="12"/>
    <x v="1"/>
    <n v="5000"/>
    <n v="16679"/>
    <n v="237"/>
    <s v="Book: paid 5000 on 7/4, BAKI 16679"/>
    <s v="2024-04"/>
    <s v="Carries forward"/>
  </r>
  <r>
    <d v="2024-04-01T00:00:00"/>
    <x v="12"/>
    <x v="0"/>
    <n v="25"/>
    <m/>
    <n v="237"/>
    <m/>
    <s v="2024-04"/>
    <s v="Carries forward"/>
  </r>
  <r>
    <d v="2024-04-01T00:00:00"/>
    <x v="12"/>
    <x v="0"/>
    <n v="162"/>
    <m/>
    <n v="237"/>
    <m/>
    <s v="2024-04"/>
    <s v="Carries forward"/>
  </r>
  <r>
    <d v="2024-04-01T00:00:00"/>
    <x v="12"/>
    <x v="0"/>
    <n v="86"/>
    <m/>
    <n v="237"/>
    <m/>
    <s v="2024-04"/>
    <s v="Carries forward"/>
  </r>
  <r>
    <d v="2024-04-01T00:00:00"/>
    <x v="12"/>
    <x v="0"/>
    <n v="85"/>
    <m/>
    <n v="237"/>
    <m/>
    <s v="2024-04"/>
    <s v="Carries forward"/>
  </r>
  <r>
    <d v="2024-04-01T00:00:00"/>
    <x v="12"/>
    <x v="0"/>
    <n v="33"/>
    <m/>
    <n v="237"/>
    <m/>
    <s v="2024-04"/>
    <s v="Carries forward"/>
  </r>
  <r>
    <d v="2024-04-02T00:00:00"/>
    <x v="12"/>
    <x v="0"/>
    <n v="113"/>
    <m/>
    <n v="237"/>
    <m/>
    <s v="2024-04"/>
    <s v="Carries forward"/>
  </r>
  <r>
    <d v="2024-04-02T00:00:00"/>
    <x v="12"/>
    <x v="0"/>
    <n v="259"/>
    <m/>
    <n v="237"/>
    <m/>
    <s v="2024-04"/>
    <s v="Carries forward"/>
  </r>
  <r>
    <d v="2024-04-02T00:00:00"/>
    <x v="12"/>
    <x v="0"/>
    <n v="1956"/>
    <m/>
    <n v="237"/>
    <m/>
    <s v="2024-04"/>
    <s v="Carries forward"/>
  </r>
  <r>
    <d v="2024-04-02T00:00:00"/>
    <x v="12"/>
    <x v="0"/>
    <n v="240"/>
    <m/>
    <n v="237"/>
    <m/>
    <s v="2024-04"/>
    <s v="Carries forward"/>
  </r>
  <r>
    <d v="2024-04-03T00:00:00"/>
    <x v="12"/>
    <x v="0"/>
    <n v="40"/>
    <m/>
    <n v="237"/>
    <m/>
    <s v="2024-04"/>
    <s v="Carries forward"/>
  </r>
  <r>
    <d v="2024-04-03T00:00:00"/>
    <x v="12"/>
    <x v="0"/>
    <n v="120"/>
    <m/>
    <n v="237"/>
    <s v="Water"/>
    <s v="2024-04"/>
    <s v="Carries forward"/>
  </r>
  <r>
    <d v="2024-04-03T00:00:00"/>
    <x v="12"/>
    <x v="0"/>
    <n v="27"/>
    <m/>
    <n v="237"/>
    <m/>
    <s v="2024-04"/>
    <s v="Carries forward"/>
  </r>
  <r>
    <d v="2024-04-03T00:00:00"/>
    <x v="12"/>
    <x v="0"/>
    <n v="118"/>
    <m/>
    <n v="237"/>
    <m/>
    <s v="2024-04"/>
    <s v="Carries forward"/>
  </r>
  <r>
    <d v="2024-04-04T00:00:00"/>
    <x v="12"/>
    <x v="0"/>
    <n v="257"/>
    <m/>
    <n v="237"/>
    <m/>
    <s v="2024-04"/>
    <s v="Carries forward"/>
  </r>
  <r>
    <d v="2024-04-04T00:00:00"/>
    <x v="12"/>
    <x v="0"/>
    <n v="227"/>
    <m/>
    <n v="237"/>
    <m/>
    <s v="2024-04"/>
    <s v="Carries forward"/>
  </r>
  <r>
    <d v="2024-04-05T00:00:00"/>
    <x v="12"/>
    <x v="0"/>
    <n v="75"/>
    <m/>
    <n v="237"/>
    <m/>
    <s v="2024-04"/>
    <s v="Carries forward"/>
  </r>
  <r>
    <d v="2024-04-05T00:00:00"/>
    <x v="12"/>
    <x v="0"/>
    <n v="30"/>
    <m/>
    <n v="237"/>
    <m/>
    <s v="2024-04"/>
    <s v="Carries forward"/>
  </r>
  <r>
    <d v="2024-04-05T00:00:00"/>
    <x v="12"/>
    <x v="0"/>
    <n v="10"/>
    <m/>
    <n v="237"/>
    <m/>
    <s v="2024-04"/>
    <s v="Carries forward"/>
  </r>
  <r>
    <d v="2024-04-05T00:00:00"/>
    <x v="12"/>
    <x v="0"/>
    <n v="98"/>
    <m/>
    <n v="237"/>
    <m/>
    <s v="2024-04"/>
    <s v="Carries forward"/>
  </r>
  <r>
    <d v="2024-04-06T00:00:00"/>
    <x v="12"/>
    <x v="0"/>
    <n v="156"/>
    <m/>
    <n v="237"/>
    <m/>
    <s v="2024-04"/>
    <s v="Carries forward"/>
  </r>
  <r>
    <d v="2024-04-06T00:00:00"/>
    <x v="12"/>
    <x v="0"/>
    <n v="120"/>
    <m/>
    <n v="237"/>
    <m/>
    <s v="2024-04"/>
    <s v="Carries forward"/>
  </r>
  <r>
    <d v="2024-04-07T00:00:00"/>
    <x v="12"/>
    <x v="0"/>
    <n v="90"/>
    <m/>
    <n v="237"/>
    <m/>
    <s v="2024-04"/>
    <s v="Carries forward"/>
  </r>
  <r>
    <d v="2024-04-07T00:00:00"/>
    <x v="12"/>
    <x v="0"/>
    <n v="743"/>
    <m/>
    <n v="237"/>
    <m/>
    <s v="2024-04"/>
    <s v="Carries forward"/>
  </r>
  <r>
    <d v="2024-04-11T00:00:00"/>
    <x v="12"/>
    <x v="0"/>
    <n v="178"/>
    <m/>
    <n v="237"/>
    <m/>
    <s v="2024-04"/>
    <s v="Carries forward"/>
  </r>
  <r>
    <d v="2024-04-11T00:00:00"/>
    <x v="12"/>
    <x v="0"/>
    <n v="193"/>
    <m/>
    <n v="237"/>
    <m/>
    <s v="2024-04"/>
    <s v="Carries forward"/>
  </r>
  <r>
    <d v="2024-04-12T00:00:00"/>
    <x v="12"/>
    <x v="0"/>
    <n v="89"/>
    <m/>
    <n v="237"/>
    <m/>
    <s v="2024-04"/>
    <s v="Carries forward"/>
  </r>
  <r>
    <d v="2024-04-12T00:00:00"/>
    <x v="12"/>
    <x v="0"/>
    <n v="165"/>
    <m/>
    <n v="237"/>
    <m/>
    <s v="2024-04"/>
    <s v="Carries forward"/>
  </r>
  <r>
    <d v="2024-04-12T00:00:00"/>
    <x v="12"/>
    <x v="0"/>
    <n v="26"/>
    <m/>
    <n v="237"/>
    <s v="Water"/>
    <s v="2024-04"/>
    <s v="Carries forward"/>
  </r>
  <r>
    <d v="2024-04-13T00:00:00"/>
    <x v="12"/>
    <x v="0"/>
    <n v="80"/>
    <m/>
    <n v="237"/>
    <m/>
    <s v="2024-04"/>
    <s v="Carries forward"/>
  </r>
  <r>
    <d v="2024-04-13T00:00:00"/>
    <x v="12"/>
    <x v="0"/>
    <n v="319"/>
    <m/>
    <n v="237"/>
    <m/>
    <s v="2024-04"/>
    <s v="Carries forward"/>
  </r>
  <r>
    <d v="2024-04-13T00:00:00"/>
    <x v="12"/>
    <x v="0"/>
    <n v="165"/>
    <m/>
    <n v="237"/>
    <m/>
    <s v="2024-04"/>
    <s v="Carries forward"/>
  </r>
  <r>
    <d v="2024-04-14T00:00:00"/>
    <x v="12"/>
    <x v="0"/>
    <n v="124"/>
    <m/>
    <n v="237"/>
    <m/>
    <s v="2024-04"/>
    <s v="Carries forward"/>
  </r>
  <r>
    <d v="2024-04-14T00:00:00"/>
    <x v="12"/>
    <x v="0"/>
    <n v="60"/>
    <m/>
    <n v="237"/>
    <m/>
    <s v="2024-04"/>
    <s v="Carries forward"/>
  </r>
  <r>
    <d v="2024-04-14T00:00:00"/>
    <x v="12"/>
    <x v="0"/>
    <n v="82"/>
    <m/>
    <n v="237"/>
    <s v="Eggs"/>
    <s v="2024-04"/>
    <s v="Carries forward"/>
  </r>
  <r>
    <d v="2024-04-15T00:00:00"/>
    <x v="12"/>
    <x v="0"/>
    <n v="157"/>
    <m/>
    <n v="237"/>
    <m/>
    <s v="2024-04"/>
    <s v="Carries forward"/>
  </r>
  <r>
    <d v="2024-04-16T00:00:00"/>
    <x v="12"/>
    <x v="0"/>
    <n v="156"/>
    <m/>
    <n v="237"/>
    <m/>
    <s v="2024-04"/>
    <s v="Carries forward"/>
  </r>
  <r>
    <d v="2024-04-17T00:00:00"/>
    <x v="12"/>
    <x v="0"/>
    <n v="20"/>
    <m/>
    <n v="237"/>
    <m/>
    <s v="2024-04"/>
    <s v="Carries forward"/>
  </r>
  <r>
    <d v="2024-04-17T00:00:00"/>
    <x v="12"/>
    <x v="0"/>
    <n v="131"/>
    <m/>
    <n v="237"/>
    <m/>
    <s v="2024-04"/>
    <s v="Carries forward"/>
  </r>
  <r>
    <d v="2024-04-18T00:00:00"/>
    <x v="12"/>
    <x v="0"/>
    <n v="97"/>
    <m/>
    <n v="237"/>
    <m/>
    <s v="2024-04"/>
    <s v="Carries forward"/>
  </r>
  <r>
    <d v="2024-04-18T00:00:00"/>
    <x v="12"/>
    <x v="0"/>
    <n v="60"/>
    <m/>
    <n v="237"/>
    <m/>
    <s v="2024-04"/>
    <s v="Carries forward"/>
  </r>
  <r>
    <d v="2024-04-18T00:00:00"/>
    <x v="12"/>
    <x v="0"/>
    <n v="14"/>
    <m/>
    <n v="237"/>
    <m/>
    <s v="2024-04"/>
    <s v="Carries forward"/>
  </r>
  <r>
    <d v="2024-04-18T00:00:00"/>
    <x v="12"/>
    <x v="0"/>
    <n v="178"/>
    <m/>
    <n v="237"/>
    <s v="Written after a scribbled number"/>
    <s v="2024-04"/>
    <s v="Carries forward"/>
  </r>
  <r>
    <d v="2024-04-19T00:00:00"/>
    <x v="12"/>
    <x v="0"/>
    <n v="427"/>
    <m/>
    <n v="237"/>
    <m/>
    <s v="2024-04"/>
    <s v="Carries forward"/>
  </r>
  <r>
    <d v="2024-04-19T00:00:00"/>
    <x v="12"/>
    <x v="0"/>
    <n v="132"/>
    <m/>
    <n v="237"/>
    <m/>
    <s v="2024-04"/>
    <s v="Carries forward"/>
  </r>
  <r>
    <d v="2024-04-20T00:00:00"/>
    <x v="12"/>
    <x v="0"/>
    <n v="42"/>
    <m/>
    <n v="237"/>
    <m/>
    <s v="2024-04"/>
    <s v="Carries forward"/>
  </r>
  <r>
    <d v="2024-04-20T00:00:00"/>
    <x v="12"/>
    <x v="0"/>
    <n v="71"/>
    <m/>
    <n v="237"/>
    <m/>
    <s v="2024-04"/>
    <s v="Carries forward"/>
  </r>
  <r>
    <d v="2024-04-20T00:00:00"/>
    <x v="12"/>
    <x v="0"/>
    <n v="95"/>
    <m/>
    <n v="237"/>
    <m/>
    <s v="2024-04"/>
    <s v="Carries forward"/>
  </r>
  <r>
    <d v="2024-04-21T00:00:00"/>
    <x v="12"/>
    <x v="0"/>
    <n v="173"/>
    <m/>
    <n v="237"/>
    <m/>
    <s v="2024-04"/>
    <s v="Carries forward"/>
  </r>
  <r>
    <d v="2024-04-21T00:00:00"/>
    <x v="12"/>
    <x v="0"/>
    <n v="420"/>
    <m/>
    <n v="237"/>
    <m/>
    <s v="2024-04"/>
    <s v="Carries forward"/>
  </r>
  <r>
    <d v="2024-04-22T00:00:00"/>
    <x v="12"/>
    <x v="0"/>
    <n v="181"/>
    <m/>
    <n v="237"/>
    <m/>
    <s v="2024-04"/>
    <s v="Carries forward"/>
  </r>
  <r>
    <d v="2024-04-22T00:00:00"/>
    <x v="12"/>
    <x v="0"/>
    <n v="27"/>
    <m/>
    <n v="237"/>
    <m/>
    <s v="2024-04"/>
    <s v="Carries forward"/>
  </r>
  <r>
    <d v="2024-04-22T00:00:00"/>
    <x v="12"/>
    <x v="0"/>
    <n v="210"/>
    <m/>
    <n v="237"/>
    <m/>
    <s v="2024-04"/>
    <s v="Carries forward"/>
  </r>
  <r>
    <d v="2024-04-22T00:00:00"/>
    <x v="12"/>
    <x v="0"/>
    <n v="60"/>
    <m/>
    <n v="237"/>
    <m/>
    <s v="2024-04"/>
    <s v="Carries forward"/>
  </r>
  <r>
    <d v="2024-04-22T00:00:00"/>
    <x v="12"/>
    <x v="0"/>
    <n v="32"/>
    <m/>
    <n v="237"/>
    <m/>
    <s v="2024-04"/>
    <s v="Carries forward"/>
  </r>
  <r>
    <d v="2024-04-23T00:00:00"/>
    <x v="12"/>
    <x v="0"/>
    <n v="88"/>
    <m/>
    <n v="237"/>
    <m/>
    <s v="2024-04"/>
    <s v="Carries forward"/>
  </r>
  <r>
    <d v="2024-04-23T00:00:00"/>
    <x v="12"/>
    <x v="0"/>
    <n v="31"/>
    <m/>
    <n v="237"/>
    <s v="Top of last column"/>
    <s v="2024-04"/>
    <s v="Carries forward"/>
  </r>
  <r>
    <d v="2024-04-23T00:00:00"/>
    <x v="12"/>
    <x v="0"/>
    <n v="100"/>
    <m/>
    <n v="237"/>
    <m/>
    <s v="2024-04"/>
    <s v="Carries forward"/>
  </r>
  <r>
    <d v="2024-04-23T00:00:00"/>
    <x v="12"/>
    <x v="0"/>
    <n v="536"/>
    <m/>
    <n v="237"/>
    <m/>
    <s v="2024-04"/>
    <s v="Carries forward"/>
  </r>
  <r>
    <d v="2024-04-24T00:00:00"/>
    <x v="12"/>
    <x v="0"/>
    <n v="74"/>
    <m/>
    <n v="237"/>
    <m/>
    <s v="2024-04"/>
    <s v="Carries forward"/>
  </r>
  <r>
    <d v="2024-04-25T00:00:00"/>
    <x v="12"/>
    <x v="0"/>
    <n v="216"/>
    <m/>
    <n v="237"/>
    <m/>
    <s v="2024-04"/>
    <s v="Carries forward"/>
  </r>
  <r>
    <d v="2024-04-25T00:00:00"/>
    <x v="12"/>
    <x v="0"/>
    <n v="170"/>
    <m/>
    <n v="237"/>
    <m/>
    <s v="2024-04"/>
    <s v="Carries forward"/>
  </r>
  <r>
    <d v="2024-04-27T00:00:00"/>
    <x v="12"/>
    <x v="0"/>
    <n v="45"/>
    <m/>
    <n v="237"/>
    <m/>
    <s v="2024-04"/>
    <s v="Carries forward"/>
  </r>
  <r>
    <d v="2024-04-27T00:00:00"/>
    <x v="12"/>
    <x v="0"/>
    <n v="250"/>
    <m/>
    <n v="237"/>
    <m/>
    <s v="2024-04"/>
    <s v="Carries forward"/>
  </r>
  <r>
    <d v="2024-04-27T00:00:00"/>
    <x v="12"/>
    <x v="0"/>
    <n v="135"/>
    <m/>
    <n v="237"/>
    <m/>
    <s v="2024-04"/>
    <s v="Carries forward"/>
  </r>
  <r>
    <d v="2024-04-27T00:00:00"/>
    <x v="12"/>
    <x v="0"/>
    <n v="40"/>
    <m/>
    <n v="237"/>
    <m/>
    <s v="2024-04"/>
    <s v="Carries forward"/>
  </r>
  <r>
    <d v="2024-04-27T00:00:00"/>
    <x v="12"/>
    <x v="0"/>
    <n v="39"/>
    <m/>
    <n v="237"/>
    <s v="Water"/>
    <s v="2024-04"/>
    <s v="Carries forward"/>
  </r>
  <r>
    <d v="2024-04-28T00:00:00"/>
    <x v="12"/>
    <x v="0"/>
    <n v="648"/>
    <m/>
    <n v="237"/>
    <m/>
    <s v="2024-04"/>
    <s v="Carries forward"/>
  </r>
  <r>
    <d v="2024-04-28T00:00:00"/>
    <x v="12"/>
    <x v="0"/>
    <n v="116"/>
    <m/>
    <n v="237"/>
    <m/>
    <s v="2024-04"/>
    <s v="Carries forward"/>
  </r>
  <r>
    <d v="2024-04-28T00:00:00"/>
    <x v="12"/>
    <x v="0"/>
    <n v="35"/>
    <m/>
    <n v="237"/>
    <m/>
    <s v="2024-04"/>
    <s v="Carries forward"/>
  </r>
  <r>
    <d v="2024-04-28T00:00:00"/>
    <x v="12"/>
    <x v="0"/>
    <n v="187"/>
    <m/>
    <n v="237"/>
    <m/>
    <s v="2024-04"/>
    <s v="Carries forward"/>
  </r>
  <r>
    <d v="2024-04-29T00:00:00"/>
    <x v="12"/>
    <x v="0"/>
    <n v="146"/>
    <m/>
    <n v="237"/>
    <m/>
    <s v="2024-04"/>
    <s v="Carries forward"/>
  </r>
  <r>
    <d v="2024-04-29T00:00:00"/>
    <x v="12"/>
    <x v="0"/>
    <n v="118"/>
    <m/>
    <n v="237"/>
    <m/>
    <s v="2024-04"/>
    <s v="Carries forward"/>
  </r>
  <r>
    <d v="2024-04-29T00:00:00"/>
    <x v="12"/>
    <x v="0"/>
    <n v="50"/>
    <m/>
    <n v="237"/>
    <m/>
    <s v="2024-04"/>
    <s v="Carries forward"/>
  </r>
  <r>
    <d v="2024-04-29T00:00:00"/>
    <x v="12"/>
    <x v="0"/>
    <n v="27"/>
    <m/>
    <n v="237"/>
    <m/>
    <s v="2024-04"/>
    <s v="Carries forward"/>
  </r>
  <r>
    <d v="2024-04-30T00:00:00"/>
    <x v="12"/>
    <x v="0"/>
    <n v="50"/>
    <m/>
    <n v="237"/>
    <m/>
    <s v="2024-04"/>
    <s v="Carries forward"/>
  </r>
  <r>
    <d v="2024-04-30T00:00:00"/>
    <x v="12"/>
    <x v="0"/>
    <n v="80"/>
    <m/>
    <n v="237"/>
    <m/>
    <s v="2024-04"/>
    <s v="Carries forward"/>
  </r>
  <r>
    <d v="2024-04-30T00:00:00"/>
    <x v="12"/>
    <x v="0"/>
    <n v="57"/>
    <m/>
    <n v="237"/>
    <m/>
    <s v="2024-04"/>
    <s v="Carries forward"/>
  </r>
  <r>
    <d v="2024-04-30T00:00:00"/>
    <x v="12"/>
    <x v="0"/>
    <n v="280"/>
    <m/>
    <n v="237"/>
    <m/>
    <s v="2024-04"/>
    <s v="Carries forward"/>
  </r>
  <r>
    <d v="2024-04-30T00:00:00"/>
    <x v="12"/>
    <x v="0"/>
    <n v="127"/>
    <m/>
    <n v="237"/>
    <m/>
    <s v="2024-04"/>
    <s v="Carries forward"/>
  </r>
  <r>
    <d v="2024-04-30T00:00:00"/>
    <x v="12"/>
    <x v="2"/>
    <n v="269"/>
    <n v="29827"/>
    <n v="237"/>
    <s v="CHECK: Book total 29827 is 269 more than the lines"/>
    <s v="2024-04"/>
    <s v="Carries forward"/>
  </r>
  <r>
    <d v="2024-04-28T00:00:00"/>
    <x v="12"/>
    <x v="1"/>
    <n v="15000"/>
    <n v="14827"/>
    <n v="237"/>
    <s v="Book: paid 15000 (date looks like 28/4), BAKI 14827"/>
    <s v="2024-04"/>
    <s v="Carries forward"/>
  </r>
  <r>
    <d v="2024-05-01T00:00:00"/>
    <x v="12"/>
    <x v="0"/>
    <n v="70"/>
    <m/>
    <n v="237"/>
    <m/>
    <s v="2024-05"/>
    <s v="Carries forward"/>
  </r>
  <r>
    <d v="2024-05-01T00:00:00"/>
    <x v="12"/>
    <x v="0"/>
    <n v="137"/>
    <m/>
    <n v="237"/>
    <m/>
    <s v="2024-05"/>
    <s v="Carries forward"/>
  </r>
  <r>
    <d v="2024-05-01T00:00:00"/>
    <x v="12"/>
    <x v="0"/>
    <n v="27"/>
    <m/>
    <n v="237"/>
    <m/>
    <s v="2024-05"/>
    <s v="Carries forward"/>
  </r>
  <r>
    <d v="2024-05-02T00:00:00"/>
    <x v="12"/>
    <x v="0"/>
    <n v="78"/>
    <m/>
    <n v="237"/>
    <m/>
    <s v="2024-05"/>
    <s v="Carries forward"/>
  </r>
  <r>
    <d v="2024-05-02T00:00:00"/>
    <x v="12"/>
    <x v="0"/>
    <n v="50"/>
    <m/>
    <n v="237"/>
    <m/>
    <s v="2024-05"/>
    <s v="Carries forward"/>
  </r>
  <r>
    <d v="2024-05-02T00:00:00"/>
    <x v="12"/>
    <x v="0"/>
    <n v="42"/>
    <m/>
    <n v="237"/>
    <m/>
    <s v="2024-05"/>
    <s v="Carries forward"/>
  </r>
  <r>
    <d v="2024-05-02T00:00:00"/>
    <x v="12"/>
    <x v="0"/>
    <n v="119"/>
    <m/>
    <n v="237"/>
    <m/>
    <s v="2024-05"/>
    <s v="Carries forward"/>
  </r>
  <r>
    <d v="2024-05-04T00:00:00"/>
    <x v="12"/>
    <x v="0"/>
    <n v="60"/>
    <m/>
    <n v="237"/>
    <m/>
    <s v="2024-05"/>
    <s v="Carries forward"/>
  </r>
  <r>
    <d v="2024-05-05T00:00:00"/>
    <x v="12"/>
    <x v="0"/>
    <n v="221"/>
    <m/>
    <n v="237"/>
    <m/>
    <s v="2024-05"/>
    <s v="Carries forward"/>
  </r>
  <r>
    <d v="2024-05-06T00:00:00"/>
    <x v="12"/>
    <x v="0"/>
    <n v="330"/>
    <m/>
    <n v="237"/>
    <m/>
    <s v="2024-05"/>
    <s v="Carries forward"/>
  </r>
  <r>
    <d v="2024-05-07T00:00:00"/>
    <x v="12"/>
    <x v="0"/>
    <n v="285"/>
    <m/>
    <n v="237"/>
    <m/>
    <s v="2024-05"/>
    <s v="Carries forward"/>
  </r>
  <r>
    <d v="2024-05-07T00:00:00"/>
    <x v="12"/>
    <x v="0"/>
    <n v="27"/>
    <m/>
    <n v="237"/>
    <s v="Last line (total at the bottom is cut off)"/>
    <s v="2024-05"/>
    <s v="Carries forward"/>
  </r>
  <r>
    <d v="2024-02-20T00:00:00"/>
    <x v="13"/>
    <x v="0"/>
    <n v="1296"/>
    <m/>
    <n v="230"/>
    <s v="Account 111, 2024 book. Opening 0"/>
    <s v="2024-02"/>
    <s v="Carries forward"/>
  </r>
  <r>
    <d v="2024-02-24T00:00:00"/>
    <x v="13"/>
    <x v="0"/>
    <n v="137"/>
    <m/>
    <n v="230"/>
    <m/>
    <s v="2024-02"/>
    <s v="Carries forward"/>
  </r>
  <r>
    <d v="2024-02-27T00:00:00"/>
    <x v="13"/>
    <x v="0"/>
    <n v="1023"/>
    <m/>
    <n v="230"/>
    <m/>
    <s v="2024-02"/>
    <s v="Carries forward"/>
  </r>
  <r>
    <d v="2024-03-03T00:00:00"/>
    <x v="13"/>
    <x v="0"/>
    <n v="280"/>
    <m/>
    <n v="230"/>
    <m/>
    <s v="2024-03"/>
    <s v="Carries forward"/>
  </r>
  <r>
    <d v="2024-03-08T00:00:00"/>
    <x v="13"/>
    <x v="0"/>
    <n v="215"/>
    <m/>
    <n v="230"/>
    <m/>
    <s v="2024-03"/>
    <s v="Carries forward"/>
  </r>
  <r>
    <d v="2024-03-08T00:00:00"/>
    <x v="13"/>
    <x v="0"/>
    <n v="20"/>
    <m/>
    <n v="230"/>
    <m/>
    <s v="2024-03"/>
    <s v="Carries forward"/>
  </r>
  <r>
    <d v="2024-03-09T00:00:00"/>
    <x v="13"/>
    <x v="0"/>
    <n v="475"/>
    <n v="3446"/>
    <n v="230"/>
    <s v="Book: Tol 3446"/>
    <s v="2024-03"/>
    <s v="Carries forward"/>
  </r>
  <r>
    <d v="2024-03-12T00:00:00"/>
    <x v="13"/>
    <x v="1"/>
    <n v="2400"/>
    <n v="1046"/>
    <n v="230"/>
    <s v="Book: paid 2400 (date looks like 12/3), BAK 1046"/>
    <s v="2024-03"/>
    <s v="Carries forward"/>
  </r>
  <r>
    <d v="2024-03-14T00:00:00"/>
    <x v="13"/>
    <x v="0"/>
    <n v="416"/>
    <m/>
    <n v="230"/>
    <m/>
    <s v="2024-03"/>
    <s v="Carries forward"/>
  </r>
  <r>
    <d v="2024-03-15T00:00:00"/>
    <x v="13"/>
    <x v="0"/>
    <n v="356"/>
    <m/>
    <n v="230"/>
    <m/>
    <s v="2024-03"/>
    <s v="Carries forward"/>
  </r>
  <r>
    <d v="2024-03-21T00:00:00"/>
    <x v="13"/>
    <x v="0"/>
    <n v="320"/>
    <m/>
    <n v="230"/>
    <m/>
    <s v="2024-03"/>
    <s v="Carries forward"/>
  </r>
  <r>
    <d v="2024-03-22T00:00:00"/>
    <x v="13"/>
    <x v="0"/>
    <n v="105"/>
    <n v="2243"/>
    <n v="230"/>
    <s v="Book: Tol 2243 (crossed-out line not counted)"/>
    <s v="2024-03"/>
    <s v="Carries forward"/>
  </r>
  <r>
    <d v="2024-03-25T00:00:00"/>
    <x v="13"/>
    <x v="0"/>
    <n v="489"/>
    <m/>
    <n v="230"/>
    <m/>
    <s v="2024-03"/>
    <s v="Carries forward"/>
  </r>
  <r>
    <d v="2024-03-29T00:00:00"/>
    <x v="13"/>
    <x v="0"/>
    <n v="440"/>
    <m/>
    <n v="230"/>
    <s v="Crossed-out line above not counted"/>
    <s v="2024-03"/>
    <s v="Carries forward"/>
  </r>
  <r>
    <d v="2024-03-29T00:00:00"/>
    <x v="13"/>
    <x v="0"/>
    <n v="15"/>
    <m/>
    <n v="230"/>
    <m/>
    <s v="2024-03"/>
    <s v="Carries forward"/>
  </r>
  <r>
    <d v="2024-03-31T00:00:00"/>
    <x v="13"/>
    <x v="0"/>
    <n v="83"/>
    <n v="3270"/>
    <n v="230"/>
    <s v="Book: TG 3270"/>
    <s v="2024-03"/>
    <s v="Carries forward"/>
  </r>
  <r>
    <d v="2024-04-05T00:00:00"/>
    <x v="13"/>
    <x v="1"/>
    <n v="3000"/>
    <n v="270"/>
    <n v="230"/>
    <s v="Book: paid 3000 on 5/4, BAKI 270"/>
    <s v="2024-04"/>
    <s v="Carries forward"/>
  </r>
  <r>
    <d v="2024-04-05T00:00:00"/>
    <x v="13"/>
    <x v="0"/>
    <n v="476"/>
    <m/>
    <n v="230"/>
    <m/>
    <s v="2024-04"/>
    <s v="Carries forward"/>
  </r>
  <r>
    <d v="2024-04-07T00:00:00"/>
    <x v="13"/>
    <x v="0"/>
    <n v="136"/>
    <m/>
    <n v="230"/>
    <m/>
    <s v="2024-04"/>
    <s v="Carries forward"/>
  </r>
  <r>
    <d v="2024-04-14T00:00:00"/>
    <x v="13"/>
    <x v="0"/>
    <n v="291"/>
    <m/>
    <n v="230"/>
    <m/>
    <s v="2024-04"/>
    <s v="Carries forward"/>
  </r>
  <r>
    <d v="2024-04-16T00:00:00"/>
    <x v="13"/>
    <x v="0"/>
    <n v="300"/>
    <m/>
    <n v="230"/>
    <m/>
    <s v="2024-04"/>
    <s v="Carries forward"/>
  </r>
  <r>
    <d v="2024-04-21T00:00:00"/>
    <x v="13"/>
    <x v="0"/>
    <n v="623"/>
    <m/>
    <n v="230"/>
    <m/>
    <s v="2024-04"/>
    <s v="Carries forward"/>
  </r>
  <r>
    <d v="2024-05-01T00:00:00"/>
    <x v="13"/>
    <x v="0"/>
    <n v="765"/>
    <n v="2861"/>
    <n v="230"/>
    <s v="Book: TL 2861"/>
    <s v="2024-05"/>
    <s v="Carries forward"/>
  </r>
  <r>
    <m/>
    <x v="13"/>
    <x v="1"/>
    <n v="500"/>
    <n v="2361"/>
    <n v="230"/>
    <s v="Book: paid 500 (May), BAKI 2361"/>
    <s v=""/>
    <s v="Carries forward"/>
  </r>
  <r>
    <d v="2024-05-10T00:00:00"/>
    <x v="13"/>
    <x v="0"/>
    <n v="187"/>
    <m/>
    <n v="230"/>
    <m/>
    <s v="2024-05"/>
    <s v="Carries forward"/>
  </r>
  <r>
    <d v="2024-05-20T00:00:00"/>
    <x v="13"/>
    <x v="0"/>
    <n v="182"/>
    <m/>
    <n v="230"/>
    <m/>
    <s v="2024-05"/>
    <s v="Carries forward"/>
  </r>
  <r>
    <d v="2024-06-01T00:00:00"/>
    <x v="13"/>
    <x v="0"/>
    <n v="1173"/>
    <m/>
    <n v="230"/>
    <m/>
    <s v="2024-06"/>
    <s v="Carries forward"/>
  </r>
  <r>
    <d v="2024-06-02T00:00:00"/>
    <x v="13"/>
    <x v="0"/>
    <n v="521"/>
    <n v="4424"/>
    <n v="230"/>
    <s v="Book: TG 4424"/>
    <s v="2024-06"/>
    <s v="Carries forward"/>
  </r>
  <r>
    <m/>
    <x v="13"/>
    <x v="1"/>
    <n v="2000"/>
    <n v="2424"/>
    <n v="230"/>
    <s v="Book: paid 2000 (June), BAK 2424"/>
    <s v=""/>
    <s v="Carries forward"/>
  </r>
  <r>
    <d v="2024-06-07T00:00:00"/>
    <x v="13"/>
    <x v="0"/>
    <n v="113"/>
    <m/>
    <n v="230"/>
    <m/>
    <s v="2024-06"/>
    <s v="Carries forward"/>
  </r>
  <r>
    <d v="2024-06-16T00:00:00"/>
    <x v="13"/>
    <x v="0"/>
    <n v="235"/>
    <m/>
    <n v="230"/>
    <m/>
    <s v="2024-06"/>
    <s v="Carries forward"/>
  </r>
  <r>
    <d v="2024-06-16T00:00:00"/>
    <x v="13"/>
    <x v="0"/>
    <n v="61"/>
    <m/>
    <n v="230"/>
    <m/>
    <s v="2024-06"/>
    <s v="Carries forward"/>
  </r>
  <r>
    <d v="2024-06-26T00:00:00"/>
    <x v="13"/>
    <x v="0"/>
    <n v="230"/>
    <n v="3063"/>
    <n v="230"/>
    <s v="Book: TOL 3063 (crossed-out line not counted)"/>
    <s v="2024-06"/>
    <s v="Carries forward"/>
  </r>
  <r>
    <m/>
    <x v="13"/>
    <x v="1"/>
    <n v="2500"/>
    <n v="563"/>
    <n v="230"/>
    <s v="Book: paid 2500 (July), BAK 563"/>
    <s v=""/>
    <s v="Carries forward"/>
  </r>
  <r>
    <d v="2024-07-03T00:00:00"/>
    <x v="13"/>
    <x v="0"/>
    <n v="1895"/>
    <m/>
    <n v="230"/>
    <m/>
    <s v="2024-07"/>
    <s v="Carries forward"/>
  </r>
  <r>
    <d v="2024-07-03T00:00:00"/>
    <x v="13"/>
    <x v="0"/>
    <n v="20"/>
    <m/>
    <n v="230"/>
    <m/>
    <s v="2024-07"/>
    <s v="Carries forward"/>
  </r>
  <r>
    <d v="2024-07-09T00:00:00"/>
    <x v="13"/>
    <x v="0"/>
    <n v="189"/>
    <m/>
    <n v="230"/>
    <m/>
    <s v="2024-07"/>
    <s v="Carries forward"/>
  </r>
  <r>
    <d v="2024-07-14T00:00:00"/>
    <x v="13"/>
    <x v="0"/>
    <n v="326"/>
    <n v="2993"/>
    <n v="230"/>
    <s v="Book: T 2993"/>
    <s v="2024-07"/>
    <s v="Carries forward"/>
  </r>
  <r>
    <d v="2023-12-25T00:00:00"/>
    <x v="14"/>
    <x v="3"/>
    <n v="2971"/>
    <n v="2971"/>
    <n v="178"/>
    <s v="Opening Total 2971 (account 85)"/>
    <s v="2023-12"/>
    <s v="Pays full"/>
  </r>
  <r>
    <d v="2023-12-25T00:00:00"/>
    <x v="14"/>
    <x v="0"/>
    <n v="20"/>
    <m/>
    <n v="178"/>
    <m/>
    <s v="2023-12"/>
    <s v="Pays full"/>
  </r>
  <r>
    <d v="2023-12-26T00:00:00"/>
    <x v="14"/>
    <x v="0"/>
    <n v="93"/>
    <m/>
    <n v="178"/>
    <m/>
    <s v="2023-12"/>
    <s v="Pays full"/>
  </r>
  <r>
    <d v="2023-12-27T00:00:00"/>
    <x v="14"/>
    <x v="0"/>
    <n v="110"/>
    <m/>
    <n v="178"/>
    <m/>
    <s v="2023-12"/>
    <s v="Pays full"/>
  </r>
  <r>
    <d v="2023-12-29T00:00:00"/>
    <x v="14"/>
    <x v="0"/>
    <n v="535"/>
    <n v="3729"/>
    <n v="178"/>
    <s v="Book: Tol 3729"/>
    <s v="2023-12"/>
    <s v="Pays full"/>
  </r>
  <r>
    <d v="2023-12-31T00:00:00"/>
    <x v="14"/>
    <x v="0"/>
    <n v="1560"/>
    <m/>
    <n v="178"/>
    <s v="Rice (chawal)"/>
    <s v="2023-12"/>
    <s v="Pays full"/>
  </r>
  <r>
    <d v="2023-12-31T00:00:00"/>
    <x v="14"/>
    <x v="0"/>
    <n v="42"/>
    <m/>
    <n v="178"/>
    <m/>
    <s v="2023-12"/>
    <s v="Pays full"/>
  </r>
  <r>
    <d v="2024-01-01T00:00:00"/>
    <x v="14"/>
    <x v="0"/>
    <n v="62"/>
    <m/>
    <n v="178"/>
    <m/>
    <s v="2024-01"/>
    <s v="Pays full"/>
  </r>
  <r>
    <d v="2024-01-02T00:00:00"/>
    <x v="14"/>
    <x v="0"/>
    <n v="95"/>
    <m/>
    <n v="178"/>
    <m/>
    <s v="2024-01"/>
    <s v="Pays full"/>
  </r>
  <r>
    <d v="2024-01-03T00:00:00"/>
    <x v="14"/>
    <x v="0"/>
    <n v="20"/>
    <m/>
    <n v="178"/>
    <m/>
    <s v="2024-01"/>
    <s v="Pays full"/>
  </r>
  <r>
    <d v="2024-01-04T00:00:00"/>
    <x v="14"/>
    <x v="0"/>
    <n v="16"/>
    <m/>
    <n v="178"/>
    <s v="Book: TL 1795 for 31/12-4/1"/>
    <s v="2024-01"/>
    <s v="Pays full"/>
  </r>
  <r>
    <d v="2024-01-05T00:00:00"/>
    <x v="14"/>
    <x v="0"/>
    <n v="103"/>
    <n v="5627"/>
    <n v="178"/>
    <s v="Book: Total 5627"/>
    <s v="2024-01"/>
    <s v="Pays full"/>
  </r>
  <r>
    <d v="2024-01-05T00:00:00"/>
    <x v="14"/>
    <x v="1"/>
    <n v="5627"/>
    <n v="0"/>
    <n v="178"/>
    <s v="Book: 5627 written again with date and crossed = paid"/>
    <s v="2024-01"/>
    <s v="Pays full"/>
  </r>
  <r>
    <d v="2024-01-07T00:00:00"/>
    <x v="14"/>
    <x v="0"/>
    <n v="380"/>
    <m/>
    <n v="178"/>
    <s v="Read as 380 (looks like 780): makes Tol 4443 exact"/>
    <s v="2024-01"/>
    <s v="Pays full"/>
  </r>
  <r>
    <d v="2024-01-07T00:00:00"/>
    <x v="14"/>
    <x v="0"/>
    <n v="21"/>
    <m/>
    <n v="178"/>
    <s v="Date not clear"/>
    <s v="2024-01"/>
    <s v="Pays full"/>
  </r>
  <r>
    <d v="2024-01-08T00:00:00"/>
    <x v="14"/>
    <x v="0"/>
    <n v="130"/>
    <m/>
    <n v="178"/>
    <m/>
    <s v="2024-01"/>
    <s v="Pays full"/>
  </r>
  <r>
    <d v="2024-01-09T00:00:00"/>
    <x v="14"/>
    <x v="0"/>
    <n v="145"/>
    <m/>
    <n v="178"/>
    <m/>
    <s v="2024-01"/>
    <s v="Pays full"/>
  </r>
  <r>
    <d v="2024-01-10T00:00:00"/>
    <x v="14"/>
    <x v="0"/>
    <n v="20"/>
    <m/>
    <n v="178"/>
    <m/>
    <s v="2024-01"/>
    <s v="Pays full"/>
  </r>
  <r>
    <d v="2024-01-10T00:00:00"/>
    <x v="14"/>
    <x v="0"/>
    <n v="15"/>
    <m/>
    <n v="178"/>
    <m/>
    <s v="2024-01"/>
    <s v="Pays full"/>
  </r>
  <r>
    <d v="2024-01-11T00:00:00"/>
    <x v="14"/>
    <x v="0"/>
    <n v="330"/>
    <m/>
    <n v="178"/>
    <m/>
    <s v="2024-01"/>
    <s v="Pays full"/>
  </r>
  <r>
    <d v="2024-01-12T00:00:00"/>
    <x v="14"/>
    <x v="0"/>
    <n v="89"/>
    <m/>
    <n v="178"/>
    <m/>
    <s v="2024-01"/>
    <s v="Pays full"/>
  </r>
  <r>
    <d v="2024-01-12T00:00:00"/>
    <x v="14"/>
    <x v="0"/>
    <n v="10"/>
    <m/>
    <n v="178"/>
    <m/>
    <s v="2024-01"/>
    <s v="Pays full"/>
  </r>
  <r>
    <d v="2024-01-14T00:00:00"/>
    <x v="14"/>
    <x v="0"/>
    <n v="81"/>
    <m/>
    <n v="178"/>
    <m/>
    <s v="2024-01"/>
    <s v="Pays full"/>
  </r>
  <r>
    <d v="2024-01-15T00:00:00"/>
    <x v="14"/>
    <x v="0"/>
    <n v="30"/>
    <m/>
    <n v="178"/>
    <m/>
    <s v="2024-01"/>
    <s v="Pays full"/>
  </r>
  <r>
    <d v="2024-01-16T00:00:00"/>
    <x v="14"/>
    <x v="0"/>
    <n v="262"/>
    <m/>
    <n v="178"/>
    <m/>
    <s v="2024-01"/>
    <s v="Pays full"/>
  </r>
  <r>
    <d v="2024-01-17T00:00:00"/>
    <x v="14"/>
    <x v="0"/>
    <n v="126"/>
    <m/>
    <n v="178"/>
    <m/>
    <s v="2024-01"/>
    <s v="Pays full"/>
  </r>
  <r>
    <d v="2024-01-18T00:00:00"/>
    <x v="14"/>
    <x v="0"/>
    <n v="113"/>
    <m/>
    <n v="178"/>
    <m/>
    <s v="2024-01"/>
    <s v="Pays full"/>
  </r>
  <r>
    <d v="2024-01-18T00:00:00"/>
    <x v="14"/>
    <x v="0"/>
    <n v="25"/>
    <m/>
    <n v="178"/>
    <m/>
    <s v="2024-01"/>
    <s v="Pays full"/>
  </r>
  <r>
    <d v="2024-01-19T00:00:00"/>
    <x v="14"/>
    <x v="0"/>
    <n v="192"/>
    <m/>
    <n v="178"/>
    <m/>
    <s v="2024-01"/>
    <s v="Pays full"/>
  </r>
  <r>
    <d v="2024-01-20T00:00:00"/>
    <x v="14"/>
    <x v="0"/>
    <n v="137"/>
    <m/>
    <n v="178"/>
    <m/>
    <s v="2024-01"/>
    <s v="Pays full"/>
  </r>
  <r>
    <d v="2024-01-22T00:00:00"/>
    <x v="14"/>
    <x v="0"/>
    <n v="337"/>
    <m/>
    <n v="178"/>
    <m/>
    <s v="2024-01"/>
    <s v="Pays full"/>
  </r>
  <r>
    <d v="2024-01-23T00:00:00"/>
    <x v="14"/>
    <x v="0"/>
    <n v="42"/>
    <m/>
    <n v="178"/>
    <m/>
    <s v="2024-01"/>
    <s v="Pays full"/>
  </r>
  <r>
    <d v="2024-01-24T00:00:00"/>
    <x v="14"/>
    <x v="0"/>
    <n v="15"/>
    <m/>
    <n v="178"/>
    <m/>
    <s v="2024-01"/>
    <s v="Pays full"/>
  </r>
  <r>
    <d v="2024-01-25T00:00:00"/>
    <x v="14"/>
    <x v="0"/>
    <n v="234"/>
    <m/>
    <n v="178"/>
    <m/>
    <s v="2024-01"/>
    <s v="Pays full"/>
  </r>
  <r>
    <d v="2024-01-26T00:00:00"/>
    <x v="14"/>
    <x v="0"/>
    <n v="172"/>
    <m/>
    <n v="178"/>
    <m/>
    <s v="2024-01"/>
    <s v="Pays full"/>
  </r>
  <r>
    <d v="2024-01-26T00:00:00"/>
    <x v="14"/>
    <x v="0"/>
    <n v="37"/>
    <m/>
    <n v="178"/>
    <m/>
    <s v="2024-01"/>
    <s v="Pays full"/>
  </r>
  <r>
    <d v="2024-01-27T00:00:00"/>
    <x v="14"/>
    <x v="0"/>
    <n v="55"/>
    <m/>
    <n v="178"/>
    <m/>
    <s v="2024-01"/>
    <s v="Pays full"/>
  </r>
  <r>
    <d v="2024-01-28T00:00:00"/>
    <x v="14"/>
    <x v="0"/>
    <n v="43"/>
    <m/>
    <n v="178"/>
    <m/>
    <s v="2024-01"/>
    <s v="Pays full"/>
  </r>
  <r>
    <d v="2024-01-29T00:00:00"/>
    <x v="14"/>
    <x v="0"/>
    <n v="405"/>
    <m/>
    <n v="178"/>
    <m/>
    <s v="2024-01"/>
    <s v="Pays full"/>
  </r>
  <r>
    <d v="2024-01-30T00:00:00"/>
    <x v="14"/>
    <x v="0"/>
    <n v="67"/>
    <m/>
    <n v="178"/>
    <m/>
    <s v="2024-01"/>
    <s v="Pays full"/>
  </r>
  <r>
    <d v="2024-01-31T00:00:00"/>
    <x v="14"/>
    <x v="0"/>
    <n v="370"/>
    <m/>
    <n v="178"/>
    <m/>
    <s v="2024-01"/>
    <s v="Pays full"/>
  </r>
  <r>
    <d v="2024-01-31T00:00:00"/>
    <x v="14"/>
    <x v="0"/>
    <n v="144"/>
    <m/>
    <n v="178"/>
    <m/>
    <s v="2024-01"/>
    <s v="Pays full"/>
  </r>
  <r>
    <d v="2024-02-01T00:00:00"/>
    <x v="14"/>
    <x v="0"/>
    <n v="176"/>
    <m/>
    <n v="178"/>
    <m/>
    <s v="2024-02"/>
    <s v="Pays full"/>
  </r>
  <r>
    <d v="2024-02-01T00:00:00"/>
    <x v="14"/>
    <x v="0"/>
    <n v="76"/>
    <m/>
    <n v="178"/>
    <m/>
    <s v="2024-02"/>
    <s v="Pays full"/>
  </r>
  <r>
    <d v="2024-02-02T00:00:00"/>
    <x v="14"/>
    <x v="0"/>
    <n v="79"/>
    <m/>
    <n v="178"/>
    <m/>
    <s v="2024-02"/>
    <s v="Pays full"/>
  </r>
  <r>
    <d v="2024-02-03T00:00:00"/>
    <x v="14"/>
    <x v="0"/>
    <n v="85"/>
    <n v="4443"/>
    <n v="178"/>
    <s v="Book: Tol 4443"/>
    <s v="2024-02"/>
    <s v="Pays full"/>
  </r>
  <r>
    <m/>
    <x v="14"/>
    <x v="1"/>
    <n v="4443"/>
    <n v="0"/>
    <n v="178"/>
    <s v="Book: 4443 written again and crossed = paid (February)"/>
    <s v=""/>
    <s v="Pays full"/>
  </r>
  <r>
    <d v="2024-02-03T00:00:00"/>
    <x v="14"/>
    <x v="0"/>
    <n v="1565"/>
    <m/>
    <n v="178"/>
    <s v="Rice (chawal)"/>
    <s v="2024-02"/>
    <s v="Pays full"/>
  </r>
  <r>
    <d v="2024-02-05T00:00:00"/>
    <x v="14"/>
    <x v="0"/>
    <n v="266"/>
    <m/>
    <n v="178"/>
    <m/>
    <s v="2024-02"/>
    <s v="Pays full"/>
  </r>
  <r>
    <d v="2024-02-06T00:00:00"/>
    <x v="14"/>
    <x v="0"/>
    <n v="20"/>
    <m/>
    <n v="178"/>
    <m/>
    <s v="2024-02"/>
    <s v="Pays full"/>
  </r>
  <r>
    <d v="2024-02-07T00:00:00"/>
    <x v="14"/>
    <x v="0"/>
    <n v="105"/>
    <m/>
    <n v="178"/>
    <m/>
    <s v="2024-02"/>
    <s v="Pays full"/>
  </r>
  <r>
    <d v="2024-02-08T00:00:00"/>
    <x v="14"/>
    <x v="0"/>
    <n v="10"/>
    <m/>
    <n v="178"/>
    <m/>
    <s v="2024-02"/>
    <s v="Pays full"/>
  </r>
  <r>
    <d v="2024-02-08T00:00:00"/>
    <x v="14"/>
    <x v="0"/>
    <n v="10"/>
    <m/>
    <n v="178"/>
    <m/>
    <s v="2024-02"/>
    <s v="Pays full"/>
  </r>
  <r>
    <d v="2024-02-10T00:00:00"/>
    <x v="14"/>
    <x v="0"/>
    <n v="66"/>
    <m/>
    <n v="178"/>
    <m/>
    <s v="2024-02"/>
    <s v="Pays full"/>
  </r>
  <r>
    <d v="2024-02-10T00:00:00"/>
    <x v="14"/>
    <x v="0"/>
    <n v="10"/>
    <m/>
    <n v="178"/>
    <m/>
    <s v="2024-02"/>
    <s v="Pays full"/>
  </r>
  <r>
    <d v="2024-02-12T00:00:00"/>
    <x v="14"/>
    <x v="0"/>
    <n v="20"/>
    <m/>
    <n v="178"/>
    <m/>
    <s v="2024-02"/>
    <s v="Pays full"/>
  </r>
  <r>
    <d v="2024-02-12T00:00:00"/>
    <x v="14"/>
    <x v="0"/>
    <n v="30"/>
    <m/>
    <n v="178"/>
    <m/>
    <s v="2024-02"/>
    <s v="Pays full"/>
  </r>
  <r>
    <d v="2024-02-13T00:00:00"/>
    <x v="14"/>
    <x v="0"/>
    <n v="291"/>
    <m/>
    <n v="178"/>
    <m/>
    <s v="2024-02"/>
    <s v="Pays full"/>
  </r>
  <r>
    <d v="2024-02-14T00:00:00"/>
    <x v="14"/>
    <x v="0"/>
    <n v="37"/>
    <m/>
    <n v="178"/>
    <m/>
    <s v="2024-02"/>
    <s v="Pays full"/>
  </r>
  <r>
    <d v="2024-02-15T00:00:00"/>
    <x v="14"/>
    <x v="0"/>
    <n v="150"/>
    <m/>
    <n v="178"/>
    <m/>
    <s v="2024-02"/>
    <s v="Pays full"/>
  </r>
  <r>
    <d v="2024-02-16T00:00:00"/>
    <x v="14"/>
    <x v="0"/>
    <n v="427"/>
    <m/>
    <n v="178"/>
    <m/>
    <s v="2024-02"/>
    <s v="Pays full"/>
  </r>
  <r>
    <d v="2024-02-19T00:00:00"/>
    <x v="14"/>
    <x v="0"/>
    <n v="54"/>
    <m/>
    <n v="178"/>
    <m/>
    <s v="2024-02"/>
    <s v="Pays full"/>
  </r>
  <r>
    <d v="2024-02-20T00:00:00"/>
    <x v="14"/>
    <x v="0"/>
    <n v="40"/>
    <m/>
    <n v="178"/>
    <m/>
    <s v="2024-02"/>
    <s v="Pays full"/>
  </r>
  <r>
    <d v="2024-02-21T00:00:00"/>
    <x v="14"/>
    <x v="0"/>
    <n v="33"/>
    <m/>
    <n v="178"/>
    <m/>
    <s v="2024-02"/>
    <s v="Pays full"/>
  </r>
  <r>
    <d v="2024-02-21T00:00:00"/>
    <x v="14"/>
    <x v="0"/>
    <n v="29"/>
    <m/>
    <n v="178"/>
    <m/>
    <s v="2024-02"/>
    <s v="Pays full"/>
  </r>
  <r>
    <d v="2024-02-22T00:00:00"/>
    <x v="14"/>
    <x v="0"/>
    <n v="30"/>
    <m/>
    <n v="178"/>
    <m/>
    <s v="2024-02"/>
    <s v="Pays full"/>
  </r>
  <r>
    <d v="2024-02-23T00:00:00"/>
    <x v="14"/>
    <x v="0"/>
    <n v="10"/>
    <m/>
    <n v="178"/>
    <m/>
    <s v="2024-02"/>
    <s v="Pays full"/>
  </r>
  <r>
    <d v="2024-02-23T00:00:00"/>
    <x v="14"/>
    <x v="0"/>
    <n v="5"/>
    <m/>
    <n v="178"/>
    <m/>
    <s v="2024-02"/>
    <s v="Pays full"/>
  </r>
  <r>
    <d v="2024-02-23T00:00:00"/>
    <x v="14"/>
    <x v="0"/>
    <n v="20"/>
    <m/>
    <n v="178"/>
    <m/>
    <s v="2024-02"/>
    <s v="Pays full"/>
  </r>
  <r>
    <d v="2024-02-24T00:00:00"/>
    <x v="14"/>
    <x v="0"/>
    <n v="50"/>
    <m/>
    <n v="178"/>
    <m/>
    <s v="2024-02"/>
    <s v="Pays full"/>
  </r>
  <r>
    <d v="2024-02-24T00:00:00"/>
    <x v="14"/>
    <x v="0"/>
    <n v="318"/>
    <m/>
    <n v="178"/>
    <m/>
    <s v="2024-02"/>
    <s v="Pays full"/>
  </r>
  <r>
    <d v="2024-02-26T00:00:00"/>
    <x v="14"/>
    <x v="0"/>
    <n v="25"/>
    <m/>
    <n v="178"/>
    <m/>
    <s v="2024-02"/>
    <s v="Pays full"/>
  </r>
  <r>
    <d v="2024-02-27T00:00:00"/>
    <x v="14"/>
    <x v="0"/>
    <n v="235"/>
    <m/>
    <n v="178"/>
    <m/>
    <s v="2024-02"/>
    <s v="Pays full"/>
  </r>
  <r>
    <d v="2024-02-28T00:00:00"/>
    <x v="14"/>
    <x v="0"/>
    <n v="14"/>
    <m/>
    <n v="178"/>
    <m/>
    <s v="2024-02"/>
    <s v="Pays full"/>
  </r>
  <r>
    <d v="2024-02-29T00:00:00"/>
    <x v="14"/>
    <x v="0"/>
    <n v="10"/>
    <m/>
    <n v="178"/>
    <m/>
    <s v="2024-02"/>
    <s v="Pays full"/>
  </r>
  <r>
    <d v="2024-02-29T00:00:00"/>
    <x v="14"/>
    <x v="0"/>
    <n v="54"/>
    <m/>
    <n v="178"/>
    <m/>
    <s v="2024-02"/>
    <s v="Pays full"/>
  </r>
  <r>
    <d v="2024-03-02T00:00:00"/>
    <x v="14"/>
    <x v="0"/>
    <n v="279"/>
    <m/>
    <n v="178"/>
    <m/>
    <s v="2024-03"/>
    <s v="Pays full"/>
  </r>
  <r>
    <d v="2024-03-04T00:00:00"/>
    <x v="14"/>
    <x v="0"/>
    <n v="10"/>
    <m/>
    <n v="178"/>
    <m/>
    <s v="2024-03"/>
    <s v="Pays full"/>
  </r>
  <r>
    <d v="2024-03-04T00:00:00"/>
    <x v="14"/>
    <x v="0"/>
    <n v="59"/>
    <m/>
    <n v="178"/>
    <m/>
    <s v="2024-03"/>
    <s v="Pays full"/>
  </r>
  <r>
    <d v="2024-03-04T00:00:00"/>
    <x v="14"/>
    <x v="2"/>
    <n v="96"/>
    <n v="4378"/>
    <n v="178"/>
    <s v="Book total 4378 is 96 more than the lines"/>
    <s v="2024-03"/>
    <s v="Pays full"/>
  </r>
  <r>
    <d v="2024-03-06T00:00:00"/>
    <x v="14"/>
    <x v="0"/>
    <n v="154"/>
    <n v="4532"/>
    <n v="178"/>
    <s v="Book: 4532Date written like 6/2"/>
    <s v="2024-03"/>
    <s v="Pays full"/>
  </r>
  <r>
    <d v="2024-03-06T00:00:00"/>
    <x v="14"/>
    <x v="2"/>
    <n v="10"/>
    <n v="4542"/>
    <n v="178"/>
    <s v="Book corrected 4532 to 4542"/>
    <s v="2024-03"/>
    <s v="Pays full"/>
  </r>
  <r>
    <d v="2024-03-08T00:00:00"/>
    <x v="14"/>
    <x v="1"/>
    <n v="4542"/>
    <n v="0"/>
    <n v="178"/>
    <s v="Book: paid 4542 on 8/3"/>
    <s v="2024-03"/>
    <s v="Pays full"/>
  </r>
  <r>
    <d v="2024-03-07T00:00:00"/>
    <x v="14"/>
    <x v="0"/>
    <n v="1784"/>
    <m/>
    <n v="179"/>
    <s v="Page 179 (continues page 178). Big purchase on 7/3"/>
    <s v="2024-03"/>
    <s v="Pays full"/>
  </r>
  <r>
    <d v="2024-03-09T00:00:00"/>
    <x v="14"/>
    <x v="0"/>
    <n v="10"/>
    <m/>
    <n v="179"/>
    <m/>
    <s v="2024-03"/>
    <s v="Pays full"/>
  </r>
  <r>
    <d v="2024-03-10T00:00:00"/>
    <x v="14"/>
    <x v="0"/>
    <n v="30"/>
    <m/>
    <n v="179"/>
    <m/>
    <s v="2024-03"/>
    <s v="Pays full"/>
  </r>
  <r>
    <d v="2024-03-11T00:00:00"/>
    <x v="14"/>
    <x v="0"/>
    <n v="40"/>
    <m/>
    <n v="179"/>
    <m/>
    <s v="2024-03"/>
    <s v="Pays full"/>
  </r>
  <r>
    <d v="2024-03-12T00:00:00"/>
    <x v="14"/>
    <x v="0"/>
    <n v="209"/>
    <m/>
    <n v="179"/>
    <m/>
    <s v="2024-03"/>
    <s v="Pays full"/>
  </r>
  <r>
    <d v="2024-03-13T00:00:00"/>
    <x v="14"/>
    <x v="0"/>
    <n v="4"/>
    <m/>
    <n v="179"/>
    <s v="Red ink, may be 27"/>
    <s v="2024-03"/>
    <s v="Pays full"/>
  </r>
  <r>
    <d v="2024-03-14T00:00:00"/>
    <x v="14"/>
    <x v="0"/>
    <n v="105"/>
    <m/>
    <n v="179"/>
    <m/>
    <s v="2024-03"/>
    <s v="Pays full"/>
  </r>
  <r>
    <d v="2024-03-16T00:00:00"/>
    <x v="14"/>
    <x v="0"/>
    <n v="74"/>
    <m/>
    <n v="179"/>
    <m/>
    <s v="2024-03"/>
    <s v="Pays full"/>
  </r>
  <r>
    <d v="2024-03-17T00:00:00"/>
    <x v="14"/>
    <x v="0"/>
    <n v="440"/>
    <m/>
    <n v="179"/>
    <m/>
    <s v="2024-03"/>
    <s v="Pays full"/>
  </r>
  <r>
    <d v="2024-03-18T00:00:00"/>
    <x v="14"/>
    <x v="0"/>
    <n v="99"/>
    <m/>
    <n v="179"/>
    <m/>
    <s v="2024-03"/>
    <s v="Pays full"/>
  </r>
  <r>
    <d v="2024-03-19T00:00:00"/>
    <x v="14"/>
    <x v="0"/>
    <n v="40"/>
    <m/>
    <n v="179"/>
    <m/>
    <s v="2024-03"/>
    <s v="Pays full"/>
  </r>
  <r>
    <d v="2024-03-21T00:00:00"/>
    <x v="14"/>
    <x v="0"/>
    <n v="60"/>
    <m/>
    <n v="179"/>
    <m/>
    <s v="2024-03"/>
    <s v="Pays full"/>
  </r>
  <r>
    <d v="2024-03-22T00:00:00"/>
    <x v="14"/>
    <x v="0"/>
    <n v="40"/>
    <m/>
    <n v="179"/>
    <m/>
    <s v="2024-03"/>
    <s v="Pays full"/>
  </r>
  <r>
    <d v="2024-03-22T00:00:00"/>
    <x v="14"/>
    <x v="0"/>
    <n v="146"/>
    <m/>
    <n v="179"/>
    <m/>
    <s v="2024-03"/>
    <s v="Pays full"/>
  </r>
  <r>
    <d v="2024-03-23T00:00:00"/>
    <x v="14"/>
    <x v="0"/>
    <n v="25"/>
    <m/>
    <n v="179"/>
    <m/>
    <s v="2024-03"/>
    <s v="Pays full"/>
  </r>
  <r>
    <d v="2024-03-23T00:00:00"/>
    <x v="14"/>
    <x v="0"/>
    <n v="54"/>
    <m/>
    <n v="179"/>
    <m/>
    <s v="2024-03"/>
    <s v="Pays full"/>
  </r>
  <r>
    <d v="2024-03-24T00:00:00"/>
    <x v="14"/>
    <x v="0"/>
    <n v="48"/>
    <m/>
    <n v="179"/>
    <m/>
    <s v="2024-03"/>
    <s v="Pays full"/>
  </r>
  <r>
    <d v="2024-03-25T00:00:00"/>
    <x v="14"/>
    <x v="0"/>
    <n v="10"/>
    <m/>
    <n v="179"/>
    <m/>
    <s v="2024-03"/>
    <s v="Pays full"/>
  </r>
  <r>
    <d v="2024-03-25T00:00:00"/>
    <x v="14"/>
    <x v="0"/>
    <n v="160"/>
    <m/>
    <n v="179"/>
    <m/>
    <s v="2024-03"/>
    <s v="Pays full"/>
  </r>
  <r>
    <d v="2024-03-26T00:00:00"/>
    <x v="14"/>
    <x v="0"/>
    <n v="93"/>
    <m/>
    <n v="179"/>
    <m/>
    <s v="2024-03"/>
    <s v="Pays full"/>
  </r>
  <r>
    <d v="2024-03-27T00:00:00"/>
    <x v="14"/>
    <x v="0"/>
    <n v="84"/>
    <m/>
    <n v="179"/>
    <m/>
    <s v="2024-03"/>
    <s v="Pays full"/>
  </r>
  <r>
    <d v="2024-03-28T00:00:00"/>
    <x v="14"/>
    <x v="0"/>
    <n v="220"/>
    <m/>
    <n v="179"/>
    <m/>
    <s v="2024-03"/>
    <s v="Pays full"/>
  </r>
  <r>
    <d v="2024-03-29T00:00:00"/>
    <x v="14"/>
    <x v="0"/>
    <n v="102"/>
    <m/>
    <n v="179"/>
    <m/>
    <s v="2024-03"/>
    <s v="Pays full"/>
  </r>
  <r>
    <d v="2024-03-30T00:00:00"/>
    <x v="14"/>
    <x v="0"/>
    <n v="20"/>
    <m/>
    <n v="179"/>
    <m/>
    <s v="2024-03"/>
    <s v="Pays full"/>
  </r>
  <r>
    <d v="2024-03-30T00:00:00"/>
    <x v="14"/>
    <x v="0"/>
    <n v="345"/>
    <m/>
    <n v="179"/>
    <m/>
    <s v="2024-03"/>
    <s v="Pays full"/>
  </r>
  <r>
    <d v="2024-03-31T00:00:00"/>
    <x v="14"/>
    <x v="0"/>
    <n v="10"/>
    <m/>
    <n v="179"/>
    <m/>
    <s v="2024-03"/>
    <s v="Pays full"/>
  </r>
  <r>
    <d v="2024-04-01T00:00:00"/>
    <x v="14"/>
    <x v="0"/>
    <n v="10"/>
    <m/>
    <n v="179"/>
    <m/>
    <s v="2024-04"/>
    <s v="Pays full"/>
  </r>
  <r>
    <d v="2024-04-01T00:00:00"/>
    <x v="14"/>
    <x v="0"/>
    <n v="267"/>
    <m/>
    <n v="179"/>
    <m/>
    <s v="2024-04"/>
    <s v="Pays full"/>
  </r>
  <r>
    <d v="2024-04-02T00:00:00"/>
    <x v="14"/>
    <x v="0"/>
    <n v="85"/>
    <m/>
    <n v="179"/>
    <m/>
    <s v="2024-04"/>
    <s v="Pays full"/>
  </r>
  <r>
    <d v="2024-04-03T00:00:00"/>
    <x v="14"/>
    <x v="0"/>
    <n v="37"/>
    <m/>
    <n v="179"/>
    <m/>
    <s v="2024-04"/>
    <s v="Pays full"/>
  </r>
  <r>
    <d v="2024-04-03T00:00:00"/>
    <x v="14"/>
    <x v="0"/>
    <n v="66"/>
    <m/>
    <n v="179"/>
    <m/>
    <s v="2024-04"/>
    <s v="Pays full"/>
  </r>
  <r>
    <d v="2024-04-04T00:00:00"/>
    <x v="14"/>
    <x v="0"/>
    <n v="60"/>
    <m/>
    <n v="179"/>
    <m/>
    <s v="2024-04"/>
    <s v="Pays full"/>
  </r>
  <r>
    <d v="2024-04-04T00:00:00"/>
    <x v="14"/>
    <x v="2"/>
    <n v="23"/>
    <n v="4800"/>
    <n v="179"/>
    <s v="Book total 4800 is 23 more than the lines"/>
    <s v="2024-04"/>
    <s v="Pays full"/>
  </r>
  <r>
    <d v="2024-04-05T00:00:00"/>
    <x v="14"/>
    <x v="1"/>
    <n v="4800"/>
    <n v="0"/>
    <n v="179"/>
    <s v="Book: paid 4800 on 5/4"/>
    <s v="2024-04"/>
    <s v="Pays full"/>
  </r>
  <r>
    <d v="2024-04-04T00:00:00"/>
    <x v="14"/>
    <x v="0"/>
    <n v="10"/>
    <m/>
    <n v="179"/>
    <m/>
    <s v="2024-04"/>
    <s v="Pays full"/>
  </r>
  <r>
    <d v="2024-04-05T00:00:00"/>
    <x v="14"/>
    <x v="0"/>
    <n v="50"/>
    <m/>
    <n v="179"/>
    <m/>
    <s v="2024-04"/>
    <s v="Pays full"/>
  </r>
  <r>
    <d v="2024-04-05T00:00:00"/>
    <x v="14"/>
    <x v="0"/>
    <n v="47"/>
    <m/>
    <n v="179"/>
    <m/>
    <s v="2024-04"/>
    <s v="Pays full"/>
  </r>
  <r>
    <d v="2024-04-06T00:00:00"/>
    <x v="14"/>
    <x v="0"/>
    <n v="10"/>
    <m/>
    <n v="179"/>
    <m/>
    <s v="2024-04"/>
    <s v="Pays full"/>
  </r>
  <r>
    <d v="2024-04-06T00:00:00"/>
    <x v="14"/>
    <x v="0"/>
    <n v="90"/>
    <m/>
    <n v="179"/>
    <m/>
    <s v="2024-04"/>
    <s v="Pays full"/>
  </r>
  <r>
    <d v="2024-04-06T00:00:00"/>
    <x v="14"/>
    <x v="0"/>
    <n v="32"/>
    <m/>
    <n v="179"/>
    <m/>
    <s v="2024-04"/>
    <s v="Pays full"/>
  </r>
  <r>
    <d v="2024-04-06T00:00:00"/>
    <x v="14"/>
    <x v="0"/>
    <n v="1660"/>
    <n v="1899"/>
    <n v="179"/>
    <s v="Book: Tol 1899"/>
    <s v="2024-04"/>
    <s v="Pays full"/>
  </r>
  <r>
    <d v="2024-04-07T00:00:00"/>
    <x v="14"/>
    <x v="0"/>
    <n v="216"/>
    <m/>
    <n v="179"/>
    <m/>
    <s v="2024-04"/>
    <s v="Pays full"/>
  </r>
  <r>
    <d v="2024-04-11T00:00:00"/>
    <x v="14"/>
    <x v="0"/>
    <n v="204"/>
    <m/>
    <n v="179"/>
    <m/>
    <s v="2024-04"/>
    <s v="Pays full"/>
  </r>
  <r>
    <d v="2024-04-11T00:00:00"/>
    <x v="14"/>
    <x v="0"/>
    <n v="22"/>
    <m/>
    <n v="179"/>
    <m/>
    <s v="2024-04"/>
    <s v="Pays full"/>
  </r>
  <r>
    <d v="2024-04-12T00:00:00"/>
    <x v="14"/>
    <x v="0"/>
    <n v="138"/>
    <m/>
    <n v="179"/>
    <m/>
    <s v="2024-04"/>
    <s v="Pays full"/>
  </r>
  <r>
    <d v="2024-04-14T00:00:00"/>
    <x v="14"/>
    <x v="0"/>
    <n v="20"/>
    <m/>
    <n v="179"/>
    <m/>
    <s v="2024-04"/>
    <s v="Pays full"/>
  </r>
  <r>
    <d v="2024-04-15T00:00:00"/>
    <x v="14"/>
    <x v="0"/>
    <n v="176"/>
    <m/>
    <n v="179"/>
    <m/>
    <s v="2024-04"/>
    <s v="Pays full"/>
  </r>
  <r>
    <d v="2024-04-15T00:00:00"/>
    <x v="14"/>
    <x v="0"/>
    <n v="66"/>
    <m/>
    <n v="179"/>
    <m/>
    <s v="2024-04"/>
    <s v="Pays full"/>
  </r>
  <r>
    <d v="2024-04-16T00:00:00"/>
    <x v="14"/>
    <x v="0"/>
    <n v="236"/>
    <m/>
    <n v="179"/>
    <m/>
    <s v="2024-04"/>
    <s v="Pays full"/>
  </r>
  <r>
    <d v="2024-04-17T00:00:00"/>
    <x v="14"/>
    <x v="0"/>
    <n v="115"/>
    <m/>
    <n v="179"/>
    <m/>
    <s v="2024-04"/>
    <s v="Pays full"/>
  </r>
  <r>
    <d v="2024-04-18T00:00:00"/>
    <x v="14"/>
    <x v="0"/>
    <n v="10"/>
    <m/>
    <n v="179"/>
    <m/>
    <s v="2024-04"/>
    <s v="Pays full"/>
  </r>
  <r>
    <d v="2024-04-19T00:00:00"/>
    <x v="14"/>
    <x v="0"/>
    <n v="40"/>
    <m/>
    <n v="179"/>
    <m/>
    <s v="2024-04"/>
    <s v="Pays full"/>
  </r>
  <r>
    <d v="2024-04-19T00:00:00"/>
    <x v="14"/>
    <x v="0"/>
    <n v="44"/>
    <m/>
    <n v="179"/>
    <m/>
    <s v="2024-04"/>
    <s v="Pays full"/>
  </r>
  <r>
    <d v="2024-04-20T00:00:00"/>
    <x v="14"/>
    <x v="0"/>
    <n v="66"/>
    <m/>
    <n v="179"/>
    <m/>
    <s v="2024-04"/>
    <s v="Pays full"/>
  </r>
  <r>
    <d v="2024-04-21T00:00:00"/>
    <x v="14"/>
    <x v="0"/>
    <n v="35"/>
    <m/>
    <n v="179"/>
    <m/>
    <s v="2024-04"/>
    <s v="Pays full"/>
  </r>
  <r>
    <d v="2024-04-22T00:00:00"/>
    <x v="14"/>
    <x v="0"/>
    <n v="173"/>
    <m/>
    <n v="179"/>
    <m/>
    <s v="2024-04"/>
    <s v="Pays full"/>
  </r>
  <r>
    <d v="2024-04-23T00:00:00"/>
    <x v="14"/>
    <x v="0"/>
    <n v="10"/>
    <m/>
    <n v="179"/>
    <m/>
    <s v="2024-04"/>
    <s v="Pays full"/>
  </r>
  <r>
    <d v="2024-04-24T00:00:00"/>
    <x v="14"/>
    <x v="0"/>
    <n v="91"/>
    <m/>
    <n v="179"/>
    <m/>
    <s v="2024-04"/>
    <s v="Pays full"/>
  </r>
  <r>
    <d v="2024-04-25T00:00:00"/>
    <x v="14"/>
    <x v="0"/>
    <n v="35"/>
    <m/>
    <n v="179"/>
    <m/>
    <s v="2024-04"/>
    <s v="Pays full"/>
  </r>
  <r>
    <d v="2024-04-25T00:00:00"/>
    <x v="14"/>
    <x v="0"/>
    <n v="477"/>
    <m/>
    <n v="179"/>
    <m/>
    <s v="2024-04"/>
    <s v="Pays full"/>
  </r>
  <r>
    <d v="2024-04-28T00:00:00"/>
    <x v="14"/>
    <x v="0"/>
    <n v="20"/>
    <m/>
    <n v="179"/>
    <m/>
    <s v="2024-04"/>
    <s v="Pays full"/>
  </r>
  <r>
    <d v="2024-04-29T00:00:00"/>
    <x v="14"/>
    <x v="0"/>
    <n v="37"/>
    <m/>
    <n v="179"/>
    <m/>
    <s v="2024-04"/>
    <s v="Pays full"/>
  </r>
  <r>
    <d v="2024-04-29T00:00:00"/>
    <x v="14"/>
    <x v="0"/>
    <n v="33"/>
    <m/>
    <n v="179"/>
    <m/>
    <s v="2024-04"/>
    <s v="Pays full"/>
  </r>
  <r>
    <d v="2024-04-29T00:00:00"/>
    <x v="14"/>
    <x v="0"/>
    <n v="20"/>
    <m/>
    <n v="179"/>
    <m/>
    <s v="2024-04"/>
    <s v="Pays full"/>
  </r>
  <r>
    <d v="2024-04-30T00:00:00"/>
    <x v="14"/>
    <x v="0"/>
    <n v="186"/>
    <m/>
    <n v="179"/>
    <m/>
    <s v="2024-04"/>
    <s v="Pays full"/>
  </r>
  <r>
    <d v="2024-04-30T00:00:00"/>
    <x v="14"/>
    <x v="0"/>
    <n v="190"/>
    <m/>
    <n v="179"/>
    <m/>
    <s v="2024-04"/>
    <s v="Pays full"/>
  </r>
  <r>
    <d v="2024-05-01T00:00:00"/>
    <x v="14"/>
    <x v="0"/>
    <n v="327"/>
    <m/>
    <n v="179"/>
    <m/>
    <s v="2024-05"/>
    <s v="Pays full"/>
  </r>
  <r>
    <d v="2024-05-03T00:00:00"/>
    <x v="14"/>
    <x v="0"/>
    <n v="10"/>
    <m/>
    <n v="179"/>
    <m/>
    <s v="2024-05"/>
    <s v="Pays full"/>
  </r>
  <r>
    <d v="2024-05-03T00:00:00"/>
    <x v="14"/>
    <x v="2"/>
    <n v="-40"/>
    <n v="4856"/>
    <n v="179"/>
    <s v="Book total 4856 is 40 less than the lines"/>
    <s v="2024-05"/>
    <s v="Pays full"/>
  </r>
  <r>
    <d v="2024-05-03T00:00:00"/>
    <x v="14"/>
    <x v="1"/>
    <n v="4856"/>
    <n v="0"/>
    <n v="179"/>
    <s v="Book: paid 4856 on 3/5"/>
    <s v="2024-05"/>
    <s v="Pays full"/>
  </r>
  <r>
    <d v="2024-05-03T00:00:00"/>
    <x v="14"/>
    <x v="0"/>
    <n v="968"/>
    <m/>
    <n v="179"/>
    <m/>
    <s v="2024-05"/>
    <s v="Pays full"/>
  </r>
  <r>
    <d v="2024-05-03T00:00:00"/>
    <x v="14"/>
    <x v="0"/>
    <n v="160"/>
    <m/>
    <n v="179"/>
    <m/>
    <s v="2024-05"/>
    <s v="Pays full"/>
  </r>
  <r>
    <d v="2024-05-04T00:00:00"/>
    <x v="14"/>
    <x v="0"/>
    <n v="25"/>
    <m/>
    <n v="179"/>
    <m/>
    <s v="2024-05"/>
    <s v="Pays full"/>
  </r>
  <r>
    <d v="2024-05-04T00:00:00"/>
    <x v="14"/>
    <x v="0"/>
    <n v="26"/>
    <m/>
    <n v="179"/>
    <m/>
    <s v="2024-05"/>
    <s v="Pays full"/>
  </r>
  <r>
    <d v="2024-05-04T00:00:00"/>
    <x v="14"/>
    <x v="0"/>
    <n v="10"/>
    <m/>
    <n v="179"/>
    <m/>
    <s v="2024-05"/>
    <s v="Pays full"/>
  </r>
  <r>
    <d v="2024-05-05T00:00:00"/>
    <x v="14"/>
    <x v="0"/>
    <n v="195"/>
    <m/>
    <n v="179"/>
    <m/>
    <s v="2024-05"/>
    <s v="Pays full"/>
  </r>
  <r>
    <d v="2024-05-06T00:00:00"/>
    <x v="14"/>
    <x v="0"/>
    <n v="52"/>
    <m/>
    <n v="179"/>
    <m/>
    <s v="2024-05"/>
    <s v="Pays full"/>
  </r>
  <r>
    <d v="2024-05-06T00:00:00"/>
    <x v="14"/>
    <x v="0"/>
    <n v="170"/>
    <m/>
    <n v="179"/>
    <m/>
    <s v="2024-05"/>
    <s v="Pays full"/>
  </r>
  <r>
    <d v="2024-05-07T00:00:00"/>
    <x v="14"/>
    <x v="0"/>
    <n v="67"/>
    <n v="1673"/>
    <n v="179"/>
    <s v="Book: TOL 1673"/>
    <s v="2024-05"/>
    <s v="Pays full"/>
  </r>
  <r>
    <m/>
    <x v="14"/>
    <x v="1"/>
    <n v="1673"/>
    <n v="0"/>
    <n v="179"/>
    <s v="Book: paid 1673 (June)"/>
    <s v=""/>
    <s v="Pays full"/>
  </r>
  <r>
    <d v="2024-06-17T00:00:00"/>
    <x v="14"/>
    <x v="0"/>
    <n v="1642"/>
    <m/>
    <n v="179"/>
    <s v="Written 164 with red 28 after it, read as 1642"/>
    <s v="2024-06"/>
    <s v="Pays full"/>
  </r>
  <r>
    <d v="2024-06-19T00:00:00"/>
    <x v="14"/>
    <x v="0"/>
    <n v="80"/>
    <m/>
    <n v="179"/>
    <m/>
    <s v="2024-06"/>
    <s v="Pays full"/>
  </r>
  <r>
    <d v="2024-06-21T00:00:00"/>
    <x v="14"/>
    <x v="0"/>
    <n v="707"/>
    <m/>
    <n v="179"/>
    <m/>
    <s v="2024-06"/>
    <s v="Pays full"/>
  </r>
  <r>
    <d v="2024-06-21T00:00:00"/>
    <x v="14"/>
    <x v="0"/>
    <n v="20"/>
    <m/>
    <n v="179"/>
    <m/>
    <s v="2024-06"/>
    <s v="Pays full"/>
  </r>
  <r>
    <d v="2024-06-22T00:00:00"/>
    <x v="14"/>
    <x v="0"/>
    <n v="10"/>
    <m/>
    <n v="179"/>
    <m/>
    <s v="2024-06"/>
    <s v="Pays full"/>
  </r>
  <r>
    <d v="2024-06-24T00:00:00"/>
    <x v="14"/>
    <x v="0"/>
    <n v="20"/>
    <m/>
    <n v="179"/>
    <m/>
    <s v="2024-06"/>
    <s v="Pays full"/>
  </r>
  <r>
    <d v="2024-06-27T00:00:00"/>
    <x v="14"/>
    <x v="0"/>
    <n v="175"/>
    <m/>
    <n v="179"/>
    <m/>
    <s v="2024-06"/>
    <s v="Pays full"/>
  </r>
  <r>
    <d v="2024-06-27T00:00:00"/>
    <x v="14"/>
    <x v="0"/>
    <n v="132"/>
    <m/>
    <n v="179"/>
    <m/>
    <s v="2024-06"/>
    <s v="Pays full"/>
  </r>
  <r>
    <d v="2024-07-02T00:00:00"/>
    <x v="14"/>
    <x v="0"/>
    <n v="331"/>
    <m/>
    <n v="179"/>
    <m/>
    <s v="2024-07"/>
    <s v="Pays full"/>
  </r>
  <r>
    <d v="2024-07-02T00:00:00"/>
    <x v="14"/>
    <x v="0"/>
    <n v="28"/>
    <m/>
    <n v="179"/>
    <m/>
    <s v="2024-07"/>
    <s v="Pays full"/>
  </r>
  <r>
    <d v="2024-07-03T00:00:00"/>
    <x v="14"/>
    <x v="0"/>
    <n v="14"/>
    <m/>
    <n v="179"/>
    <m/>
    <s v="2024-07"/>
    <s v="Pays full"/>
  </r>
  <r>
    <d v="2024-07-05T00:00:00"/>
    <x v="14"/>
    <x v="0"/>
    <n v="172"/>
    <m/>
    <n v="179"/>
    <m/>
    <s v="2024-07"/>
    <s v="Pays full"/>
  </r>
  <r>
    <d v="2024-07-06T00:00:00"/>
    <x v="14"/>
    <x v="0"/>
    <n v="678"/>
    <m/>
    <n v="179"/>
    <m/>
    <s v="2024-07"/>
    <s v="Pays full"/>
  </r>
  <r>
    <d v="2024-07-02T00:00:00"/>
    <x v="14"/>
    <x v="0"/>
    <n v="76"/>
    <m/>
    <n v="179"/>
    <s v="Top of last column"/>
    <s v="2024-07"/>
    <s v="Pays full"/>
  </r>
  <r>
    <d v="2024-07-08T00:00:00"/>
    <x v="14"/>
    <x v="0"/>
    <n v="104"/>
    <m/>
    <n v="179"/>
    <m/>
    <s v="2024-07"/>
    <s v="Pays full"/>
  </r>
  <r>
    <d v="2024-07-08T00:00:00"/>
    <x v="14"/>
    <x v="2"/>
    <n v="-126"/>
    <n v="4063"/>
    <n v="179"/>
    <s v="CHECK: Book total 4063 is 126 less than the lines"/>
    <s v="2024-07"/>
    <s v="Pays full"/>
  </r>
  <r>
    <d v="2024-07-09T00:00:00"/>
    <x v="14"/>
    <x v="0"/>
    <n v="36"/>
    <m/>
    <n v="179"/>
    <m/>
    <s v="2024-07"/>
    <s v="Pays full"/>
  </r>
  <r>
    <d v="2024-07-09T00:00:00"/>
    <x v="14"/>
    <x v="0"/>
    <n v="10"/>
    <n v="4109"/>
    <n v="179"/>
    <s v="Book: TL 4109"/>
    <s v="2024-07"/>
    <s v="Pays full"/>
  </r>
  <r>
    <d v="2022-09-06T00:00:00"/>
    <x v="15"/>
    <x v="3"/>
    <n v="1445"/>
    <n v="1445"/>
    <n v="228"/>
    <s v="Opening Total 1445 (account 107)"/>
    <s v="2022-09"/>
    <s v="Mixed"/>
  </r>
  <r>
    <d v="2022-09-06T00:00:00"/>
    <x v="15"/>
    <x v="0"/>
    <n v="107"/>
    <m/>
    <n v="228"/>
    <m/>
    <s v="2022-09"/>
    <s v="Mixed"/>
  </r>
  <r>
    <d v="2022-09-06T00:00:00"/>
    <x v="15"/>
    <x v="0"/>
    <n v="10"/>
    <m/>
    <n v="228"/>
    <m/>
    <s v="2022-09"/>
    <s v="Mixed"/>
  </r>
  <r>
    <d v="2022-09-08T00:00:00"/>
    <x v="15"/>
    <x v="0"/>
    <n v="120"/>
    <m/>
    <n v="228"/>
    <m/>
    <s v="2022-09"/>
    <s v="Mixed"/>
  </r>
  <r>
    <d v="2022-09-10T00:00:00"/>
    <x v="15"/>
    <x v="0"/>
    <n v="20"/>
    <m/>
    <n v="228"/>
    <m/>
    <s v="2022-09"/>
    <s v="Mixed"/>
  </r>
  <r>
    <d v="2022-09-11T00:00:00"/>
    <x v="15"/>
    <x v="0"/>
    <n v="10"/>
    <n v="1712"/>
    <n v="228"/>
    <s v="Book: Total 1712"/>
    <s v="2022-09"/>
    <s v="Mixed"/>
  </r>
  <r>
    <d v="2022-09-13T00:00:00"/>
    <x v="15"/>
    <x v="1"/>
    <n v="800"/>
    <n v="912"/>
    <n v="228"/>
    <s v="Book: paid 800 on 13/9, BAKI 912"/>
    <s v="2022-09"/>
    <s v="Mixed"/>
  </r>
  <r>
    <d v="2022-09-13T00:00:00"/>
    <x v="15"/>
    <x v="0"/>
    <n v="180"/>
    <m/>
    <n v="228"/>
    <m/>
    <s v="2022-09"/>
    <s v="Mixed"/>
  </r>
  <r>
    <d v="2022-09-13T00:00:00"/>
    <x v="15"/>
    <x v="0"/>
    <n v="10"/>
    <m/>
    <n v="228"/>
    <s v="Small 10 under 180"/>
    <s v="2022-09"/>
    <s v="Mixed"/>
  </r>
  <r>
    <d v="2022-09-16T00:00:00"/>
    <x v="15"/>
    <x v="0"/>
    <n v="120"/>
    <m/>
    <n v="228"/>
    <m/>
    <s v="2022-09"/>
    <s v="Mixed"/>
  </r>
  <r>
    <d v="2022-09-16T00:00:00"/>
    <x v="15"/>
    <x v="0"/>
    <n v="10"/>
    <m/>
    <n v="228"/>
    <m/>
    <s v="2022-09"/>
    <s v="Mixed"/>
  </r>
  <r>
    <d v="2022-09-21T00:00:00"/>
    <x v="15"/>
    <x v="0"/>
    <n v="35"/>
    <m/>
    <n v="228"/>
    <m/>
    <s v="2022-09"/>
    <s v="Mixed"/>
  </r>
  <r>
    <d v="2022-09-17T00:00:00"/>
    <x v="15"/>
    <x v="0"/>
    <n v="20"/>
    <m/>
    <n v="228"/>
    <m/>
    <s v="2022-09"/>
    <s v="Mixed"/>
  </r>
  <r>
    <d v="2022-09-24T00:00:00"/>
    <x v="15"/>
    <x v="0"/>
    <n v="168"/>
    <m/>
    <n v="228"/>
    <m/>
    <s v="2022-09"/>
    <s v="Mixed"/>
  </r>
  <r>
    <d v="2022-09-25T00:00:00"/>
    <x v="15"/>
    <x v="0"/>
    <n v="30"/>
    <m/>
    <n v="228"/>
    <m/>
    <s v="2022-09"/>
    <s v="Mixed"/>
  </r>
  <r>
    <d v="2022-09-26T00:00:00"/>
    <x v="15"/>
    <x v="0"/>
    <n v="153"/>
    <m/>
    <n v="228"/>
    <m/>
    <s v="2022-09"/>
    <s v="Mixed"/>
  </r>
  <r>
    <d v="2022-09-30T00:00:00"/>
    <x v="15"/>
    <x v="0"/>
    <n v="186"/>
    <m/>
    <n v="228"/>
    <m/>
    <s v="2022-09"/>
    <s v="Mixed"/>
  </r>
  <r>
    <d v="2022-09-30T00:00:00"/>
    <x v="15"/>
    <x v="2"/>
    <n v="18"/>
    <n v="1842"/>
    <n v="228"/>
    <s v="Book total 1842 is 18 more than the lines"/>
    <s v="2022-09"/>
    <s v="Mixed"/>
  </r>
  <r>
    <m/>
    <x v="15"/>
    <x v="1"/>
    <n v="1000"/>
    <n v="842"/>
    <n v="228"/>
    <s v="Book: paid 1000 (date not clear)"/>
    <s v=""/>
    <s v="Mixed"/>
  </r>
  <r>
    <m/>
    <x v="15"/>
    <x v="2"/>
    <n v="-4"/>
    <n v="838"/>
    <n v="228"/>
    <s v="BAKI written as 838 (1842 - 1000 = 842)"/>
    <s v=""/>
    <s v="Mixed"/>
  </r>
  <r>
    <d v="2022-10-01T00:00:00"/>
    <x v="15"/>
    <x v="0"/>
    <n v="165"/>
    <m/>
    <n v="228"/>
    <m/>
    <s v="2022-10"/>
    <s v="Mixed"/>
  </r>
  <r>
    <d v="2022-10-03T00:00:00"/>
    <x v="15"/>
    <x v="0"/>
    <n v="58"/>
    <m/>
    <n v="228"/>
    <m/>
    <s v="2022-10"/>
    <s v="Mixed"/>
  </r>
  <r>
    <d v="2022-10-04T00:00:00"/>
    <x v="15"/>
    <x v="0"/>
    <n v="100"/>
    <m/>
    <n v="228"/>
    <m/>
    <s v="2022-10"/>
    <s v="Mixed"/>
  </r>
  <r>
    <d v="2022-10-05T00:00:00"/>
    <x v="15"/>
    <x v="0"/>
    <n v="250"/>
    <m/>
    <n v="228"/>
    <m/>
    <s v="2022-10"/>
    <s v="Mixed"/>
  </r>
  <r>
    <d v="2022-10-06T00:00:00"/>
    <x v="15"/>
    <x v="0"/>
    <n v="112"/>
    <m/>
    <n v="228"/>
    <m/>
    <s v="2022-10"/>
    <s v="Mixed"/>
  </r>
  <r>
    <d v="2022-10-09T00:00:00"/>
    <x v="15"/>
    <x v="0"/>
    <n v="76"/>
    <n v="1599"/>
    <n v="228"/>
    <s v="Circled 1599 next to it = balance up to here"/>
    <s v="2022-10"/>
    <s v="Mixed"/>
  </r>
  <r>
    <m/>
    <x v="15"/>
    <x v="1"/>
    <n v="1599"/>
    <n v="0"/>
    <n v="228"/>
    <s v="CHECK: circled 1599 is not in the next total (2353), read as paid"/>
    <s v=""/>
    <s v="Mixed"/>
  </r>
  <r>
    <d v="2022-10-11T00:00:00"/>
    <x v="15"/>
    <x v="0"/>
    <n v="1170"/>
    <m/>
    <n v="228"/>
    <m/>
    <s v="2022-10"/>
    <s v="Mixed"/>
  </r>
  <r>
    <d v="2022-10-13T00:00:00"/>
    <x v="15"/>
    <x v="0"/>
    <n v="30"/>
    <m/>
    <n v="228"/>
    <m/>
    <s v="2022-10"/>
    <s v="Mixed"/>
  </r>
  <r>
    <d v="2022-10-16T00:00:00"/>
    <x v="15"/>
    <x v="0"/>
    <n v="444"/>
    <m/>
    <n v="228"/>
    <m/>
    <s v="2022-10"/>
    <s v="Mixed"/>
  </r>
  <r>
    <d v="2022-10-21T00:00:00"/>
    <x v="15"/>
    <x v="0"/>
    <n v="107"/>
    <m/>
    <n v="228"/>
    <m/>
    <s v="2022-10"/>
    <s v="Mixed"/>
  </r>
  <r>
    <d v="2022-10-23T00:00:00"/>
    <x v="15"/>
    <x v="0"/>
    <n v="309"/>
    <m/>
    <n v="228"/>
    <m/>
    <s v="2022-10"/>
    <s v="Mixed"/>
  </r>
  <r>
    <d v="2022-10-27T00:00:00"/>
    <x v="15"/>
    <x v="0"/>
    <n v="103"/>
    <m/>
    <n v="228"/>
    <m/>
    <s v="2022-10"/>
    <s v="Mixed"/>
  </r>
  <r>
    <d v="2022-10-27T00:00:00"/>
    <x v="15"/>
    <x v="0"/>
    <n v="70"/>
    <m/>
    <n v="228"/>
    <s v="Overwritten digit, read as 70: makes TO 2353 exact"/>
    <s v="2022-10"/>
    <s v="Mixed"/>
  </r>
  <r>
    <d v="2022-10-30T00:00:00"/>
    <x v="15"/>
    <x v="0"/>
    <n v="120"/>
    <n v="2353"/>
    <n v="228"/>
    <s v="Book: TO 2353"/>
    <s v="2022-10"/>
    <s v="Mixed"/>
  </r>
  <r>
    <m/>
    <x v="15"/>
    <x v="1"/>
    <n v="2353"/>
    <n v="0"/>
    <n v="228"/>
    <s v="Book: 2353 written again and crossed = paid"/>
    <s v=""/>
    <s v="Mixed"/>
  </r>
  <r>
    <d v="2022-11-01T00:00:00"/>
    <x v="15"/>
    <x v="0"/>
    <n v="1810"/>
    <m/>
    <n v="228"/>
    <m/>
    <s v="2022-11"/>
    <s v="Mixed"/>
  </r>
  <r>
    <d v="2022-11-03T00:00:00"/>
    <x v="15"/>
    <x v="0"/>
    <n v="209"/>
    <m/>
    <n v="228"/>
    <m/>
    <s v="2022-11"/>
    <s v="Mixed"/>
  </r>
  <r>
    <d v="2022-11-12T00:00:00"/>
    <x v="15"/>
    <x v="0"/>
    <n v="73"/>
    <m/>
    <n v="228"/>
    <m/>
    <s v="2022-11"/>
    <s v="Mixed"/>
  </r>
  <r>
    <d v="2022-11-14T00:00:00"/>
    <x v="15"/>
    <x v="0"/>
    <n v="273"/>
    <m/>
    <n v="228"/>
    <m/>
    <s v="2022-11"/>
    <s v="Mixed"/>
  </r>
  <r>
    <d v="2022-11-16T00:00:00"/>
    <x v="15"/>
    <x v="0"/>
    <n v="72"/>
    <m/>
    <n v="228"/>
    <m/>
    <s v="2022-11"/>
    <s v="Mixed"/>
  </r>
  <r>
    <d v="2022-11-20T00:00:00"/>
    <x v="15"/>
    <x v="0"/>
    <n v="466"/>
    <m/>
    <n v="228"/>
    <m/>
    <s v="2022-11"/>
    <s v="Mixed"/>
  </r>
  <r>
    <d v="2022-11-24T00:00:00"/>
    <x v="15"/>
    <x v="0"/>
    <n v="130"/>
    <m/>
    <n v="228"/>
    <m/>
    <s v="2022-11"/>
    <s v="Mixed"/>
  </r>
  <r>
    <d v="2022-11-24T00:00:00"/>
    <x v="15"/>
    <x v="0"/>
    <n v="20"/>
    <m/>
    <n v="228"/>
    <m/>
    <s v="2022-11"/>
    <s v="Mixed"/>
  </r>
  <r>
    <d v="2022-11-27T00:00:00"/>
    <x v="15"/>
    <x v="0"/>
    <n v="326"/>
    <n v="3379"/>
    <n v="228"/>
    <s v="Book: TO 3379"/>
    <s v="2022-11"/>
    <s v="Mixed"/>
  </r>
  <r>
    <d v="2022-12-01T00:00:00"/>
    <x v="15"/>
    <x v="1"/>
    <n v="900"/>
    <n v="2479"/>
    <n v="228"/>
    <s v="Book: paid 900 (date looks like 1/12), BAKI 2479"/>
    <s v="2022-12"/>
    <s v="Mixed"/>
  </r>
  <r>
    <m/>
    <x v="15"/>
    <x v="1"/>
    <n v="2479"/>
    <n v="0"/>
    <n v="228"/>
    <s v="CHECK: BAKI 2479 is crossed out and not in the next total (2117), read as paid"/>
    <s v=""/>
    <s v="Mixed"/>
  </r>
  <r>
    <d v="2022-12-01T00:00:00"/>
    <x v="15"/>
    <x v="0"/>
    <n v="1659"/>
    <m/>
    <n v="228"/>
    <m/>
    <s v="2022-12"/>
    <s v="Mixed"/>
  </r>
  <r>
    <d v="2022-12-02T00:00:00"/>
    <x v="15"/>
    <x v="0"/>
    <n v="40"/>
    <m/>
    <n v="228"/>
    <m/>
    <s v="2022-12"/>
    <s v="Mixed"/>
  </r>
  <r>
    <d v="2022-12-04T00:00:00"/>
    <x v="15"/>
    <x v="0"/>
    <n v="190"/>
    <m/>
    <n v="228"/>
    <m/>
    <s v="2022-12"/>
    <s v="Mixed"/>
  </r>
  <r>
    <d v="2022-12-11T00:00:00"/>
    <x v="15"/>
    <x v="0"/>
    <n v="213"/>
    <m/>
    <n v="228"/>
    <m/>
    <s v="2022-12"/>
    <s v="Mixed"/>
  </r>
  <r>
    <d v="2022-12-12T00:00:00"/>
    <x v="15"/>
    <x v="0"/>
    <n v="15"/>
    <n v="2117"/>
    <n v="228"/>
    <s v="Book: TO 2117 (lines below are scribbled out)"/>
    <s v="2022-12"/>
    <s v="Mixed"/>
  </r>
  <r>
    <m/>
    <x v="15"/>
    <x v="1"/>
    <n v="700"/>
    <n v="1417"/>
    <n v="229"/>
    <s v="Page 229. Book: Total 2117, paid 700 (date looks like 14/12), BAK 1417"/>
    <s v=""/>
    <s v="Mixed"/>
  </r>
  <r>
    <m/>
    <x v="15"/>
    <x v="3"/>
    <n v="406"/>
    <n v="1823"/>
    <n v="229"/>
    <s v="Older balance from top of page 229 (806 - 200 - 200 = 406) added: Tol 1823"/>
    <s v=""/>
    <s v="Mixed"/>
  </r>
  <r>
    <m/>
    <x v="15"/>
    <x v="1"/>
    <n v="600"/>
    <n v="1223"/>
    <n v="229"/>
    <s v="Book: paid 600 (date looks like 4/9), BAK 1223"/>
    <s v=""/>
    <s v="Mixed"/>
  </r>
  <r>
    <m/>
    <x v="15"/>
    <x v="1"/>
    <n v="1223"/>
    <n v="0"/>
    <n v="229"/>
    <s v="Book: 1223 written with date 11/11 and crossed = paid"/>
    <s v=""/>
    <s v="Mixed"/>
  </r>
  <r>
    <d v="2022-09-07T00:00:00"/>
    <x v="16"/>
    <x v="3"/>
    <n v="12318"/>
    <n v="12318"/>
    <n v="226"/>
    <s v="Opening Total 12318 (account 106; same person as page 326 / account 156 in the 2023 book)"/>
    <s v="2022-09"/>
    <s v="Carries forward"/>
  </r>
  <r>
    <d v="2022-09-07T00:00:00"/>
    <x v="16"/>
    <x v="0"/>
    <n v="1461"/>
    <n v="13779"/>
    <n v="226"/>
    <s v="Book: Total 13779"/>
    <s v="2022-09"/>
    <s v="Carries forward"/>
  </r>
  <r>
    <m/>
    <x v="16"/>
    <x v="1"/>
    <n v="4000"/>
    <n v="9779"/>
    <n v="226"/>
    <s v="Book: paid 4000 (September), BAK 9779"/>
    <s v=""/>
    <s v="Carries forward"/>
  </r>
  <r>
    <d v="2022-09-10T00:00:00"/>
    <x v="16"/>
    <x v="0"/>
    <n v="481"/>
    <m/>
    <n v="226"/>
    <m/>
    <s v="2022-09"/>
    <s v="Carries forward"/>
  </r>
  <r>
    <d v="2022-09-14T00:00:00"/>
    <x v="16"/>
    <x v="0"/>
    <n v="231"/>
    <m/>
    <n v="226"/>
    <m/>
    <s v="2022-09"/>
    <s v="Carries forward"/>
  </r>
  <r>
    <d v="2022-09-16T00:00:00"/>
    <x v="16"/>
    <x v="0"/>
    <n v="288"/>
    <m/>
    <n v="226"/>
    <m/>
    <s v="2022-09"/>
    <s v="Carries forward"/>
  </r>
  <r>
    <d v="2022-09-20T00:00:00"/>
    <x v="16"/>
    <x v="0"/>
    <n v="1389"/>
    <m/>
    <n v="226"/>
    <s v="GAS"/>
    <s v="2022-09"/>
    <s v="Carries forward"/>
  </r>
  <r>
    <d v="2022-09-21T00:00:00"/>
    <x v="16"/>
    <x v="0"/>
    <n v="148"/>
    <m/>
    <n v="226"/>
    <m/>
    <s v="2022-09"/>
    <s v="Carries forward"/>
  </r>
  <r>
    <d v="2022-09-23T00:00:00"/>
    <x v="16"/>
    <x v="0"/>
    <n v="575"/>
    <m/>
    <n v="226"/>
    <m/>
    <s v="2022-09"/>
    <s v="Carries forward"/>
  </r>
  <r>
    <d v="2022-09-28T00:00:00"/>
    <x v="16"/>
    <x v="0"/>
    <n v="365"/>
    <m/>
    <n v="226"/>
    <m/>
    <s v="2022-09"/>
    <s v="Carries forward"/>
  </r>
  <r>
    <d v="2022-09-29T00:00:00"/>
    <x v="16"/>
    <x v="0"/>
    <n v="426"/>
    <m/>
    <n v="226"/>
    <m/>
    <s v="2022-09"/>
    <s v="Carries forward"/>
  </r>
  <r>
    <d v="2022-09-30T00:00:00"/>
    <x v="16"/>
    <x v="0"/>
    <n v="84"/>
    <m/>
    <n v="226"/>
    <s v="Date not clear"/>
    <s v="2022-09"/>
    <s v="Carries forward"/>
  </r>
  <r>
    <d v="2022-10-02T00:00:00"/>
    <x v="16"/>
    <x v="0"/>
    <n v="113"/>
    <m/>
    <n v="226"/>
    <m/>
    <s v="2022-10"/>
    <s v="Carries forward"/>
  </r>
  <r>
    <d v="2022-10-02T00:00:00"/>
    <x v="16"/>
    <x v="0"/>
    <n v="394"/>
    <m/>
    <n v="226"/>
    <m/>
    <s v="2022-10"/>
    <s v="Carries forward"/>
  </r>
  <r>
    <d v="2022-10-04T00:00:00"/>
    <x v="16"/>
    <x v="0"/>
    <n v="146"/>
    <m/>
    <n v="226"/>
    <m/>
    <s v="2022-10"/>
    <s v="Carries forward"/>
  </r>
  <r>
    <d v="2022-10-05T00:00:00"/>
    <x v="16"/>
    <x v="0"/>
    <n v="220"/>
    <m/>
    <n v="226"/>
    <m/>
    <s v="2022-10"/>
    <s v="Carries forward"/>
  </r>
  <r>
    <d v="2022-10-05T00:00:00"/>
    <x v="16"/>
    <x v="0"/>
    <n v="50"/>
    <m/>
    <n v="226"/>
    <s v="Date not written"/>
    <s v="2022-10"/>
    <s v="Carries forward"/>
  </r>
  <r>
    <d v="2022-10-05T00:00:00"/>
    <x v="16"/>
    <x v="2"/>
    <n v="200"/>
    <n v="14889"/>
    <n v="226"/>
    <s v="CHECK: Book total 14889 is 200 more than the lines"/>
    <s v="2022-10"/>
    <s v="Carries forward"/>
  </r>
  <r>
    <d v="2022-10-06T00:00:00"/>
    <x v="16"/>
    <x v="0"/>
    <n v="287"/>
    <m/>
    <n v="226"/>
    <m/>
    <s v="2022-10"/>
    <s v="Carries forward"/>
  </r>
  <r>
    <d v="2022-10-07T00:00:00"/>
    <x v="16"/>
    <x v="0"/>
    <n v="1360"/>
    <m/>
    <n v="226"/>
    <m/>
    <s v="2022-10"/>
    <s v="Carries forward"/>
  </r>
  <r>
    <d v="2022-10-08T00:00:00"/>
    <x v="16"/>
    <x v="0"/>
    <n v="157"/>
    <n v="16693"/>
    <n v="226"/>
    <s v="Book: Total 16693"/>
    <s v="2022-10"/>
    <s v="Carries forward"/>
  </r>
  <r>
    <d v="2022-10-12T00:00:00"/>
    <x v="16"/>
    <x v="1"/>
    <n v="6000"/>
    <n v="10693"/>
    <n v="226"/>
    <s v="Book: paid 6000 on 12/10, BAK 10693"/>
    <s v="2022-10"/>
    <s v="Carries forward"/>
  </r>
  <r>
    <d v="2022-10-17T00:00:00"/>
    <x v="16"/>
    <x v="1"/>
    <n v="500"/>
    <n v="10193"/>
    <n v="226"/>
    <s v="Book: paid 500 on 17/10, BAKI 10193"/>
    <s v="2022-10"/>
    <s v="Carries forward"/>
  </r>
  <r>
    <m/>
    <x v="16"/>
    <x v="1"/>
    <n v="1000"/>
    <n v="9193"/>
    <n v="226"/>
    <s v="Book: paid 1000, balance 9193 (also written at the top of the page)"/>
    <s v=""/>
    <s v="Carries forward"/>
  </r>
  <r>
    <d v="2022-10-11T00:00:00"/>
    <x v="16"/>
    <x v="0"/>
    <n v="243"/>
    <m/>
    <n v="226"/>
    <m/>
    <s v="2022-10"/>
    <s v="Carries forward"/>
  </r>
  <r>
    <d v="2022-10-12T00:00:00"/>
    <x v="16"/>
    <x v="0"/>
    <n v="595"/>
    <m/>
    <n v="226"/>
    <m/>
    <s v="2022-10"/>
    <s v="Carries forward"/>
  </r>
  <r>
    <d v="2022-10-17T00:00:00"/>
    <x v="16"/>
    <x v="0"/>
    <n v="106"/>
    <m/>
    <n v="226"/>
    <m/>
    <s v="2022-10"/>
    <s v="Carries forward"/>
  </r>
  <r>
    <d v="2022-10-19T00:00:00"/>
    <x v="16"/>
    <x v="0"/>
    <n v="398"/>
    <m/>
    <n v="226"/>
    <m/>
    <s v="2022-10"/>
    <s v="Carries forward"/>
  </r>
  <r>
    <d v="2022-10-20T00:00:00"/>
    <x v="16"/>
    <x v="0"/>
    <n v="325"/>
    <m/>
    <n v="226"/>
    <s v="Read as 325 (looks like 925): makes Tol 6335 exact"/>
    <s v="2022-10"/>
    <s v="Carries forward"/>
  </r>
  <r>
    <d v="2022-10-22T00:00:00"/>
    <x v="16"/>
    <x v="0"/>
    <n v="196"/>
    <m/>
    <n v="226"/>
    <m/>
    <s v="2022-10"/>
    <s v="Carries forward"/>
  </r>
  <r>
    <d v="2022-10-23T00:00:00"/>
    <x v="16"/>
    <x v="0"/>
    <n v="210"/>
    <m/>
    <n v="226"/>
    <m/>
    <s v="2022-10"/>
    <s v="Carries forward"/>
  </r>
  <r>
    <d v="2022-10-26T00:00:00"/>
    <x v="16"/>
    <x v="0"/>
    <n v="482"/>
    <m/>
    <n v="226"/>
    <m/>
    <s v="2022-10"/>
    <s v="Carries forward"/>
  </r>
  <r>
    <d v="2022-10-28T00:00:00"/>
    <x v="16"/>
    <x v="0"/>
    <n v="293"/>
    <m/>
    <n v="226"/>
    <m/>
    <s v="2022-10"/>
    <s v="Carries forward"/>
  </r>
  <r>
    <d v="2022-10-29T00:00:00"/>
    <x v="16"/>
    <x v="0"/>
    <n v="1230"/>
    <m/>
    <n v="226"/>
    <s v="GAS"/>
    <s v="2022-10"/>
    <s v="Carries forward"/>
  </r>
  <r>
    <d v="2022-10-30T00:00:00"/>
    <x v="16"/>
    <x v="0"/>
    <n v="775"/>
    <m/>
    <n v="226"/>
    <m/>
    <s v="2022-10"/>
    <s v="Carries forward"/>
  </r>
  <r>
    <d v="2022-11-02T00:00:00"/>
    <x v="16"/>
    <x v="0"/>
    <n v="1315"/>
    <m/>
    <n v="226"/>
    <s v="Rice (chawal)"/>
    <s v="2022-11"/>
    <s v="Carries forward"/>
  </r>
  <r>
    <d v="2022-11-07T00:00:00"/>
    <x v="16"/>
    <x v="0"/>
    <n v="167"/>
    <n v="15528"/>
    <n v="226"/>
    <s v="Book: Tol 6335 (old 9193 kept aside, so balance 15528)"/>
    <s v="2022-11"/>
    <s v="Carries forward"/>
  </r>
  <r>
    <d v="2022-11-10T00:00:00"/>
    <x v="16"/>
    <x v="0"/>
    <n v="807"/>
    <n v="16335"/>
    <n v="226"/>
    <s v="Book: Total 7142 (+ old 9193 = 16335)"/>
    <s v="2022-11"/>
    <s v="Carries forward"/>
  </r>
  <r>
    <d v="2022-11-11T00:00:00"/>
    <x v="16"/>
    <x v="1"/>
    <n v="7000"/>
    <n v="9335"/>
    <n v="226"/>
    <s v="Book: paid 7000 on 11/11, BAK 142 (+ old 9193 = 9335)"/>
    <s v="2022-11"/>
    <s v="Carries forward"/>
  </r>
  <r>
    <d v="2022-11-10T00:00:00"/>
    <x v="16"/>
    <x v="0"/>
    <n v="240"/>
    <m/>
    <n v="226"/>
    <s v="Written after the payment"/>
    <s v="2022-11"/>
    <s v="Carries forward"/>
  </r>
  <r>
    <d v="2022-11-13T00:00:00"/>
    <x v="16"/>
    <x v="0"/>
    <n v="30"/>
    <m/>
    <n v="226"/>
    <m/>
    <s v="2022-11"/>
    <s v="Carries forward"/>
  </r>
  <r>
    <d v="2022-11-15T00:00:00"/>
    <x v="16"/>
    <x v="0"/>
    <n v="320"/>
    <m/>
    <n v="226"/>
    <m/>
    <s v="2022-11"/>
    <s v="Carries forward"/>
  </r>
  <r>
    <d v="2022-11-19T00:00:00"/>
    <x v="16"/>
    <x v="0"/>
    <n v="866"/>
    <m/>
    <n v="226"/>
    <s v="Crossed-out line above not counted"/>
    <s v="2022-11"/>
    <s v="Carries forward"/>
  </r>
  <r>
    <d v="2022-11-22T00:00:00"/>
    <x v="16"/>
    <x v="0"/>
    <n v="199"/>
    <m/>
    <n v="226"/>
    <m/>
    <s v="2022-11"/>
    <s v="Carries forward"/>
  </r>
  <r>
    <d v="2022-11-26T00:00:00"/>
    <x v="16"/>
    <x v="0"/>
    <n v="533"/>
    <m/>
    <n v="226"/>
    <m/>
    <s v="2022-11"/>
    <s v="Carries forward"/>
  </r>
  <r>
    <d v="2022-11-27T00:00:00"/>
    <x v="16"/>
    <x v="0"/>
    <n v="1300"/>
    <m/>
    <n v="226"/>
    <m/>
    <s v="2022-11"/>
    <s v="Carries forward"/>
  </r>
  <r>
    <d v="2022-11-30T00:00:00"/>
    <x v="16"/>
    <x v="0"/>
    <n v="20"/>
    <m/>
    <n v="226"/>
    <m/>
    <s v="2022-11"/>
    <s v="Carries forward"/>
  </r>
  <r>
    <d v="2022-11-30T00:00:00"/>
    <x v="16"/>
    <x v="0"/>
    <n v="663"/>
    <m/>
    <n v="226"/>
    <m/>
    <s v="2022-11"/>
    <s v="Carries forward"/>
  </r>
  <r>
    <d v="2022-12-01T00:00:00"/>
    <x v="16"/>
    <x v="0"/>
    <n v="30"/>
    <m/>
    <n v="226"/>
    <m/>
    <s v="2022-12"/>
    <s v="Carries forward"/>
  </r>
  <r>
    <d v="2022-12-01T00:00:00"/>
    <x v="16"/>
    <x v="0"/>
    <n v="20"/>
    <m/>
    <n v="226"/>
    <m/>
    <s v="2022-12"/>
    <s v="Carries forward"/>
  </r>
  <r>
    <d v="2022-12-02T00:00:00"/>
    <x v="16"/>
    <x v="0"/>
    <n v="70"/>
    <m/>
    <n v="226"/>
    <m/>
    <s v="2022-12"/>
    <s v="Carries forward"/>
  </r>
  <r>
    <d v="2022-12-03T00:00:00"/>
    <x v="16"/>
    <x v="0"/>
    <n v="20"/>
    <m/>
    <n v="226"/>
    <m/>
    <s v="2022-12"/>
    <s v="Carries forward"/>
  </r>
  <r>
    <d v="2022-12-03T00:00:00"/>
    <x v="16"/>
    <x v="0"/>
    <n v="291"/>
    <m/>
    <n v="226"/>
    <m/>
    <s v="2022-12"/>
    <s v="Carries forward"/>
  </r>
  <r>
    <d v="2022-12-06T00:00:00"/>
    <x v="16"/>
    <x v="0"/>
    <n v="481"/>
    <m/>
    <n v="226"/>
    <m/>
    <s v="2022-12"/>
    <s v="Carries forward"/>
  </r>
  <r>
    <d v="2022-12-07T00:00:00"/>
    <x v="16"/>
    <x v="0"/>
    <n v="1200"/>
    <m/>
    <n v="226"/>
    <m/>
    <s v="2022-12"/>
    <s v="Carries forward"/>
  </r>
  <r>
    <d v="2022-12-07T00:00:00"/>
    <x v="16"/>
    <x v="0"/>
    <n v="20"/>
    <m/>
    <n v="226"/>
    <m/>
    <s v="2022-12"/>
    <s v="Carries forward"/>
  </r>
  <r>
    <d v="2022-12-09T00:00:00"/>
    <x v="16"/>
    <x v="0"/>
    <n v="541"/>
    <m/>
    <n v="226"/>
    <m/>
    <s v="2022-12"/>
    <s v="Carries forward"/>
  </r>
  <r>
    <d v="2022-12-09T00:00:00"/>
    <x v="16"/>
    <x v="2"/>
    <n v="-120"/>
    <n v="16059"/>
    <n v="226"/>
    <s v="CHECK: book TO 6866 (+ old 9193 = 16059) is 120 less than the lines"/>
    <s v="2022-12"/>
    <s v="Carries forward"/>
  </r>
  <r>
    <m/>
    <x v="16"/>
    <x v="1"/>
    <n v="7800"/>
    <n v="8259"/>
    <n v="226"/>
    <s v="Book: paid 7800 (December), balance 8259"/>
    <s v=""/>
    <s v="Carries forward"/>
  </r>
  <r>
    <d v="2022-12-12T00:00:00"/>
    <x v="16"/>
    <x v="0"/>
    <n v="646"/>
    <m/>
    <n v="226"/>
    <m/>
    <s v="2022-12"/>
    <s v="Carries forward"/>
  </r>
  <r>
    <d v="2022-12-14T00:00:00"/>
    <x v="16"/>
    <x v="0"/>
    <n v="302"/>
    <m/>
    <n v="226"/>
    <m/>
    <s v="2022-12"/>
    <s v="Carries forward"/>
  </r>
  <r>
    <d v="2022-12-18T00:00:00"/>
    <x v="16"/>
    <x v="0"/>
    <n v="239"/>
    <m/>
    <n v="226"/>
    <m/>
    <s v="2022-12"/>
    <s v="Carries forward"/>
  </r>
  <r>
    <d v="2022-12-18T00:00:00"/>
    <x v="16"/>
    <x v="0"/>
    <n v="565"/>
    <m/>
    <n v="226"/>
    <m/>
    <s v="2022-12"/>
    <s v="Carries forward"/>
  </r>
  <r>
    <d v="2022-12-19T00:00:00"/>
    <x v="16"/>
    <x v="0"/>
    <n v="30"/>
    <m/>
    <n v="226"/>
    <m/>
    <s v="2022-12"/>
    <s v="Carries forward"/>
  </r>
  <r>
    <d v="2022-12-19T00:00:00"/>
    <x v="16"/>
    <x v="0"/>
    <n v="1300"/>
    <m/>
    <n v="226"/>
    <s v="Rice (chawal)"/>
    <s v="2022-12"/>
    <s v="Carries forward"/>
  </r>
  <r>
    <d v="2022-12-20T00:00:00"/>
    <x v="16"/>
    <x v="0"/>
    <n v="30"/>
    <m/>
    <n v="226"/>
    <m/>
    <s v="2022-12"/>
    <s v="Carries forward"/>
  </r>
  <r>
    <d v="2022-12-21T00:00:00"/>
    <x v="16"/>
    <x v="0"/>
    <n v="446"/>
    <m/>
    <n v="226"/>
    <m/>
    <s v="2022-12"/>
    <s v="Carries forward"/>
  </r>
  <r>
    <d v="2022-12-22T00:00:00"/>
    <x v="16"/>
    <x v="0"/>
    <n v="20"/>
    <m/>
    <n v="226"/>
    <m/>
    <s v="2022-12"/>
    <s v="Carries forward"/>
  </r>
  <r>
    <d v="2022-12-24T00:00:00"/>
    <x v="16"/>
    <x v="0"/>
    <n v="489"/>
    <m/>
    <n v="226"/>
    <m/>
    <s v="2022-12"/>
    <s v="Carries forward"/>
  </r>
  <r>
    <d v="2022-12-27T00:00:00"/>
    <x v="16"/>
    <x v="0"/>
    <n v="65"/>
    <m/>
    <n v="226"/>
    <m/>
    <s v="2022-12"/>
    <s v="Carries forward"/>
  </r>
  <r>
    <d v="2022-12-28T00:00:00"/>
    <x v="16"/>
    <x v="0"/>
    <n v="21"/>
    <m/>
    <n v="226"/>
    <m/>
    <s v="2022-12"/>
    <s v="Carries forward"/>
  </r>
  <r>
    <d v="2022-12-28T00:00:00"/>
    <x v="16"/>
    <x v="0"/>
    <n v="222"/>
    <m/>
    <n v="226"/>
    <m/>
    <s v="2022-12"/>
    <s v="Carries forward"/>
  </r>
  <r>
    <d v="2022-12-29T00:00:00"/>
    <x v="16"/>
    <x v="0"/>
    <n v="222"/>
    <m/>
    <n v="226"/>
    <m/>
    <s v="2022-12"/>
    <s v="Carries forward"/>
  </r>
  <r>
    <d v="2022-12-29T00:00:00"/>
    <x v="16"/>
    <x v="0"/>
    <n v="36"/>
    <m/>
    <n v="226"/>
    <m/>
    <s v="2022-12"/>
    <s v="Carries forward"/>
  </r>
  <r>
    <d v="2022-12-29T00:00:00"/>
    <x v="16"/>
    <x v="0"/>
    <n v="158"/>
    <m/>
    <n v="226"/>
    <m/>
    <s v="2022-12"/>
    <s v="Carries forward"/>
  </r>
  <r>
    <d v="2022-12-30T00:00:00"/>
    <x v="16"/>
    <x v="0"/>
    <n v="114"/>
    <m/>
    <n v="226"/>
    <m/>
    <s v="2022-12"/>
    <s v="Carries forward"/>
  </r>
  <r>
    <d v="2022-12-31T00:00:00"/>
    <x v="16"/>
    <x v="0"/>
    <n v="30"/>
    <m/>
    <n v="226"/>
    <m/>
    <s v="2022-12"/>
    <s v="Carries forward"/>
  </r>
  <r>
    <d v="2023-01-01T00:00:00"/>
    <x v="16"/>
    <x v="0"/>
    <n v="329"/>
    <m/>
    <n v="226"/>
    <m/>
    <s v="2023-01"/>
    <s v="Carries forward"/>
  </r>
  <r>
    <d v="2023-01-01T00:00:00"/>
    <x v="16"/>
    <x v="0"/>
    <n v="20"/>
    <m/>
    <n v="226"/>
    <m/>
    <s v="2023-01"/>
    <s v="Carries forward"/>
  </r>
  <r>
    <d v="2023-01-02T00:00:00"/>
    <x v="16"/>
    <x v="0"/>
    <n v="106"/>
    <m/>
    <n v="226"/>
    <m/>
    <s v="2023-01"/>
    <s v="Carries forward"/>
  </r>
  <r>
    <d v="2023-01-03T00:00:00"/>
    <x v="16"/>
    <x v="0"/>
    <n v="433"/>
    <m/>
    <n v="226"/>
    <m/>
    <s v="2023-01"/>
    <s v="Carries forward"/>
  </r>
  <r>
    <d v="2023-01-03T00:00:00"/>
    <x v="16"/>
    <x v="0"/>
    <n v="4"/>
    <m/>
    <n v="226"/>
    <m/>
    <s v="2023-01"/>
    <s v="Carries forward"/>
  </r>
  <r>
    <d v="2023-01-03T00:00:00"/>
    <x v="16"/>
    <x v="2"/>
    <n v="50"/>
    <n v="14136"/>
    <n v="226"/>
    <s v="Book total 14136 is 50 more than the lines"/>
    <s v="2023-01"/>
    <s v="Carries forward"/>
  </r>
  <r>
    <d v="2023-01-06T00:00:00"/>
    <x v="16"/>
    <x v="0"/>
    <n v="224"/>
    <m/>
    <n v="226"/>
    <s v="Year written as 22"/>
    <s v="2023-01"/>
    <s v="Carries forward"/>
  </r>
  <r>
    <d v="2023-01-07T00:00:00"/>
    <x v="16"/>
    <x v="0"/>
    <n v="22"/>
    <m/>
    <n v="226"/>
    <m/>
    <s v="2023-01"/>
    <s v="Carries forward"/>
  </r>
  <r>
    <d v="2023-01-09T00:00:00"/>
    <x v="16"/>
    <x v="0"/>
    <n v="253"/>
    <m/>
    <n v="226"/>
    <m/>
    <s v="2023-01"/>
    <s v="Carries forward"/>
  </r>
  <r>
    <d v="2023-01-09T00:00:00"/>
    <x v="16"/>
    <x v="0"/>
    <n v="342"/>
    <n v="14977"/>
    <n v="226"/>
    <s v="Book: TG 14977"/>
    <s v="2023-01"/>
    <s v="Carries forward"/>
  </r>
  <r>
    <d v="2023-01-10T00:00:00"/>
    <x v="16"/>
    <x v="1"/>
    <n v="7000"/>
    <n v="7977"/>
    <n v="226"/>
    <s v="Book: paid 7000 on 10/1/23, BAK 7977. Next column cut off at page edge"/>
    <s v="2023-01"/>
    <s v="Carries forward"/>
  </r>
  <r>
    <m/>
    <x v="16"/>
    <x v="1"/>
    <n v="6776"/>
    <n v="1201"/>
    <n v="227"/>
    <s v="CHECK: page 227 starts with &quot;TO 6776&quot; written twice and crossed after BAK 7977. Read as paid 6776; 1201 unexplained"/>
    <s v=""/>
    <s v="Carries forward"/>
  </r>
  <r>
    <d v="2023-01-10T00:00:00"/>
    <x v="16"/>
    <x v="0"/>
    <n v="1200"/>
    <m/>
    <n v="227"/>
    <s v="The 4 lines 6/1-9/1 rewritten above this are already counted on page 226"/>
    <s v="2023-01"/>
    <s v="Carries forward"/>
  </r>
  <r>
    <d v="2023-01-13T00:00:00"/>
    <x v="16"/>
    <x v="0"/>
    <n v="1104"/>
    <m/>
    <n v="227"/>
    <m/>
    <s v="2023-01"/>
    <s v="Carries forward"/>
  </r>
  <r>
    <d v="2023-01-14T00:00:00"/>
    <x v="16"/>
    <x v="0"/>
    <n v="10"/>
    <m/>
    <n v="227"/>
    <m/>
    <s v="2023-01"/>
    <s v="Carries forward"/>
  </r>
  <r>
    <d v="2023-01-15T00:00:00"/>
    <x v="16"/>
    <x v="0"/>
    <n v="1245"/>
    <m/>
    <n v="227"/>
    <m/>
    <s v="2023-01"/>
    <s v="Carries forward"/>
  </r>
  <r>
    <d v="2023-01-16T00:00:00"/>
    <x v="16"/>
    <x v="0"/>
    <n v="29"/>
    <m/>
    <n v="227"/>
    <m/>
    <s v="2023-01"/>
    <s v="Carries forward"/>
  </r>
  <r>
    <d v="2023-01-19T00:00:00"/>
    <x v="16"/>
    <x v="0"/>
    <n v="29"/>
    <m/>
    <n v="227"/>
    <m/>
    <s v="2023-01"/>
    <s v="Carries forward"/>
  </r>
  <r>
    <d v="2023-01-21T00:00:00"/>
    <x v="16"/>
    <x v="0"/>
    <n v="29"/>
    <m/>
    <n v="227"/>
    <m/>
    <s v="2023-01"/>
    <s v="Carries forward"/>
  </r>
  <r>
    <d v="2023-01-21T00:00:00"/>
    <x v="16"/>
    <x v="0"/>
    <n v="110"/>
    <m/>
    <n v="227"/>
    <m/>
    <s v="2023-01"/>
    <s v="Carries forward"/>
  </r>
  <r>
    <d v="2023-01-21T00:00:00"/>
    <x v="16"/>
    <x v="0"/>
    <n v="167"/>
    <m/>
    <n v="227"/>
    <m/>
    <s v="2023-01"/>
    <s v="Carries forward"/>
  </r>
  <r>
    <d v="2023-01-22T00:00:00"/>
    <x v="16"/>
    <x v="0"/>
    <n v="154"/>
    <m/>
    <n v="227"/>
    <m/>
    <s v="2023-01"/>
    <s v="Carries forward"/>
  </r>
  <r>
    <d v="2023-01-23T00:00:00"/>
    <x v="16"/>
    <x v="0"/>
    <n v="81"/>
    <m/>
    <n v="227"/>
    <m/>
    <s v="2023-01"/>
    <s v="Carries forward"/>
  </r>
  <r>
    <d v="2023-01-24T00:00:00"/>
    <x v="16"/>
    <x v="0"/>
    <n v="29"/>
    <m/>
    <n v="227"/>
    <m/>
    <s v="2023-01"/>
    <s v="Carries forward"/>
  </r>
  <r>
    <d v="2023-01-24T00:00:00"/>
    <x v="16"/>
    <x v="0"/>
    <n v="143"/>
    <m/>
    <n v="227"/>
    <m/>
    <s v="2023-01"/>
    <s v="Carries forward"/>
  </r>
  <r>
    <d v="2023-01-25T00:00:00"/>
    <x v="16"/>
    <x v="0"/>
    <n v="29"/>
    <m/>
    <n v="227"/>
    <m/>
    <s v="2023-01"/>
    <s v="Carries forward"/>
  </r>
  <r>
    <d v="2023-01-25T00:00:00"/>
    <x v="16"/>
    <x v="0"/>
    <n v="203"/>
    <m/>
    <n v="227"/>
    <m/>
    <s v="2023-01"/>
    <s v="Carries forward"/>
  </r>
  <r>
    <d v="2023-01-28T00:00:00"/>
    <x v="16"/>
    <x v="0"/>
    <n v="29"/>
    <m/>
    <n v="227"/>
    <m/>
    <s v="2023-01"/>
    <s v="Carries forward"/>
  </r>
  <r>
    <d v="2023-01-28T00:00:00"/>
    <x v="16"/>
    <x v="0"/>
    <n v="353"/>
    <m/>
    <n v="227"/>
    <m/>
    <s v="2023-01"/>
    <s v="Carries forward"/>
  </r>
  <r>
    <d v="2023-01-29T00:00:00"/>
    <x v="16"/>
    <x v="0"/>
    <n v="20"/>
    <m/>
    <n v="227"/>
    <m/>
    <s v="2023-01"/>
    <s v="Carries forward"/>
  </r>
  <r>
    <d v="2023-01-29T00:00:00"/>
    <x v="16"/>
    <x v="0"/>
    <n v="146"/>
    <m/>
    <n v="227"/>
    <m/>
    <s v="2023-01"/>
    <s v="Carries forward"/>
  </r>
  <r>
    <d v="2023-01-30T00:00:00"/>
    <x v="16"/>
    <x v="0"/>
    <n v="38"/>
    <m/>
    <n v="227"/>
    <m/>
    <s v="2023-01"/>
    <s v="Carries forward"/>
  </r>
  <r>
    <d v="2023-01-31T00:00:00"/>
    <x v="16"/>
    <x v="0"/>
    <n v="20"/>
    <m/>
    <n v="227"/>
    <m/>
    <s v="2023-01"/>
    <s v="Carries forward"/>
  </r>
  <r>
    <d v="2023-02-02T00:00:00"/>
    <x v="16"/>
    <x v="0"/>
    <n v="219"/>
    <m/>
    <n v="227"/>
    <s v="Date written like 2/1"/>
    <s v="2023-02"/>
    <s v="Carries forward"/>
  </r>
  <r>
    <d v="2023-02-04T00:00:00"/>
    <x v="16"/>
    <x v="0"/>
    <n v="10"/>
    <m/>
    <n v="227"/>
    <s v="Date written like 4/1. Last line, no total"/>
    <s v="2023-02"/>
    <s v="Carries forward"/>
  </r>
  <r>
    <d v="2022-09-05T00:00:00"/>
    <x v="17"/>
    <x v="3"/>
    <n v="797"/>
    <n v="797"/>
    <n v="234"/>
    <s v="Opening Tol 797 (account 110)"/>
    <s v="2022-09"/>
    <s v="Pays full"/>
  </r>
  <r>
    <d v="2022-09-05T00:00:00"/>
    <x v="17"/>
    <x v="0"/>
    <n v="460"/>
    <m/>
    <n v="234"/>
    <m/>
    <s v="2022-09"/>
    <s v="Pays full"/>
  </r>
  <r>
    <d v="2022-09-17T00:00:00"/>
    <x v="17"/>
    <x v="0"/>
    <n v="345"/>
    <m/>
    <n v="234"/>
    <m/>
    <s v="2022-09"/>
    <s v="Pays full"/>
  </r>
  <r>
    <d v="2022-09-20T00:00:00"/>
    <x v="17"/>
    <x v="0"/>
    <n v="264"/>
    <m/>
    <n v="234"/>
    <m/>
    <s v="2022-09"/>
    <s v="Pays full"/>
  </r>
  <r>
    <d v="2022-09-22T00:00:00"/>
    <x v="17"/>
    <x v="0"/>
    <n v="608"/>
    <n v="2474"/>
    <n v="234"/>
    <s v="Book: Total 2474"/>
    <s v="2022-09"/>
    <s v="Pays full"/>
  </r>
  <r>
    <d v="2022-10-01T00:00:00"/>
    <x v="17"/>
    <x v="0"/>
    <n v="190"/>
    <n v="2664"/>
    <n v="234"/>
    <s v="Book: TL 2664"/>
    <s v="2022-10"/>
    <s v="Pays full"/>
  </r>
  <r>
    <d v="2022-10-02T00:00:00"/>
    <x v="17"/>
    <x v="0"/>
    <n v="160"/>
    <m/>
    <n v="234"/>
    <m/>
    <s v="2022-10"/>
    <s v="Pays full"/>
  </r>
  <r>
    <d v="2022-10-10T00:00:00"/>
    <x v="17"/>
    <x v="0"/>
    <n v="523"/>
    <n v="3347"/>
    <n v="234"/>
    <s v="Book: TC 3347"/>
    <s v="2022-10"/>
    <s v="Pays full"/>
  </r>
  <r>
    <d v="2022-10-16T00:00:00"/>
    <x v="17"/>
    <x v="1"/>
    <n v="1500"/>
    <n v="1847"/>
    <n v="234"/>
    <s v="Book: paid 1500 on 16/10, BAK 1847"/>
    <s v="2022-10"/>
    <s v="Pays full"/>
  </r>
  <r>
    <d v="2022-10-22T00:00:00"/>
    <x v="17"/>
    <x v="0"/>
    <n v="360"/>
    <m/>
    <n v="234"/>
    <m/>
    <s v="2022-10"/>
    <s v="Pays full"/>
  </r>
  <r>
    <d v="2022-10-26T00:00:00"/>
    <x v="17"/>
    <x v="0"/>
    <n v="160"/>
    <m/>
    <n v="234"/>
    <m/>
    <s v="2022-10"/>
    <s v="Pays full"/>
  </r>
  <r>
    <d v="2022-10-29T00:00:00"/>
    <x v="17"/>
    <x v="0"/>
    <n v="263"/>
    <m/>
    <n v="234"/>
    <m/>
    <s v="2022-10"/>
    <s v="Pays full"/>
  </r>
  <r>
    <d v="2022-10-29T00:00:00"/>
    <x v="17"/>
    <x v="0"/>
    <n v="60"/>
    <m/>
    <n v="234"/>
    <s v="First digit scribbled, read as 60: makes TO 3202 exact"/>
    <s v="2022-10"/>
    <s v="Pays full"/>
  </r>
  <r>
    <d v="2022-10-31T00:00:00"/>
    <x v="17"/>
    <x v="0"/>
    <n v="278"/>
    <m/>
    <n v="234"/>
    <m/>
    <s v="2022-10"/>
    <s v="Pays full"/>
  </r>
  <r>
    <d v="2022-11-07T00:00:00"/>
    <x v="17"/>
    <x v="0"/>
    <n v="234"/>
    <n v="3202"/>
    <n v="234"/>
    <s v="Date written like 7/10. Book: TO 3202"/>
    <s v="2022-11"/>
    <s v="Pays full"/>
  </r>
  <r>
    <d v="2022-11-12T00:00:00"/>
    <x v="17"/>
    <x v="0"/>
    <n v="234"/>
    <n v="3436"/>
    <n v="234"/>
    <s v="Book: TO 3436"/>
    <s v="2022-11"/>
    <s v="Pays full"/>
  </r>
  <r>
    <d v="2022-11-13T00:00:00"/>
    <x v="17"/>
    <x v="1"/>
    <n v="3000"/>
    <n v="436"/>
    <n v="234"/>
    <s v="Book: paid 3000 on 13/11"/>
    <s v="2022-11"/>
    <s v="Pays full"/>
  </r>
  <r>
    <d v="2022-11-19T00:00:00"/>
    <x v="17"/>
    <x v="0"/>
    <n v="854"/>
    <m/>
    <n v="234"/>
    <m/>
    <s v="2022-11"/>
    <s v="Pays full"/>
  </r>
  <r>
    <d v="2022-11-25T00:00:00"/>
    <x v="17"/>
    <x v="0"/>
    <n v="218"/>
    <m/>
    <n v="234"/>
    <m/>
    <s v="2022-11"/>
    <s v="Pays full"/>
  </r>
  <r>
    <d v="2022-12-03T00:00:00"/>
    <x v="17"/>
    <x v="0"/>
    <n v="81"/>
    <m/>
    <n v="234"/>
    <m/>
    <s v="2022-12"/>
    <s v="Pays full"/>
  </r>
  <r>
    <d v="2022-12-03T00:00:00"/>
    <x v="17"/>
    <x v="0"/>
    <n v="20"/>
    <m/>
    <n v="234"/>
    <m/>
    <s v="2022-12"/>
    <s v="Pays full"/>
  </r>
  <r>
    <d v="2022-12-09T00:00:00"/>
    <x v="17"/>
    <x v="0"/>
    <n v="131"/>
    <m/>
    <n v="234"/>
    <m/>
    <s v="2022-12"/>
    <s v="Pays full"/>
  </r>
  <r>
    <d v="2022-12-09T00:00:00"/>
    <x v="17"/>
    <x v="0"/>
    <n v="120"/>
    <n v="1860"/>
    <n v="234"/>
    <s v="Book: Total 1860"/>
    <s v="2022-12"/>
    <s v="Pays full"/>
  </r>
  <r>
    <m/>
    <x v="17"/>
    <x v="1"/>
    <n v="1860"/>
    <n v="0"/>
    <n v="234"/>
    <s v="Book: 1860 written again and crossed = paid"/>
    <s v=""/>
    <s v="Pays full"/>
  </r>
  <r>
    <d v="2022-12-15T00:00:00"/>
    <x v="17"/>
    <x v="0"/>
    <n v="360"/>
    <m/>
    <n v="234"/>
    <m/>
    <s v="2022-12"/>
    <s v="Pays full"/>
  </r>
  <r>
    <d v="2022-12-17T00:00:00"/>
    <x v="17"/>
    <x v="0"/>
    <n v="391"/>
    <m/>
    <n v="234"/>
    <m/>
    <s v="2022-12"/>
    <s v="Pays full"/>
  </r>
  <r>
    <d v="2022-12-24T00:00:00"/>
    <x v="17"/>
    <x v="0"/>
    <n v="125"/>
    <m/>
    <n v="234"/>
    <m/>
    <s v="2022-12"/>
    <s v="Pays full"/>
  </r>
  <r>
    <d v="2022-12-30T00:00:00"/>
    <x v="17"/>
    <x v="0"/>
    <n v="348"/>
    <m/>
    <n v="234"/>
    <m/>
    <s v="2022-12"/>
    <s v="Pays full"/>
  </r>
  <r>
    <d v="2023-01-07T00:00:00"/>
    <x v="17"/>
    <x v="0"/>
    <n v="558"/>
    <m/>
    <n v="234"/>
    <m/>
    <s v="2023-01"/>
    <s v="Pays full"/>
  </r>
  <r>
    <d v="2023-01-07T00:00:00"/>
    <x v="17"/>
    <x v="0"/>
    <n v="70"/>
    <n v="1852"/>
    <n v="234"/>
    <s v="Book: TO 1852"/>
    <s v="2023-01"/>
    <s v="Pays full"/>
  </r>
  <r>
    <m/>
    <x v="17"/>
    <x v="1"/>
    <n v="1852"/>
    <n v="0"/>
    <n v="234"/>
    <s v="Book: 1852 written again and crossed = paid (January)"/>
    <s v=""/>
    <s v="Pays full"/>
  </r>
  <r>
    <d v="2023-01-12T00:00:00"/>
    <x v="17"/>
    <x v="0"/>
    <n v="895"/>
    <m/>
    <n v="234"/>
    <m/>
    <s v="2023-01"/>
    <s v="Pays full"/>
  </r>
  <r>
    <d v="2023-01-22T00:00:00"/>
    <x v="17"/>
    <x v="0"/>
    <n v="225"/>
    <m/>
    <n v="234"/>
    <m/>
    <s v="2023-01"/>
    <s v="Pays full"/>
  </r>
  <r>
    <d v="2023-02-02T00:00:00"/>
    <x v="17"/>
    <x v="0"/>
    <n v="770"/>
    <m/>
    <n v="234"/>
    <m/>
    <s v="2023-02"/>
    <s v="Pays full"/>
  </r>
  <r>
    <d v="2023-02-11T00:00:00"/>
    <x v="17"/>
    <x v="0"/>
    <n v="75"/>
    <n v="1965"/>
    <n v="234"/>
    <s v="Book: TC 1965"/>
    <s v="2023-02"/>
    <s v="Pays full"/>
  </r>
  <r>
    <m/>
    <x v="17"/>
    <x v="1"/>
    <n v="1965"/>
    <n v="0"/>
    <n v="234"/>
    <s v="Book: 1965 written again and crossed = paid (February)"/>
    <s v=""/>
    <s v="Pays full"/>
  </r>
  <r>
    <d v="2023-03-18T00:00:00"/>
    <x v="17"/>
    <x v="0"/>
    <n v="543"/>
    <m/>
    <n v="234"/>
    <m/>
    <s v="2023-03"/>
    <s v="Pays full"/>
  </r>
  <r>
    <d v="2023-03-28T00:00:00"/>
    <x v="17"/>
    <x v="0"/>
    <n v="858"/>
    <m/>
    <n v="234"/>
    <m/>
    <s v="2023-03"/>
    <s v="Pays full"/>
  </r>
  <r>
    <d v="2023-03-28T00:00:00"/>
    <x v="17"/>
    <x v="0"/>
    <n v="126"/>
    <m/>
    <n v="234"/>
    <m/>
    <s v="2023-03"/>
    <s v="Pays full"/>
  </r>
  <r>
    <d v="2023-03-31T00:00:00"/>
    <x v="17"/>
    <x v="0"/>
    <n v="38"/>
    <m/>
    <n v="234"/>
    <s v="Date written as 18"/>
    <s v="2023-03"/>
    <s v="Pays full"/>
  </r>
  <r>
    <d v="2023-04-02T00:00:00"/>
    <x v="17"/>
    <x v="0"/>
    <n v="115"/>
    <m/>
    <n v="234"/>
    <m/>
    <s v="2023-04"/>
    <s v="Pays full"/>
  </r>
  <r>
    <d v="2023-04-04T00:00:00"/>
    <x v="17"/>
    <x v="0"/>
    <n v="188"/>
    <n v="1868"/>
    <n v="234"/>
    <s v="Book: TO 1868"/>
    <s v="2023-04"/>
    <s v="Pays full"/>
  </r>
  <r>
    <m/>
    <x v="17"/>
    <x v="1"/>
    <n v="1504"/>
    <n v="364"/>
    <n v="234"/>
    <s v="Book: paid 1504, BAK 364"/>
    <s v=""/>
    <s v="Pays full"/>
  </r>
  <r>
    <d v="2023-04-18T00:00:00"/>
    <x v="17"/>
    <x v="0"/>
    <n v="880"/>
    <m/>
    <n v="234"/>
    <m/>
    <s v="2023-04"/>
    <s v="Pays full"/>
  </r>
  <r>
    <d v="2023-05-05T00:00:00"/>
    <x v="17"/>
    <x v="0"/>
    <n v="739"/>
    <m/>
    <n v="234"/>
    <m/>
    <s v="2023-05"/>
    <s v="Pays full"/>
  </r>
  <r>
    <d v="2023-05-05T00:00:00"/>
    <x v="17"/>
    <x v="2"/>
    <n v="-59"/>
    <n v="1924"/>
    <n v="234"/>
    <s v="Book total 1924 is 59 less than the lines"/>
    <s v="2023-05"/>
    <s v="Pays full"/>
  </r>
  <r>
    <d v="2023-05-22T00:00:00"/>
    <x v="17"/>
    <x v="0"/>
    <n v="26"/>
    <m/>
    <n v="234"/>
    <m/>
    <s v="2023-05"/>
    <s v="Pays full"/>
  </r>
  <r>
    <d v="2023-05-23T00:00:00"/>
    <x v="17"/>
    <x v="0"/>
    <n v="397"/>
    <m/>
    <n v="234"/>
    <m/>
    <s v="2023-05"/>
    <s v="Pays full"/>
  </r>
  <r>
    <d v="2023-05-31T00:00:00"/>
    <x v="17"/>
    <x v="0"/>
    <n v="825"/>
    <n v="3172"/>
    <n v="234"/>
    <s v="Book: TL 3172"/>
    <s v="2023-05"/>
    <s v="Pays full"/>
  </r>
  <r>
    <d v="2022-09-01T00:00:00"/>
    <x v="18"/>
    <x v="3"/>
    <n v="10988"/>
    <n v="10988"/>
    <n v="224"/>
    <s v="Opening Total 10988 (account 105)"/>
    <s v="2022-09"/>
    <s v="Carries forward"/>
  </r>
  <r>
    <m/>
    <x v="18"/>
    <x v="1"/>
    <n v="6000"/>
    <n v="4988"/>
    <n v="224"/>
    <s v="Book: paid 6000 (date not clear), BAKI 4988"/>
    <s v=""/>
    <s v="Carries forward"/>
  </r>
  <r>
    <d v="2022-09-02T00:00:00"/>
    <x v="18"/>
    <x v="0"/>
    <n v="30"/>
    <m/>
    <n v="224"/>
    <m/>
    <s v="2022-09"/>
    <s v="Carries forward"/>
  </r>
  <r>
    <d v="2022-09-03T00:00:00"/>
    <x v="18"/>
    <x v="0"/>
    <n v="665"/>
    <m/>
    <n v="224"/>
    <m/>
    <s v="2022-09"/>
    <s v="Carries forward"/>
  </r>
  <r>
    <d v="2022-09-06T00:00:00"/>
    <x v="18"/>
    <x v="0"/>
    <n v="554"/>
    <m/>
    <n v="224"/>
    <m/>
    <s v="2022-09"/>
    <s v="Carries forward"/>
  </r>
  <r>
    <d v="2022-09-08T00:00:00"/>
    <x v="18"/>
    <x v="0"/>
    <n v="568"/>
    <m/>
    <n v="224"/>
    <m/>
    <s v="2022-09"/>
    <s v="Carries forward"/>
  </r>
  <r>
    <d v="2022-09-09T00:00:00"/>
    <x v="18"/>
    <x v="0"/>
    <n v="427"/>
    <m/>
    <n v="224"/>
    <m/>
    <s v="2022-09"/>
    <s v="Carries forward"/>
  </r>
  <r>
    <d v="2022-09-14T00:00:00"/>
    <x v="18"/>
    <x v="0"/>
    <n v="517"/>
    <m/>
    <n v="224"/>
    <m/>
    <s v="2022-09"/>
    <s v="Carries forward"/>
  </r>
  <r>
    <d v="2022-09-20T00:00:00"/>
    <x v="18"/>
    <x v="0"/>
    <n v="713"/>
    <m/>
    <n v="224"/>
    <m/>
    <s v="2022-09"/>
    <s v="Carries forward"/>
  </r>
  <r>
    <d v="2022-09-23T00:00:00"/>
    <x v="18"/>
    <x v="0"/>
    <n v="1385"/>
    <m/>
    <n v="224"/>
    <m/>
    <s v="2022-09"/>
    <s v="Carries forward"/>
  </r>
  <r>
    <d v="2022-09-25T00:00:00"/>
    <x v="18"/>
    <x v="0"/>
    <n v="500"/>
    <m/>
    <n v="224"/>
    <m/>
    <s v="2022-09"/>
    <s v="Carries forward"/>
  </r>
  <r>
    <d v="2022-09-26T00:00:00"/>
    <x v="18"/>
    <x v="0"/>
    <n v="540"/>
    <m/>
    <n v="224"/>
    <m/>
    <s v="2022-09"/>
    <s v="Carries forward"/>
  </r>
  <r>
    <d v="2022-09-26T00:00:00"/>
    <x v="18"/>
    <x v="2"/>
    <n v="-60"/>
    <n v="10827"/>
    <n v="224"/>
    <s v="Book total 10827 is 60 less than the lines"/>
    <s v="2022-09"/>
    <s v="Carries forward"/>
  </r>
  <r>
    <m/>
    <x v="18"/>
    <x v="1"/>
    <n v="6000"/>
    <n v="4827"/>
    <n v="224"/>
    <s v="Book: paid 6000 (date not clear), BAK 4827"/>
    <s v=""/>
    <s v="Carries forward"/>
  </r>
  <r>
    <d v="2022-10-01T00:00:00"/>
    <x v="18"/>
    <x v="0"/>
    <n v="694"/>
    <m/>
    <n v="224"/>
    <m/>
    <s v="2022-10"/>
    <s v="Carries forward"/>
  </r>
  <r>
    <d v="2022-10-05T00:00:00"/>
    <x v="18"/>
    <x v="0"/>
    <n v="647"/>
    <m/>
    <n v="224"/>
    <m/>
    <s v="2022-10"/>
    <s v="Carries forward"/>
  </r>
  <r>
    <d v="2022-10-05T00:00:00"/>
    <x v="18"/>
    <x v="0"/>
    <n v="5"/>
    <m/>
    <n v="224"/>
    <s v="Date not written"/>
    <s v="2022-10"/>
    <s v="Carries forward"/>
  </r>
  <r>
    <d v="2022-10-08T00:00:00"/>
    <x v="18"/>
    <x v="0"/>
    <n v="750"/>
    <m/>
    <n v="224"/>
    <m/>
    <s v="2022-10"/>
    <s v="Carries forward"/>
  </r>
  <r>
    <d v="2022-10-13T00:00:00"/>
    <x v="18"/>
    <x v="0"/>
    <n v="225"/>
    <m/>
    <n v="224"/>
    <m/>
    <s v="2022-10"/>
    <s v="Carries forward"/>
  </r>
  <r>
    <d v="2022-10-16T00:00:00"/>
    <x v="18"/>
    <x v="0"/>
    <n v="1371"/>
    <m/>
    <n v="224"/>
    <m/>
    <s v="2022-10"/>
    <s v="Carries forward"/>
  </r>
  <r>
    <d v="2022-10-17T00:00:00"/>
    <x v="18"/>
    <x v="0"/>
    <n v="689"/>
    <m/>
    <n v="224"/>
    <m/>
    <s v="2022-10"/>
    <s v="Carries forward"/>
  </r>
  <r>
    <d v="2022-10-22T00:00:00"/>
    <x v="18"/>
    <x v="0"/>
    <n v="863"/>
    <m/>
    <n v="224"/>
    <m/>
    <s v="2022-10"/>
    <s v="Carries forward"/>
  </r>
  <r>
    <d v="2022-10-26T00:00:00"/>
    <x v="18"/>
    <x v="0"/>
    <n v="540"/>
    <m/>
    <n v="224"/>
    <m/>
    <s v="2022-10"/>
    <s v="Carries forward"/>
  </r>
  <r>
    <d v="2022-10-28T00:00:00"/>
    <x v="18"/>
    <x v="0"/>
    <n v="566"/>
    <m/>
    <n v="224"/>
    <m/>
    <s v="2022-10"/>
    <s v="Carries forward"/>
  </r>
  <r>
    <d v="2022-10-31T00:00:00"/>
    <x v="18"/>
    <x v="0"/>
    <n v="541"/>
    <m/>
    <n v="224"/>
    <m/>
    <s v="2022-10"/>
    <s v="Carries forward"/>
  </r>
  <r>
    <d v="2022-10-31T00:00:00"/>
    <x v="18"/>
    <x v="2"/>
    <n v="108"/>
    <n v="11826"/>
    <n v="224"/>
    <s v="CHECK: Book total 11826 is 108 more than the lines"/>
    <s v="2022-10"/>
    <s v="Carries forward"/>
  </r>
  <r>
    <m/>
    <x v="18"/>
    <x v="1"/>
    <n v="6000"/>
    <n v="5826"/>
    <n v="224"/>
    <s v="Payment not written: Total 11826 then BAK 5826 at top of next column"/>
    <s v=""/>
    <s v="Carries forward"/>
  </r>
  <r>
    <d v="2022-11-03T00:00:00"/>
    <x v="18"/>
    <x v="0"/>
    <n v="609"/>
    <m/>
    <n v="224"/>
    <m/>
    <s v="2022-11"/>
    <s v="Carries forward"/>
  </r>
  <r>
    <d v="2022-11-06T00:00:00"/>
    <x v="18"/>
    <x v="0"/>
    <n v="263"/>
    <m/>
    <n v="224"/>
    <m/>
    <s v="2022-11"/>
    <s v="Carries forward"/>
  </r>
  <r>
    <d v="2022-11-06T00:00:00"/>
    <x v="18"/>
    <x v="0"/>
    <n v="35"/>
    <m/>
    <n v="224"/>
    <m/>
    <s v="2022-11"/>
    <s v="Carries forward"/>
  </r>
  <r>
    <d v="2022-11-08T00:00:00"/>
    <x v="18"/>
    <x v="0"/>
    <n v="1749"/>
    <m/>
    <n v="224"/>
    <m/>
    <s v="2022-11"/>
    <s v="Carries forward"/>
  </r>
  <r>
    <d v="2022-11-15T00:00:00"/>
    <x v="18"/>
    <x v="0"/>
    <n v="696"/>
    <m/>
    <n v="224"/>
    <m/>
    <s v="2022-11"/>
    <s v="Carries forward"/>
  </r>
  <r>
    <d v="2022-11-16T00:00:00"/>
    <x v="18"/>
    <x v="0"/>
    <n v="14"/>
    <m/>
    <n v="224"/>
    <m/>
    <s v="2022-11"/>
    <s v="Carries forward"/>
  </r>
  <r>
    <d v="2022-11-19T00:00:00"/>
    <x v="18"/>
    <x v="0"/>
    <n v="586"/>
    <m/>
    <n v="224"/>
    <m/>
    <s v="2022-11"/>
    <s v="Carries forward"/>
  </r>
  <r>
    <d v="2022-11-24T00:00:00"/>
    <x v="18"/>
    <x v="0"/>
    <n v="1036"/>
    <m/>
    <n v="224"/>
    <m/>
    <s v="2022-11"/>
    <s v="Carries forward"/>
  </r>
  <r>
    <d v="2022-11-27T00:00:00"/>
    <x v="18"/>
    <x v="0"/>
    <n v="423"/>
    <n v="11237"/>
    <n v="224"/>
    <s v="Book: Total 11237"/>
    <s v="2022-11"/>
    <s v="Carries forward"/>
  </r>
  <r>
    <m/>
    <x v="18"/>
    <x v="1"/>
    <n v="6000"/>
    <n v="5237"/>
    <n v="224"/>
    <s v="Book: paid 6000 (date looks like 14/12), BAKI 5237"/>
    <s v=""/>
    <s v="Carries forward"/>
  </r>
  <r>
    <d v="2022-12-01T00:00:00"/>
    <x v="18"/>
    <x v="0"/>
    <n v="446"/>
    <m/>
    <n v="224"/>
    <m/>
    <s v="2022-12"/>
    <s v="Carries forward"/>
  </r>
  <r>
    <d v="2022-12-01T00:00:00"/>
    <x v="18"/>
    <x v="0"/>
    <n v="166"/>
    <m/>
    <n v="224"/>
    <m/>
    <s v="2022-12"/>
    <s v="Carries forward"/>
  </r>
  <r>
    <d v="2022-12-03T00:00:00"/>
    <x v="18"/>
    <x v="0"/>
    <n v="1305"/>
    <m/>
    <n v="224"/>
    <m/>
    <s v="2022-12"/>
    <s v="Carries forward"/>
  </r>
  <r>
    <d v="2022-12-04T00:00:00"/>
    <x v="18"/>
    <x v="0"/>
    <n v="227"/>
    <m/>
    <n v="224"/>
    <m/>
    <s v="2022-12"/>
    <s v="Carries forward"/>
  </r>
  <r>
    <d v="2022-12-06T00:00:00"/>
    <x v="18"/>
    <x v="0"/>
    <n v="571"/>
    <m/>
    <n v="224"/>
    <m/>
    <s v="2022-12"/>
    <s v="Carries forward"/>
  </r>
  <r>
    <d v="2022-12-10T00:00:00"/>
    <x v="18"/>
    <x v="0"/>
    <n v="612"/>
    <m/>
    <n v="224"/>
    <m/>
    <s v="2022-12"/>
    <s v="Carries forward"/>
  </r>
  <r>
    <d v="2022-12-16T00:00:00"/>
    <x v="18"/>
    <x v="0"/>
    <n v="694"/>
    <m/>
    <n v="224"/>
    <m/>
    <s v="2022-12"/>
    <s v="Carries forward"/>
  </r>
  <r>
    <d v="2022-12-18T00:00:00"/>
    <x v="18"/>
    <x v="0"/>
    <n v="666"/>
    <m/>
    <n v="224"/>
    <m/>
    <s v="2022-12"/>
    <s v="Carries forward"/>
  </r>
  <r>
    <d v="2022-12-24T00:00:00"/>
    <x v="18"/>
    <x v="0"/>
    <n v="639"/>
    <n v="10563"/>
    <n v="224"/>
    <s v="Book: TO 10563"/>
    <s v="2022-12"/>
    <s v="Carries forward"/>
  </r>
  <r>
    <m/>
    <x v="18"/>
    <x v="1"/>
    <n v="5000"/>
    <n v="5563"/>
    <n v="224"/>
    <s v="Book: paid 5000 (January), BAK 5563"/>
    <s v=""/>
    <s v="Carries forward"/>
  </r>
  <r>
    <d v="2022-12-27T00:00:00"/>
    <x v="18"/>
    <x v="0"/>
    <n v="296"/>
    <m/>
    <n v="224"/>
    <m/>
    <s v="2022-12"/>
    <s v="Carries forward"/>
  </r>
  <r>
    <d v="2022-12-28T00:00:00"/>
    <x v="18"/>
    <x v="0"/>
    <n v="1300"/>
    <m/>
    <n v="224"/>
    <m/>
    <s v="2022-12"/>
    <s v="Carries forward"/>
  </r>
  <r>
    <d v="2022-12-30T00:00:00"/>
    <x v="18"/>
    <x v="0"/>
    <n v="643"/>
    <m/>
    <n v="224"/>
    <m/>
    <s v="2022-12"/>
    <s v="Carries forward"/>
  </r>
  <r>
    <d v="2023-01-03T00:00:00"/>
    <x v="18"/>
    <x v="0"/>
    <n v="976"/>
    <m/>
    <n v="224"/>
    <m/>
    <s v="2023-01"/>
    <s v="Carries forward"/>
  </r>
  <r>
    <d v="2023-01-15T00:00:00"/>
    <x v="18"/>
    <x v="0"/>
    <n v="240"/>
    <m/>
    <n v="224"/>
    <m/>
    <s v="2023-01"/>
    <s v="Carries forward"/>
  </r>
  <r>
    <d v="2023-01-19T00:00:00"/>
    <x v="18"/>
    <x v="0"/>
    <n v="660"/>
    <m/>
    <n v="224"/>
    <m/>
    <s v="2023-01"/>
    <s v="Carries forward"/>
  </r>
  <r>
    <d v="2023-01-22T00:00:00"/>
    <x v="18"/>
    <x v="0"/>
    <n v="207"/>
    <m/>
    <n v="224"/>
    <m/>
    <s v="2023-01"/>
    <s v="Carries forward"/>
  </r>
  <r>
    <d v="2023-01-25T00:00:00"/>
    <x v="18"/>
    <x v="0"/>
    <n v="594"/>
    <m/>
    <n v="224"/>
    <m/>
    <s v="2023-01"/>
    <s v="Carries forward"/>
  </r>
  <r>
    <d v="2023-01-26T00:00:00"/>
    <x v="18"/>
    <x v="0"/>
    <n v="389"/>
    <m/>
    <n v="224"/>
    <m/>
    <s v="2023-01"/>
    <s v="Carries forward"/>
  </r>
  <r>
    <d v="2023-01-29T00:00:00"/>
    <x v="18"/>
    <x v="0"/>
    <n v="1305"/>
    <m/>
    <n v="224"/>
    <s v="Rice (chawal)"/>
    <s v="2023-01"/>
    <s v="Carries forward"/>
  </r>
  <r>
    <d v="2023-01-29T00:00:00"/>
    <x v="18"/>
    <x v="2"/>
    <n v="-60"/>
    <n v="12113"/>
    <n v="224"/>
    <s v="Book total 12113 is 60 less than the lines"/>
    <s v="2023-01"/>
    <s v="Carries forward"/>
  </r>
  <r>
    <m/>
    <x v="18"/>
    <x v="1"/>
    <n v="5000"/>
    <n v="7113"/>
    <n v="224"/>
    <s v="Book: paid 5000, BAK 7113"/>
    <s v=""/>
    <s v="Carries forward"/>
  </r>
  <r>
    <d v="2023-01-31T00:00:00"/>
    <x v="18"/>
    <x v="0"/>
    <n v="386"/>
    <m/>
    <n v="224"/>
    <m/>
    <s v="2023-01"/>
    <s v="Carries forward"/>
  </r>
  <r>
    <d v="2023-02-02T00:00:00"/>
    <x v="18"/>
    <x v="0"/>
    <n v="514"/>
    <m/>
    <n v="224"/>
    <m/>
    <s v="2023-02"/>
    <s v="Carries forward"/>
  </r>
  <r>
    <d v="2023-02-04T00:00:00"/>
    <x v="18"/>
    <x v="0"/>
    <n v="522"/>
    <m/>
    <n v="224"/>
    <m/>
    <s v="2023-02"/>
    <s v="Carries forward"/>
  </r>
  <r>
    <d v="2023-02-07T00:00:00"/>
    <x v="18"/>
    <x v="0"/>
    <n v="727"/>
    <m/>
    <n v="224"/>
    <m/>
    <s v="2023-02"/>
    <s v="Carries forward"/>
  </r>
  <r>
    <d v="2023-02-16T00:00:00"/>
    <x v="18"/>
    <x v="0"/>
    <n v="958"/>
    <m/>
    <n v="224"/>
    <m/>
    <s v="2023-02"/>
    <s v="Carries forward"/>
  </r>
  <r>
    <d v="2023-02-22T00:00:00"/>
    <x v="18"/>
    <x v="0"/>
    <n v="478"/>
    <m/>
    <n v="224"/>
    <m/>
    <s v="2023-02"/>
    <s v="Carries forward"/>
  </r>
  <r>
    <d v="2023-02-23T00:00:00"/>
    <x v="18"/>
    <x v="0"/>
    <n v="476"/>
    <m/>
    <n v="224"/>
    <m/>
    <s v="2023-02"/>
    <s v="Carries forward"/>
  </r>
  <r>
    <d v="2023-02-28T00:00:00"/>
    <x v="18"/>
    <x v="0"/>
    <n v="150"/>
    <m/>
    <n v="224"/>
    <m/>
    <s v="2023-02"/>
    <s v="Carries forward"/>
  </r>
  <r>
    <d v="2023-02-26T00:00:00"/>
    <x v="18"/>
    <x v="0"/>
    <n v="847"/>
    <m/>
    <n v="224"/>
    <m/>
    <s v="2023-02"/>
    <s v="Carries forward"/>
  </r>
  <r>
    <d v="2023-03-01T00:00:00"/>
    <x v="18"/>
    <x v="0"/>
    <n v="793"/>
    <m/>
    <n v="224"/>
    <m/>
    <s v="2023-03"/>
    <s v="Carries forward"/>
  </r>
  <r>
    <d v="2023-03-01T00:00:00"/>
    <x v="18"/>
    <x v="2"/>
    <n v="-22"/>
    <n v="12942"/>
    <n v="224"/>
    <s v="Book total 12942 is 22 less than the lines"/>
    <s v="2023-03"/>
    <s v="Carries forward"/>
  </r>
  <r>
    <d v="2023-03-13T00:00:00"/>
    <x v="18"/>
    <x v="1"/>
    <n v="6000"/>
    <n v="6942"/>
    <n v="224"/>
    <s v="Book: paid 6000 on 13/3/23, BAK 6942"/>
    <s v="2023-03"/>
    <s v="Carries forward"/>
  </r>
  <r>
    <d v="2023-03-13T00:00:00"/>
    <x v="18"/>
    <x v="0"/>
    <n v="640"/>
    <m/>
    <n v="224"/>
    <m/>
    <s v="2023-03"/>
    <s v="Carries forward"/>
  </r>
  <r>
    <d v="2023-03-06T00:00:00"/>
    <x v="18"/>
    <x v="0"/>
    <n v="486"/>
    <m/>
    <n v="224"/>
    <m/>
    <s v="2023-03"/>
    <s v="Carries forward"/>
  </r>
  <r>
    <d v="2023-03-07T00:00:00"/>
    <x v="18"/>
    <x v="0"/>
    <n v="518"/>
    <m/>
    <n v="224"/>
    <m/>
    <s v="2023-03"/>
    <s v="Carries forward"/>
  </r>
  <r>
    <d v="2023-03-07T00:00:00"/>
    <x v="18"/>
    <x v="0"/>
    <n v="128"/>
    <m/>
    <n v="224"/>
    <m/>
    <s v="2023-03"/>
    <s v="Carries forward"/>
  </r>
  <r>
    <d v="2023-03-13T00:00:00"/>
    <x v="18"/>
    <x v="0"/>
    <n v="555"/>
    <m/>
    <n v="224"/>
    <m/>
    <s v="2023-03"/>
    <s v="Carries forward"/>
  </r>
  <r>
    <d v="2023-03-18T00:00:00"/>
    <x v="18"/>
    <x v="0"/>
    <n v="820"/>
    <m/>
    <n v="224"/>
    <m/>
    <s v="2023-03"/>
    <s v="Carries forward"/>
  </r>
  <r>
    <d v="2023-03-28T00:00:00"/>
    <x v="18"/>
    <x v="0"/>
    <n v="873"/>
    <m/>
    <n v="224"/>
    <m/>
    <s v="2023-03"/>
    <s v="Carries forward"/>
  </r>
  <r>
    <d v="2023-03-28T00:00:00"/>
    <x v="18"/>
    <x v="0"/>
    <n v="489"/>
    <m/>
    <n v="224"/>
    <m/>
    <s v="2023-03"/>
    <s v="Carries forward"/>
  </r>
  <r>
    <d v="2023-03-31T00:00:00"/>
    <x v="18"/>
    <x v="0"/>
    <n v="928"/>
    <m/>
    <n v="224"/>
    <m/>
    <s v="2023-03"/>
    <s v="Carries forward"/>
  </r>
  <r>
    <d v="2023-03-31T00:00:00"/>
    <x v="18"/>
    <x v="2"/>
    <n v="-58"/>
    <n v="12321"/>
    <n v="224"/>
    <s v="Book total 12321 is 58 less than the lines"/>
    <s v="2023-03"/>
    <s v="Carries forward"/>
  </r>
  <r>
    <d v="2023-04-05T00:00:00"/>
    <x v="18"/>
    <x v="0"/>
    <n v="494"/>
    <m/>
    <n v="224"/>
    <m/>
    <s v="2023-04"/>
    <s v="Carries forward"/>
  </r>
  <r>
    <d v="2023-04-07T00:00:00"/>
    <x v="18"/>
    <x v="0"/>
    <n v="237"/>
    <m/>
    <n v="224"/>
    <m/>
    <s v="2023-04"/>
    <s v="Carries forward"/>
  </r>
  <r>
    <d v="2023-04-21T00:00:00"/>
    <x v="18"/>
    <x v="0"/>
    <n v="1077"/>
    <m/>
    <n v="224"/>
    <m/>
    <s v="2023-04"/>
    <s v="Carries forward"/>
  </r>
  <r>
    <d v="2023-04-28T00:00:00"/>
    <x v="18"/>
    <x v="0"/>
    <n v="778"/>
    <m/>
    <n v="224"/>
    <m/>
    <s v="2023-04"/>
    <s v="Carries forward"/>
  </r>
  <r>
    <d v="2023-04-28T00:00:00"/>
    <x v="18"/>
    <x v="2"/>
    <n v="-4"/>
    <n v="14903"/>
    <n v="224"/>
    <s v="Book total 14903 is 4 less than the lines"/>
    <s v="2023-04"/>
    <s v="Carries forward"/>
  </r>
  <r>
    <d v="2023-05-02T00:00:00"/>
    <x v="18"/>
    <x v="0"/>
    <n v="817"/>
    <n v="15720"/>
    <n v="224"/>
    <s v="Read as 817: makes TL 15720 exact. Book: TL 15720"/>
    <s v="2023-05"/>
    <s v="Carries forward"/>
  </r>
  <r>
    <d v="2023-05-08T00:00:00"/>
    <x v="18"/>
    <x v="0"/>
    <n v="598"/>
    <n v="16318"/>
    <n v="224"/>
    <s v="Book: TO 16318"/>
    <s v="2023-05"/>
    <s v="Carries forward"/>
  </r>
  <r>
    <m/>
    <x v="18"/>
    <x v="1"/>
    <n v="8000"/>
    <n v="8318"/>
    <n v="224"/>
    <s v="Book: paid 8000 (May), balance 8318"/>
    <s v=""/>
    <s v="Carries forward"/>
  </r>
  <r>
    <d v="2023-05-13T00:00:00"/>
    <x v="18"/>
    <x v="0"/>
    <n v="563"/>
    <m/>
    <n v="224"/>
    <m/>
    <s v="2023-05"/>
    <s v="Carries forward"/>
  </r>
  <r>
    <d v="2023-05-20T00:00:00"/>
    <x v="18"/>
    <x v="0"/>
    <n v="1167"/>
    <m/>
    <n v="224"/>
    <m/>
    <s v="2023-05"/>
    <s v="Carries forward"/>
  </r>
  <r>
    <d v="2023-05-25T00:00:00"/>
    <x v="18"/>
    <x v="0"/>
    <n v="830"/>
    <m/>
    <n v="224"/>
    <m/>
    <s v="2023-05"/>
    <s v="Carries forward"/>
  </r>
  <r>
    <d v="2023-05-31T00:00:00"/>
    <x v="18"/>
    <x v="0"/>
    <n v="924"/>
    <m/>
    <n v="224"/>
    <m/>
    <s v="2023-05"/>
    <s v="Carries forward"/>
  </r>
  <r>
    <d v="2023-05-31T00:00:00"/>
    <x v="18"/>
    <x v="2"/>
    <n v="-6"/>
    <n v="11796"/>
    <n v="224"/>
    <s v="Book total 11796 is 6 less than the lines"/>
    <s v="2023-05"/>
    <s v="Carries forward"/>
  </r>
  <r>
    <d v="2023-06-04T00:00:00"/>
    <x v="18"/>
    <x v="0"/>
    <n v="599"/>
    <m/>
    <n v="225"/>
    <s v="Page 225 (first column already entered from page 224 photo)"/>
    <s v="2023-06"/>
    <s v="Carries forward"/>
  </r>
  <r>
    <d v="2023-06-06T00:00:00"/>
    <x v="18"/>
    <x v="0"/>
    <n v="592"/>
    <m/>
    <n v="225"/>
    <m/>
    <s v="2023-06"/>
    <s v="Carries forward"/>
  </r>
  <r>
    <d v="2023-06-06T00:00:00"/>
    <x v="18"/>
    <x v="0"/>
    <n v="20"/>
    <m/>
    <n v="225"/>
    <s v="Last line"/>
    <s v="2023-06"/>
    <s v="Carries forward"/>
  </r>
  <r>
    <d v="2022-09-08T00:00:00"/>
    <x v="19"/>
    <x v="3"/>
    <n v="7233"/>
    <n v="7233"/>
    <n v="222"/>
    <s v="Opening Total 7233 (account 104)"/>
    <s v="2022-09"/>
    <s v="Carries forward"/>
  </r>
  <r>
    <d v="2022-09-08T00:00:00"/>
    <x v="19"/>
    <x v="0"/>
    <n v="205"/>
    <m/>
    <n v="222"/>
    <m/>
    <s v="2022-09"/>
    <s v="Carries forward"/>
  </r>
  <r>
    <d v="2022-09-09T00:00:00"/>
    <x v="19"/>
    <x v="0"/>
    <n v="186"/>
    <m/>
    <n v="222"/>
    <m/>
    <s v="2022-09"/>
    <s v="Carries forward"/>
  </r>
  <r>
    <d v="2022-09-08T00:00:00"/>
    <x v="19"/>
    <x v="0"/>
    <n v="40"/>
    <m/>
    <n v="222"/>
    <m/>
    <s v="2022-09"/>
    <s v="Carries forward"/>
  </r>
  <r>
    <d v="2022-09-09T00:00:00"/>
    <x v="19"/>
    <x v="0"/>
    <n v="40"/>
    <m/>
    <n v="222"/>
    <m/>
    <s v="2022-09"/>
    <s v="Carries forward"/>
  </r>
  <r>
    <d v="2022-09-09T00:00:00"/>
    <x v="19"/>
    <x v="0"/>
    <n v="460"/>
    <m/>
    <n v="222"/>
    <m/>
    <s v="2022-09"/>
    <s v="Carries forward"/>
  </r>
  <r>
    <d v="2022-09-10T00:00:00"/>
    <x v="19"/>
    <x v="0"/>
    <n v="65"/>
    <m/>
    <n v="222"/>
    <s v="First digit scribbled out"/>
    <s v="2022-09"/>
    <s v="Carries forward"/>
  </r>
  <r>
    <d v="2022-09-10T00:00:00"/>
    <x v="19"/>
    <x v="0"/>
    <n v="150"/>
    <m/>
    <n v="222"/>
    <m/>
    <s v="2022-09"/>
    <s v="Carries forward"/>
  </r>
  <r>
    <d v="2022-09-11T00:00:00"/>
    <x v="19"/>
    <x v="0"/>
    <n v="140"/>
    <m/>
    <n v="222"/>
    <m/>
    <s v="2022-09"/>
    <s v="Carries forward"/>
  </r>
  <r>
    <d v="2022-09-11T00:00:00"/>
    <x v="19"/>
    <x v="2"/>
    <n v="-100"/>
    <n v="8419"/>
    <n v="222"/>
    <s v="CHECK: Book total 8419 is 100 less than the lines"/>
    <s v="2022-09"/>
    <s v="Carries forward"/>
  </r>
  <r>
    <d v="2022-09-15T00:00:00"/>
    <x v="19"/>
    <x v="1"/>
    <n v="8000"/>
    <n v="419"/>
    <n v="222"/>
    <s v="Book: paid 8000 on 15/9, BAKI 419"/>
    <s v="2022-09"/>
    <s v="Carries forward"/>
  </r>
  <r>
    <d v="2022-09-14T00:00:00"/>
    <x v="19"/>
    <x v="0"/>
    <n v="261"/>
    <m/>
    <n v="222"/>
    <m/>
    <s v="2022-09"/>
    <s v="Carries forward"/>
  </r>
  <r>
    <d v="2022-09-14T00:00:00"/>
    <x v="19"/>
    <x v="0"/>
    <n v="20"/>
    <m/>
    <n v="222"/>
    <m/>
    <s v="2022-09"/>
    <s v="Carries forward"/>
  </r>
  <r>
    <d v="2022-09-14T00:00:00"/>
    <x v="19"/>
    <x v="0"/>
    <n v="40"/>
    <m/>
    <n v="222"/>
    <m/>
    <s v="2022-09"/>
    <s v="Carries forward"/>
  </r>
  <r>
    <d v="2022-09-16T00:00:00"/>
    <x v="19"/>
    <x v="0"/>
    <n v="40"/>
    <m/>
    <n v="222"/>
    <m/>
    <s v="2022-09"/>
    <s v="Carries forward"/>
  </r>
  <r>
    <d v="2022-09-15T00:00:00"/>
    <x v="19"/>
    <x v="0"/>
    <n v="402"/>
    <m/>
    <n v="222"/>
    <m/>
    <s v="2022-09"/>
    <s v="Carries forward"/>
  </r>
  <r>
    <d v="2022-09-17T00:00:00"/>
    <x v="19"/>
    <x v="0"/>
    <n v="273"/>
    <m/>
    <n v="222"/>
    <m/>
    <s v="2022-09"/>
    <s v="Carries forward"/>
  </r>
  <r>
    <d v="2022-09-19T00:00:00"/>
    <x v="19"/>
    <x v="0"/>
    <n v="1385"/>
    <m/>
    <n v="222"/>
    <m/>
    <s v="2022-09"/>
    <s v="Carries forward"/>
  </r>
  <r>
    <d v="2022-09-19T00:00:00"/>
    <x v="19"/>
    <x v="0"/>
    <n v="40"/>
    <m/>
    <n v="222"/>
    <m/>
    <s v="2022-09"/>
    <s v="Carries forward"/>
  </r>
  <r>
    <d v="2022-09-20T00:00:00"/>
    <x v="19"/>
    <x v="0"/>
    <n v="73"/>
    <m/>
    <n v="222"/>
    <m/>
    <s v="2022-09"/>
    <s v="Carries forward"/>
  </r>
  <r>
    <d v="2022-09-20T00:00:00"/>
    <x v="19"/>
    <x v="0"/>
    <n v="193"/>
    <m/>
    <n v="222"/>
    <m/>
    <s v="2022-09"/>
    <s v="Carries forward"/>
  </r>
  <r>
    <d v="2022-09-20T00:00:00"/>
    <x v="19"/>
    <x v="0"/>
    <n v="35"/>
    <m/>
    <n v="222"/>
    <m/>
    <s v="2022-09"/>
    <s v="Carries forward"/>
  </r>
  <r>
    <d v="2022-09-22T00:00:00"/>
    <x v="19"/>
    <x v="0"/>
    <n v="81"/>
    <m/>
    <n v="222"/>
    <m/>
    <s v="2022-09"/>
    <s v="Carries forward"/>
  </r>
  <r>
    <d v="2022-09-23T00:00:00"/>
    <x v="19"/>
    <x v="0"/>
    <n v="430"/>
    <m/>
    <n v="222"/>
    <m/>
    <s v="2022-09"/>
    <s v="Carries forward"/>
  </r>
  <r>
    <d v="2022-09-26T00:00:00"/>
    <x v="19"/>
    <x v="0"/>
    <n v="52"/>
    <m/>
    <n v="222"/>
    <m/>
    <s v="2022-09"/>
    <s v="Carries forward"/>
  </r>
  <r>
    <d v="2022-09-26T00:00:00"/>
    <x v="19"/>
    <x v="0"/>
    <n v="40"/>
    <m/>
    <n v="222"/>
    <m/>
    <s v="2022-09"/>
    <s v="Carries forward"/>
  </r>
  <r>
    <d v="2022-09-27T00:00:00"/>
    <x v="19"/>
    <x v="0"/>
    <n v="91"/>
    <m/>
    <n v="222"/>
    <m/>
    <s v="2022-09"/>
    <s v="Carries forward"/>
  </r>
  <r>
    <d v="2022-09-28T00:00:00"/>
    <x v="19"/>
    <x v="0"/>
    <n v="213"/>
    <m/>
    <n v="222"/>
    <m/>
    <s v="2022-09"/>
    <s v="Carries forward"/>
  </r>
  <r>
    <d v="2022-09-30T00:00:00"/>
    <x v="19"/>
    <x v="0"/>
    <n v="20"/>
    <m/>
    <n v="222"/>
    <m/>
    <s v="2022-09"/>
    <s v="Carries forward"/>
  </r>
  <r>
    <d v="2022-09-30T00:00:00"/>
    <x v="19"/>
    <x v="0"/>
    <n v="170"/>
    <m/>
    <n v="222"/>
    <m/>
    <s v="2022-09"/>
    <s v="Carries forward"/>
  </r>
  <r>
    <d v="2022-09-30T00:00:00"/>
    <x v="19"/>
    <x v="0"/>
    <n v="40"/>
    <m/>
    <n v="222"/>
    <s v="Water"/>
    <s v="2022-09"/>
    <s v="Carries forward"/>
  </r>
  <r>
    <d v="2022-10-01T00:00:00"/>
    <x v="19"/>
    <x v="0"/>
    <n v="127"/>
    <m/>
    <n v="222"/>
    <m/>
    <s v="2022-10"/>
    <s v="Carries forward"/>
  </r>
  <r>
    <d v="2022-10-02T00:00:00"/>
    <x v="19"/>
    <x v="0"/>
    <n v="136"/>
    <m/>
    <n v="222"/>
    <m/>
    <s v="2022-10"/>
    <s v="Carries forward"/>
  </r>
  <r>
    <d v="2022-10-02T00:00:00"/>
    <x v="19"/>
    <x v="0"/>
    <n v="50"/>
    <m/>
    <n v="222"/>
    <m/>
    <s v="2022-10"/>
    <s v="Carries forward"/>
  </r>
  <r>
    <d v="2022-10-06T00:00:00"/>
    <x v="19"/>
    <x v="0"/>
    <n v="20"/>
    <m/>
    <n v="222"/>
    <m/>
    <s v="2022-10"/>
    <s v="Carries forward"/>
  </r>
  <r>
    <d v="2022-10-08T00:00:00"/>
    <x v="19"/>
    <x v="0"/>
    <n v="4600"/>
    <m/>
    <n v="222"/>
    <m/>
    <s v="2022-10"/>
    <s v="Carries forward"/>
  </r>
  <r>
    <d v="2022-10-08T00:00:00"/>
    <x v="19"/>
    <x v="0"/>
    <n v="261"/>
    <m/>
    <n v="222"/>
    <s v="Eggs?"/>
    <s v="2022-10"/>
    <s v="Carries forward"/>
  </r>
  <r>
    <d v="2022-10-09T00:00:00"/>
    <x v="19"/>
    <x v="0"/>
    <n v="20"/>
    <m/>
    <n v="222"/>
    <m/>
    <s v="2022-10"/>
    <s v="Carries forward"/>
  </r>
  <r>
    <d v="2022-10-11T00:00:00"/>
    <x v="19"/>
    <x v="0"/>
    <n v="174"/>
    <m/>
    <n v="222"/>
    <m/>
    <s v="2022-10"/>
    <s v="Carries forward"/>
  </r>
  <r>
    <d v="2022-10-11T00:00:00"/>
    <x v="19"/>
    <x v="2"/>
    <n v="-160"/>
    <n v="9546"/>
    <n v="222"/>
    <s v="CHECK: Book total 9546 is 160 less than the lines"/>
    <s v="2022-10"/>
    <s v="Carries forward"/>
  </r>
  <r>
    <m/>
    <x v="19"/>
    <x v="1"/>
    <n v="2000"/>
    <n v="7546"/>
    <n v="222"/>
    <s v="Book: paid 2000, BAK 7546"/>
    <s v=""/>
    <s v="Carries forward"/>
  </r>
  <r>
    <m/>
    <x v="19"/>
    <x v="1"/>
    <n v="4600"/>
    <n v="2946"/>
    <n v="222"/>
    <s v="Book: paid 4600 (date looks like 5/11?)"/>
    <s v=""/>
    <s v="Carries forward"/>
  </r>
  <r>
    <m/>
    <x v="19"/>
    <x v="1"/>
    <n v="2946"/>
    <n v="0"/>
    <n v="222"/>
    <s v="CHECK: 2946 written with a date and crossed; the next total (3000) starts from zero, so read as paid"/>
    <s v=""/>
    <s v="Carries forward"/>
  </r>
  <r>
    <d v="2022-10-15T00:00:00"/>
    <x v="19"/>
    <x v="0"/>
    <n v="30"/>
    <m/>
    <n v="222"/>
    <m/>
    <s v="2022-10"/>
    <s v="Carries forward"/>
  </r>
  <r>
    <d v="2022-10-16T00:00:00"/>
    <x v="19"/>
    <x v="0"/>
    <n v="185"/>
    <m/>
    <n v="222"/>
    <m/>
    <s v="2022-10"/>
    <s v="Carries forward"/>
  </r>
  <r>
    <d v="2022-10-17T00:00:00"/>
    <x v="19"/>
    <x v="0"/>
    <n v="300"/>
    <m/>
    <n v="222"/>
    <m/>
    <s v="2022-10"/>
    <s v="Carries forward"/>
  </r>
  <r>
    <d v="2022-10-18T00:00:00"/>
    <x v="19"/>
    <x v="0"/>
    <n v="236"/>
    <m/>
    <n v="222"/>
    <m/>
    <s v="2022-10"/>
    <s v="Carries forward"/>
  </r>
  <r>
    <d v="2022-10-19T00:00:00"/>
    <x v="19"/>
    <x v="0"/>
    <n v="20"/>
    <m/>
    <n v="222"/>
    <m/>
    <s v="2022-10"/>
    <s v="Carries forward"/>
  </r>
  <r>
    <d v="2022-10-19T00:00:00"/>
    <x v="19"/>
    <x v="0"/>
    <n v="115"/>
    <m/>
    <n v="222"/>
    <m/>
    <s v="2022-10"/>
    <s v="Carries forward"/>
  </r>
  <r>
    <d v="2022-10-20T00:00:00"/>
    <x v="19"/>
    <x v="0"/>
    <n v="184"/>
    <m/>
    <n v="222"/>
    <m/>
    <s v="2022-10"/>
    <s v="Carries forward"/>
  </r>
  <r>
    <d v="2022-10-24T00:00:00"/>
    <x v="19"/>
    <x v="0"/>
    <n v="20"/>
    <m/>
    <n v="222"/>
    <m/>
    <s v="2022-10"/>
    <s v="Carries forward"/>
  </r>
  <r>
    <d v="2022-10-27T00:00:00"/>
    <x v="19"/>
    <x v="0"/>
    <n v="355"/>
    <m/>
    <n v="222"/>
    <m/>
    <s v="2022-10"/>
    <s v="Carries forward"/>
  </r>
  <r>
    <d v="2022-10-27T00:00:00"/>
    <x v="19"/>
    <x v="0"/>
    <n v="130"/>
    <m/>
    <n v="222"/>
    <m/>
    <s v="2022-10"/>
    <s v="Carries forward"/>
  </r>
  <r>
    <d v="2022-10-31T00:00:00"/>
    <x v="19"/>
    <x v="0"/>
    <n v="280"/>
    <m/>
    <n v="222"/>
    <m/>
    <s v="2022-10"/>
    <s v="Carries forward"/>
  </r>
  <r>
    <d v="2022-10-31T00:00:00"/>
    <x v="19"/>
    <x v="0"/>
    <n v="40"/>
    <m/>
    <n v="222"/>
    <m/>
    <s v="2022-10"/>
    <s v="Carries forward"/>
  </r>
  <r>
    <d v="2022-11-01T00:00:00"/>
    <x v="19"/>
    <x v="0"/>
    <n v="30"/>
    <m/>
    <n v="222"/>
    <m/>
    <s v="2022-11"/>
    <s v="Carries forward"/>
  </r>
  <r>
    <d v="2022-11-02T00:00:00"/>
    <x v="19"/>
    <x v="0"/>
    <n v="250"/>
    <m/>
    <n v="222"/>
    <m/>
    <s v="2022-11"/>
    <s v="Carries forward"/>
  </r>
  <r>
    <d v="2022-11-02T00:00:00"/>
    <x v="19"/>
    <x v="0"/>
    <n v="245"/>
    <m/>
    <n v="222"/>
    <m/>
    <s v="2022-11"/>
    <s v="Carries forward"/>
  </r>
  <r>
    <d v="2022-11-03T00:00:00"/>
    <x v="19"/>
    <x v="0"/>
    <n v="30"/>
    <m/>
    <n v="222"/>
    <m/>
    <s v="2022-11"/>
    <s v="Carries forward"/>
  </r>
  <r>
    <d v="2022-11-06T00:00:00"/>
    <x v="19"/>
    <x v="0"/>
    <n v="128"/>
    <m/>
    <n v="222"/>
    <m/>
    <s v="2022-11"/>
    <s v="Carries forward"/>
  </r>
  <r>
    <d v="2022-11-09T00:00:00"/>
    <x v="19"/>
    <x v="0"/>
    <n v="162"/>
    <m/>
    <n v="222"/>
    <m/>
    <s v="2022-11"/>
    <s v="Carries forward"/>
  </r>
  <r>
    <d v="2022-11-09T00:00:00"/>
    <x v="19"/>
    <x v="0"/>
    <n v="35"/>
    <m/>
    <n v="222"/>
    <m/>
    <s v="2022-11"/>
    <s v="Carries forward"/>
  </r>
  <r>
    <d v="2022-11-10T00:00:00"/>
    <x v="19"/>
    <x v="0"/>
    <n v="40"/>
    <m/>
    <n v="222"/>
    <m/>
    <s v="2022-11"/>
    <s v="Carries forward"/>
  </r>
  <r>
    <d v="2022-11-11T00:00:00"/>
    <x v="19"/>
    <x v="0"/>
    <n v="100"/>
    <m/>
    <n v="222"/>
    <m/>
    <s v="2022-11"/>
    <s v="Carries forward"/>
  </r>
  <r>
    <d v="2022-11-12T00:00:00"/>
    <x v="19"/>
    <x v="0"/>
    <n v="75"/>
    <m/>
    <n v="222"/>
    <m/>
    <s v="2022-11"/>
    <s v="Carries forward"/>
  </r>
  <r>
    <d v="2022-11-12T00:00:00"/>
    <x v="19"/>
    <x v="2"/>
    <n v="10"/>
    <n v="3000"/>
    <n v="222"/>
    <s v="Book total 3000 is 10 more than the lines"/>
    <s v="2022-11"/>
    <s v="Carries forward"/>
  </r>
  <r>
    <m/>
    <x v="19"/>
    <x v="1"/>
    <n v="3000"/>
    <n v="0"/>
    <n v="222"/>
    <s v="Book: TO 3000 crossed = paid"/>
    <s v=""/>
    <s v="Carries forward"/>
  </r>
  <r>
    <d v="2022-11-12T00:00:00"/>
    <x v="19"/>
    <x v="0"/>
    <n v="40"/>
    <m/>
    <n v="222"/>
    <m/>
    <s v="2022-11"/>
    <s v="Carries forward"/>
  </r>
  <r>
    <d v="2022-11-13T00:00:00"/>
    <x v="19"/>
    <x v="0"/>
    <n v="20"/>
    <m/>
    <n v="222"/>
    <m/>
    <s v="2022-11"/>
    <s v="Carries forward"/>
  </r>
  <r>
    <d v="2022-11-14T00:00:00"/>
    <x v="19"/>
    <x v="0"/>
    <n v="330"/>
    <m/>
    <n v="222"/>
    <m/>
    <s v="2022-11"/>
    <s v="Carries forward"/>
  </r>
  <r>
    <d v="2022-11-15T00:00:00"/>
    <x v="19"/>
    <x v="0"/>
    <n v="184"/>
    <m/>
    <n v="222"/>
    <m/>
    <s v="2022-11"/>
    <s v="Carries forward"/>
  </r>
  <r>
    <d v="2022-11-15T00:00:00"/>
    <x v="19"/>
    <x v="0"/>
    <n v="1900"/>
    <m/>
    <n v="222"/>
    <s v="CHECK: written as 'BALANCE 1900'. Counted as a purchase because the next total needs it"/>
    <s v="2022-11"/>
    <s v="Carries forward"/>
  </r>
  <r>
    <d v="2022-11-16T00:00:00"/>
    <x v="19"/>
    <x v="0"/>
    <n v="20"/>
    <m/>
    <n v="222"/>
    <m/>
    <s v="2022-11"/>
    <s v="Carries forward"/>
  </r>
  <r>
    <d v="2022-11-19T00:00:00"/>
    <x v="19"/>
    <x v="0"/>
    <n v="40"/>
    <m/>
    <n v="222"/>
    <m/>
    <s v="2022-11"/>
    <s v="Carries forward"/>
  </r>
  <r>
    <d v="2022-11-20T00:00:00"/>
    <x v="19"/>
    <x v="0"/>
    <n v="248"/>
    <m/>
    <n v="222"/>
    <m/>
    <s v="2022-11"/>
    <s v="Carries forward"/>
  </r>
  <r>
    <d v="2022-11-21T00:00:00"/>
    <x v="19"/>
    <x v="0"/>
    <n v="310"/>
    <m/>
    <n v="222"/>
    <m/>
    <s v="2022-11"/>
    <s v="Carries forward"/>
  </r>
  <r>
    <d v="2022-11-21T00:00:00"/>
    <x v="19"/>
    <x v="0"/>
    <n v="30"/>
    <m/>
    <n v="222"/>
    <m/>
    <s v="2022-11"/>
    <s v="Carries forward"/>
  </r>
  <r>
    <d v="2022-11-22T00:00:00"/>
    <x v="19"/>
    <x v="0"/>
    <n v="130"/>
    <m/>
    <n v="222"/>
    <m/>
    <s v="2022-11"/>
    <s v="Carries forward"/>
  </r>
  <r>
    <d v="2022-11-22T00:00:00"/>
    <x v="19"/>
    <x v="0"/>
    <n v="30"/>
    <m/>
    <n v="222"/>
    <m/>
    <s v="2022-11"/>
    <s v="Carries forward"/>
  </r>
  <r>
    <d v="2022-11-23T00:00:00"/>
    <x v="19"/>
    <x v="0"/>
    <n v="204"/>
    <m/>
    <n v="222"/>
    <m/>
    <s v="2022-11"/>
    <s v="Carries forward"/>
  </r>
  <r>
    <d v="2022-11-24T00:00:00"/>
    <x v="19"/>
    <x v="0"/>
    <n v="373"/>
    <m/>
    <n v="222"/>
    <m/>
    <s v="2022-11"/>
    <s v="Carries forward"/>
  </r>
  <r>
    <d v="2022-11-25T00:00:00"/>
    <x v="19"/>
    <x v="0"/>
    <n v="60"/>
    <m/>
    <n v="222"/>
    <m/>
    <s v="2022-11"/>
    <s v="Carries forward"/>
  </r>
  <r>
    <d v="2022-11-26T00:00:00"/>
    <x v="19"/>
    <x v="0"/>
    <n v="140"/>
    <m/>
    <n v="222"/>
    <m/>
    <s v="2022-11"/>
    <s v="Carries forward"/>
  </r>
  <r>
    <d v="2022-11-27T00:00:00"/>
    <x v="19"/>
    <x v="0"/>
    <n v="180"/>
    <m/>
    <n v="222"/>
    <m/>
    <s v="2022-11"/>
    <s v="Carries forward"/>
  </r>
  <r>
    <d v="2022-11-28T00:00:00"/>
    <x v="19"/>
    <x v="0"/>
    <n v="60"/>
    <m/>
    <n v="222"/>
    <m/>
    <s v="2022-11"/>
    <s v="Carries forward"/>
  </r>
  <r>
    <d v="2022-11-29T00:00:00"/>
    <x v="19"/>
    <x v="0"/>
    <n v="276"/>
    <m/>
    <n v="222"/>
    <m/>
    <s v="2022-11"/>
    <s v="Carries forward"/>
  </r>
  <r>
    <d v="2022-11-29T00:00:00"/>
    <x v="19"/>
    <x v="0"/>
    <n v="60"/>
    <m/>
    <n v="222"/>
    <m/>
    <s v="2022-11"/>
    <s v="Carries forward"/>
  </r>
  <r>
    <d v="2022-11-29T00:00:00"/>
    <x v="19"/>
    <x v="0"/>
    <n v="40"/>
    <m/>
    <n v="222"/>
    <m/>
    <s v="2022-11"/>
    <s v="Carries forward"/>
  </r>
  <r>
    <d v="2022-11-29T00:00:00"/>
    <x v="19"/>
    <x v="0"/>
    <n v="60"/>
    <m/>
    <n v="222"/>
    <m/>
    <s v="2022-11"/>
    <s v="Carries forward"/>
  </r>
  <r>
    <d v="2022-11-30T00:00:00"/>
    <x v="19"/>
    <x v="0"/>
    <n v="60"/>
    <m/>
    <n v="222"/>
    <m/>
    <s v="2022-11"/>
    <s v="Carries forward"/>
  </r>
  <r>
    <d v="2022-12-01T00:00:00"/>
    <x v="19"/>
    <x v="0"/>
    <n v="24"/>
    <m/>
    <n v="222"/>
    <m/>
    <s v="2022-12"/>
    <s v="Carries forward"/>
  </r>
  <r>
    <d v="2022-12-02T00:00:00"/>
    <x v="19"/>
    <x v="0"/>
    <n v="290"/>
    <m/>
    <n v="222"/>
    <m/>
    <s v="2022-12"/>
    <s v="Carries forward"/>
  </r>
  <r>
    <d v="2022-12-03T00:00:00"/>
    <x v="19"/>
    <x v="0"/>
    <n v="67"/>
    <m/>
    <n v="222"/>
    <m/>
    <s v="2022-12"/>
    <s v="Carries forward"/>
  </r>
  <r>
    <d v="2022-12-05T00:00:00"/>
    <x v="19"/>
    <x v="0"/>
    <n v="20"/>
    <m/>
    <n v="222"/>
    <m/>
    <s v="2022-12"/>
    <s v="Carries forward"/>
  </r>
  <r>
    <d v="2022-12-05T00:00:00"/>
    <x v="19"/>
    <x v="2"/>
    <n v="-20"/>
    <n v="5176"/>
    <n v="222"/>
    <s v="Book total 5176 is 20 less than the lines"/>
    <s v="2022-12"/>
    <s v="Carries forward"/>
  </r>
  <r>
    <d v="2022-12-06T00:00:00"/>
    <x v="19"/>
    <x v="0"/>
    <n v="130"/>
    <m/>
    <n v="222"/>
    <m/>
    <s v="2022-12"/>
    <s v="Carries forward"/>
  </r>
  <r>
    <d v="2022-12-06T00:00:00"/>
    <x v="19"/>
    <x v="0"/>
    <n v="30"/>
    <m/>
    <n v="222"/>
    <m/>
    <s v="2022-12"/>
    <s v="Carries forward"/>
  </r>
  <r>
    <d v="2022-12-07T00:00:00"/>
    <x v="19"/>
    <x v="0"/>
    <n v="60"/>
    <m/>
    <n v="222"/>
    <m/>
    <s v="2022-12"/>
    <s v="Carries forward"/>
  </r>
  <r>
    <d v="2022-12-08T00:00:00"/>
    <x v="19"/>
    <x v="0"/>
    <n v="290"/>
    <m/>
    <n v="222"/>
    <m/>
    <s v="2022-12"/>
    <s v="Carries forward"/>
  </r>
  <r>
    <d v="2022-12-10T00:00:00"/>
    <x v="19"/>
    <x v="0"/>
    <n v="150"/>
    <m/>
    <n v="222"/>
    <m/>
    <s v="2022-12"/>
    <s v="Carries forward"/>
  </r>
  <r>
    <d v="2022-12-11T00:00:00"/>
    <x v="19"/>
    <x v="0"/>
    <n v="60"/>
    <m/>
    <n v="222"/>
    <m/>
    <s v="2022-12"/>
    <s v="Carries forward"/>
  </r>
  <r>
    <d v="2022-12-11T00:00:00"/>
    <x v="19"/>
    <x v="2"/>
    <n v="-60"/>
    <n v="5836"/>
    <n v="222"/>
    <s v="Book total 5836 is 60 less than the lines"/>
    <s v="2022-12"/>
    <s v="Carries forward"/>
  </r>
  <r>
    <d v="2022-12-14T00:00:00"/>
    <x v="19"/>
    <x v="1"/>
    <n v="4000"/>
    <n v="1836"/>
    <n v="222"/>
    <s v="Book: paid 4000 (date looks like 14/12), BAK 1836"/>
    <s v="2022-12"/>
    <s v="Carries forward"/>
  </r>
  <r>
    <d v="2022-12-14T00:00:00"/>
    <x v="19"/>
    <x v="0"/>
    <n v="145"/>
    <n v="1981"/>
    <n v="222"/>
    <s v="Book: TO 1981"/>
    <s v="2022-12"/>
    <s v="Carries forward"/>
  </r>
  <r>
    <d v="2022-12-16T00:00:00"/>
    <x v="19"/>
    <x v="0"/>
    <n v="200"/>
    <n v="2181"/>
    <n v="223"/>
    <s v="Read clearly on page 223 photo. Book: TO 2181"/>
    <s v="2022-12"/>
    <s v="Carries forward"/>
  </r>
  <r>
    <d v="2022-09-05T00:00:00"/>
    <x v="20"/>
    <x v="3"/>
    <n v="3462"/>
    <n v="3462"/>
    <n v="220"/>
    <s v="Opening BAKI 3462 (account 103)"/>
    <s v="2022-09"/>
    <s v="Carries forward"/>
  </r>
  <r>
    <d v="2022-09-05T00:00:00"/>
    <x v="20"/>
    <x v="0"/>
    <n v="140"/>
    <n v="3602"/>
    <n v="220"/>
    <s v="Book: TC 3602"/>
    <s v="2022-09"/>
    <s v="Carries forward"/>
  </r>
  <r>
    <d v="2022-09-07T00:00:00"/>
    <x v="20"/>
    <x v="1"/>
    <n v="3000"/>
    <n v="602"/>
    <n v="220"/>
    <s v="Book: paid 3000 on 7/9, BAK 602"/>
    <s v="2022-09"/>
    <s v="Carries forward"/>
  </r>
  <r>
    <d v="2022-09-07T00:00:00"/>
    <x v="20"/>
    <x v="0"/>
    <n v="2338"/>
    <m/>
    <n v="220"/>
    <m/>
    <s v="2022-09"/>
    <s v="Carries forward"/>
  </r>
  <r>
    <d v="2022-09-07T00:00:00"/>
    <x v="20"/>
    <x v="0"/>
    <n v="120"/>
    <m/>
    <n v="220"/>
    <m/>
    <s v="2022-09"/>
    <s v="Carries forward"/>
  </r>
  <r>
    <d v="2022-09-08T00:00:00"/>
    <x v="20"/>
    <x v="0"/>
    <n v="130"/>
    <m/>
    <n v="220"/>
    <m/>
    <s v="2022-09"/>
    <s v="Carries forward"/>
  </r>
  <r>
    <d v="2022-09-12T00:00:00"/>
    <x v="20"/>
    <x v="0"/>
    <n v="226"/>
    <m/>
    <n v="220"/>
    <m/>
    <s v="2022-09"/>
    <s v="Carries forward"/>
  </r>
  <r>
    <d v="2022-09-14T00:00:00"/>
    <x v="20"/>
    <x v="0"/>
    <n v="254"/>
    <m/>
    <n v="220"/>
    <m/>
    <s v="2022-09"/>
    <s v="Carries forward"/>
  </r>
  <r>
    <d v="2022-09-15T00:00:00"/>
    <x v="20"/>
    <x v="0"/>
    <n v="88"/>
    <m/>
    <n v="220"/>
    <m/>
    <s v="2022-09"/>
    <s v="Carries forward"/>
  </r>
  <r>
    <d v="2022-09-21T00:00:00"/>
    <x v="20"/>
    <x v="0"/>
    <n v="667"/>
    <m/>
    <n v="220"/>
    <m/>
    <s v="2022-09"/>
    <s v="Carries forward"/>
  </r>
  <r>
    <d v="2022-09-22T00:00:00"/>
    <x v="20"/>
    <x v="0"/>
    <n v="178"/>
    <m/>
    <n v="220"/>
    <m/>
    <s v="2022-09"/>
    <s v="Carries forward"/>
  </r>
  <r>
    <d v="2022-09-23T00:00:00"/>
    <x v="20"/>
    <x v="0"/>
    <n v="30"/>
    <m/>
    <n v="220"/>
    <m/>
    <s v="2022-09"/>
    <s v="Carries forward"/>
  </r>
  <r>
    <d v="2022-09-24T00:00:00"/>
    <x v="20"/>
    <x v="0"/>
    <n v="283"/>
    <m/>
    <n v="220"/>
    <m/>
    <s v="2022-09"/>
    <s v="Carries forward"/>
  </r>
  <r>
    <d v="2022-09-26T00:00:00"/>
    <x v="20"/>
    <x v="0"/>
    <n v="203"/>
    <m/>
    <n v="220"/>
    <m/>
    <s v="2022-09"/>
    <s v="Carries forward"/>
  </r>
  <r>
    <d v="2022-09-27T00:00:00"/>
    <x v="20"/>
    <x v="0"/>
    <n v="208"/>
    <m/>
    <n v="220"/>
    <m/>
    <s v="2022-09"/>
    <s v="Carries forward"/>
  </r>
  <r>
    <d v="2022-09-29T00:00:00"/>
    <x v="20"/>
    <x v="0"/>
    <n v="213"/>
    <n v="5540"/>
    <n v="220"/>
    <s v="Book: Tol 5540"/>
    <s v="2022-09"/>
    <s v="Carries forward"/>
  </r>
  <r>
    <d v="2022-10-01T00:00:00"/>
    <x v="20"/>
    <x v="1"/>
    <n v="1000"/>
    <n v="4540"/>
    <n v="220"/>
    <s v="Book: paid 1000, BAKI 4540"/>
    <s v="2022-10"/>
    <s v="Carries forward"/>
  </r>
  <r>
    <m/>
    <x v="20"/>
    <x v="1"/>
    <n v="800"/>
    <n v="3740"/>
    <n v="220"/>
    <s v="Book: paid 800, BAK 3740"/>
    <s v=""/>
    <s v="Carries forward"/>
  </r>
  <r>
    <d v="2022-10-03T00:00:00"/>
    <x v="20"/>
    <x v="1"/>
    <n v="1000"/>
    <n v="2740"/>
    <n v="220"/>
    <s v="Book: paid 1000 on 3/10"/>
    <s v="2022-10"/>
    <s v="Carries forward"/>
  </r>
  <r>
    <d v="2022-10-06T00:00:00"/>
    <x v="20"/>
    <x v="1"/>
    <n v="1000"/>
    <n v="1740"/>
    <n v="220"/>
    <s v="Book: paid 1000 on 6/10, BAK 1740 (scribbled lines above not counted)"/>
    <s v="2022-10"/>
    <s v="Carries forward"/>
  </r>
  <r>
    <m/>
    <x v="20"/>
    <x v="1"/>
    <n v="1500"/>
    <n v="240"/>
    <n v="220"/>
    <s v="Book: paid 1500, BAK 240"/>
    <s v=""/>
    <s v="Carries forward"/>
  </r>
  <r>
    <d v="2022-10-01T00:00:00"/>
    <x v="20"/>
    <x v="0"/>
    <n v="758"/>
    <m/>
    <n v="220"/>
    <m/>
    <s v="2022-10"/>
    <s v="Carries forward"/>
  </r>
  <r>
    <d v="2022-10-02T00:00:00"/>
    <x v="20"/>
    <x v="0"/>
    <n v="266"/>
    <m/>
    <n v="220"/>
    <m/>
    <s v="2022-10"/>
    <s v="Carries forward"/>
  </r>
  <r>
    <d v="2022-10-02T00:00:00"/>
    <x v="20"/>
    <x v="0"/>
    <n v="40"/>
    <m/>
    <n v="220"/>
    <m/>
    <s v="2022-10"/>
    <s v="Carries forward"/>
  </r>
  <r>
    <d v="2022-10-04T00:00:00"/>
    <x v="20"/>
    <x v="0"/>
    <n v="415"/>
    <m/>
    <n v="220"/>
    <m/>
    <s v="2022-10"/>
    <s v="Carries forward"/>
  </r>
  <r>
    <d v="2022-10-04T00:00:00"/>
    <x v="20"/>
    <x v="0"/>
    <n v="733"/>
    <m/>
    <n v="220"/>
    <m/>
    <s v="2022-10"/>
    <s v="Carries forward"/>
  </r>
  <r>
    <d v="2022-10-05T00:00:00"/>
    <x v="20"/>
    <x v="0"/>
    <n v="197"/>
    <m/>
    <n v="220"/>
    <m/>
    <s v="2022-10"/>
    <s v="Carries forward"/>
  </r>
  <r>
    <d v="2022-10-07T00:00:00"/>
    <x v="20"/>
    <x v="0"/>
    <n v="38"/>
    <m/>
    <n v="220"/>
    <m/>
    <s v="2022-10"/>
    <s v="Carries forward"/>
  </r>
  <r>
    <d v="2022-10-07T00:00:00"/>
    <x v="20"/>
    <x v="0"/>
    <n v="235"/>
    <m/>
    <n v="220"/>
    <m/>
    <s v="2022-10"/>
    <s v="Carries forward"/>
  </r>
  <r>
    <d v="2022-10-08T00:00:00"/>
    <x v="20"/>
    <x v="0"/>
    <n v="1324"/>
    <m/>
    <n v="220"/>
    <s v="Read as 1324 (looks like 1724): makes Tol 6872 exact"/>
    <s v="2022-10"/>
    <s v="Carries forward"/>
  </r>
  <r>
    <d v="2022-10-10T00:00:00"/>
    <x v="20"/>
    <x v="0"/>
    <n v="95"/>
    <m/>
    <n v="220"/>
    <m/>
    <s v="2022-10"/>
    <s v="Carries forward"/>
  </r>
  <r>
    <d v="2022-10-11T00:00:00"/>
    <x v="20"/>
    <x v="0"/>
    <n v="616"/>
    <m/>
    <n v="220"/>
    <m/>
    <s v="2022-10"/>
    <s v="Carries forward"/>
  </r>
  <r>
    <d v="2022-10-12T00:00:00"/>
    <x v="20"/>
    <x v="0"/>
    <n v="203"/>
    <m/>
    <n v="220"/>
    <m/>
    <s v="2022-10"/>
    <s v="Carries forward"/>
  </r>
  <r>
    <d v="2022-10-13T00:00:00"/>
    <x v="20"/>
    <x v="0"/>
    <n v="91"/>
    <m/>
    <n v="220"/>
    <m/>
    <s v="2022-10"/>
    <s v="Carries forward"/>
  </r>
  <r>
    <d v="2022-10-14T00:00:00"/>
    <x v="20"/>
    <x v="0"/>
    <n v="20"/>
    <m/>
    <n v="220"/>
    <m/>
    <s v="2022-10"/>
    <s v="Carries forward"/>
  </r>
  <r>
    <d v="2022-10-16T00:00:00"/>
    <x v="20"/>
    <x v="0"/>
    <n v="123"/>
    <m/>
    <n v="220"/>
    <m/>
    <s v="2022-10"/>
    <s v="Carries forward"/>
  </r>
  <r>
    <d v="2022-10-16T00:00:00"/>
    <x v="20"/>
    <x v="0"/>
    <n v="130"/>
    <m/>
    <n v="220"/>
    <m/>
    <s v="2022-10"/>
    <s v="Carries forward"/>
  </r>
  <r>
    <d v="2022-10-17T00:00:00"/>
    <x v="20"/>
    <x v="0"/>
    <n v="562"/>
    <m/>
    <n v="220"/>
    <m/>
    <s v="2022-10"/>
    <s v="Carries forward"/>
  </r>
  <r>
    <d v="2022-10-21T00:00:00"/>
    <x v="20"/>
    <x v="0"/>
    <n v="305"/>
    <m/>
    <n v="220"/>
    <m/>
    <s v="2022-10"/>
    <s v="Carries forward"/>
  </r>
  <r>
    <d v="2022-10-22T00:00:00"/>
    <x v="20"/>
    <x v="0"/>
    <n v="15"/>
    <m/>
    <n v="220"/>
    <m/>
    <s v="2022-10"/>
    <s v="Carries forward"/>
  </r>
  <r>
    <d v="2022-10-22T00:00:00"/>
    <x v="20"/>
    <x v="0"/>
    <n v="25"/>
    <m/>
    <n v="220"/>
    <m/>
    <s v="2022-10"/>
    <s v="Carries forward"/>
  </r>
  <r>
    <d v="2022-10-24T00:00:00"/>
    <x v="20"/>
    <x v="0"/>
    <n v="441"/>
    <n v="6872"/>
    <n v="220"/>
    <s v="Book: Tol 6872"/>
    <s v="2022-10"/>
    <s v="Carries forward"/>
  </r>
  <r>
    <d v="2022-11-05T00:00:00"/>
    <x v="20"/>
    <x v="1"/>
    <n v="800"/>
    <n v="6072"/>
    <n v="220"/>
    <s v="Book: paid 800 on 5/11, BAK 6072"/>
    <s v="2022-11"/>
    <s v="Carries forward"/>
  </r>
  <r>
    <m/>
    <x v="20"/>
    <x v="1"/>
    <n v="5000"/>
    <n v="1072"/>
    <n v="220"/>
    <s v="Book: paid 5000, BAKI 1072"/>
    <s v=""/>
    <s v="Carries forward"/>
  </r>
  <r>
    <d v="2022-11-07T00:00:00"/>
    <x v="20"/>
    <x v="1"/>
    <n v="400"/>
    <n v="672"/>
    <n v="220"/>
    <s v="Book: 7/11 CASH, balance written as 672"/>
    <s v="2022-11"/>
    <s v="Carries forward"/>
  </r>
  <r>
    <d v="2022-11-04T00:00:00"/>
    <x v="20"/>
    <x v="0"/>
    <n v="43"/>
    <m/>
    <n v="220"/>
    <m/>
    <s v="2022-11"/>
    <s v="Carries forward"/>
  </r>
  <r>
    <d v="2022-11-05T00:00:00"/>
    <x v="20"/>
    <x v="0"/>
    <n v="120"/>
    <m/>
    <n v="220"/>
    <m/>
    <s v="2022-11"/>
    <s v="Carries forward"/>
  </r>
  <r>
    <d v="2022-11-06T00:00:00"/>
    <x v="20"/>
    <x v="0"/>
    <n v="629"/>
    <m/>
    <n v="220"/>
    <m/>
    <s v="2022-11"/>
    <s v="Carries forward"/>
  </r>
  <r>
    <d v="2022-11-07T00:00:00"/>
    <x v="20"/>
    <x v="0"/>
    <n v="2472"/>
    <m/>
    <n v="220"/>
    <m/>
    <s v="2022-11"/>
    <s v="Carries forward"/>
  </r>
  <r>
    <d v="2022-11-09T00:00:00"/>
    <x v="20"/>
    <x v="0"/>
    <n v="67"/>
    <m/>
    <n v="220"/>
    <m/>
    <s v="2022-11"/>
    <s v="Carries forward"/>
  </r>
  <r>
    <d v="2022-11-11T00:00:00"/>
    <x v="20"/>
    <x v="0"/>
    <n v="1530"/>
    <m/>
    <n v="220"/>
    <m/>
    <s v="2022-11"/>
    <s v="Carries forward"/>
  </r>
  <r>
    <d v="2022-11-12T00:00:00"/>
    <x v="20"/>
    <x v="0"/>
    <n v="180"/>
    <m/>
    <n v="220"/>
    <m/>
    <s v="2022-11"/>
    <s v="Carries forward"/>
  </r>
  <r>
    <d v="2022-11-12T00:00:00"/>
    <x v="20"/>
    <x v="0"/>
    <n v="376"/>
    <m/>
    <n v="220"/>
    <m/>
    <s v="2022-11"/>
    <s v="Carries forward"/>
  </r>
  <r>
    <d v="2022-11-14T00:00:00"/>
    <x v="20"/>
    <x v="0"/>
    <n v="287"/>
    <m/>
    <n v="220"/>
    <m/>
    <s v="2022-11"/>
    <s v="Carries forward"/>
  </r>
  <r>
    <d v="2022-11-14T00:00:00"/>
    <x v="20"/>
    <x v="0"/>
    <n v="19"/>
    <m/>
    <n v="220"/>
    <m/>
    <s v="2022-11"/>
    <s v="Carries forward"/>
  </r>
  <r>
    <d v="2022-11-16T00:00:00"/>
    <x v="20"/>
    <x v="0"/>
    <n v="167"/>
    <m/>
    <n v="220"/>
    <m/>
    <s v="2022-11"/>
    <s v="Carries forward"/>
  </r>
  <r>
    <d v="2022-11-17T00:00:00"/>
    <x v="20"/>
    <x v="0"/>
    <n v="646"/>
    <m/>
    <n v="220"/>
    <m/>
    <s v="2022-11"/>
    <s v="Carries forward"/>
  </r>
  <r>
    <d v="2022-11-19T00:00:00"/>
    <x v="20"/>
    <x v="0"/>
    <n v="180"/>
    <m/>
    <n v="220"/>
    <m/>
    <s v="2022-11"/>
    <s v="Carries forward"/>
  </r>
  <r>
    <d v="2022-11-21T00:00:00"/>
    <x v="20"/>
    <x v="0"/>
    <n v="10"/>
    <m/>
    <n v="220"/>
    <m/>
    <s v="2022-11"/>
    <s v="Carries forward"/>
  </r>
  <r>
    <d v="2022-11-22T00:00:00"/>
    <x v="20"/>
    <x v="0"/>
    <n v="265"/>
    <m/>
    <n v="220"/>
    <m/>
    <s v="2022-11"/>
    <s v="Carries forward"/>
  </r>
  <r>
    <d v="2022-11-23T00:00:00"/>
    <x v="20"/>
    <x v="0"/>
    <n v="100"/>
    <m/>
    <n v="220"/>
    <m/>
    <s v="2022-11"/>
    <s v="Carries forward"/>
  </r>
  <r>
    <d v="2022-11-24T00:00:00"/>
    <x v="20"/>
    <x v="0"/>
    <n v="65"/>
    <m/>
    <n v="220"/>
    <m/>
    <s v="2022-11"/>
    <s v="Carries forward"/>
  </r>
  <r>
    <d v="2022-11-25T00:00:00"/>
    <x v="20"/>
    <x v="0"/>
    <n v="10"/>
    <m/>
    <n v="220"/>
    <m/>
    <s v="2022-11"/>
    <s v="Carries forward"/>
  </r>
  <r>
    <d v="2022-11-25T00:00:00"/>
    <x v="20"/>
    <x v="0"/>
    <n v="55"/>
    <m/>
    <n v="220"/>
    <m/>
    <s v="2022-11"/>
    <s v="Carries forward"/>
  </r>
  <r>
    <d v="2022-11-26T00:00:00"/>
    <x v="20"/>
    <x v="0"/>
    <n v="35"/>
    <m/>
    <n v="220"/>
    <m/>
    <s v="2022-11"/>
    <s v="Carries forward"/>
  </r>
  <r>
    <d v="2022-11-27T00:00:00"/>
    <x v="20"/>
    <x v="0"/>
    <n v="390"/>
    <m/>
    <n v="220"/>
    <m/>
    <s v="2022-11"/>
    <s v="Carries forward"/>
  </r>
  <r>
    <d v="2022-11-28T00:00:00"/>
    <x v="20"/>
    <x v="0"/>
    <n v="103"/>
    <m/>
    <n v="220"/>
    <m/>
    <s v="2022-11"/>
    <s v="Carries forward"/>
  </r>
  <r>
    <d v="2022-11-28T00:00:00"/>
    <x v="20"/>
    <x v="2"/>
    <n v="-220"/>
    <n v="8201"/>
    <n v="220"/>
    <s v="CHECK: Book total 8201 is 220 less than the lines"/>
    <s v="2022-11"/>
    <s v="Carries forward"/>
  </r>
  <r>
    <m/>
    <x v="20"/>
    <x v="1"/>
    <n v="1000"/>
    <n v="7201"/>
    <n v="220"/>
    <s v="Book: paid 1000, BAK 7201 (crossed lines below not counted)"/>
    <s v=""/>
    <s v="Carries forward"/>
  </r>
  <r>
    <m/>
    <x v="20"/>
    <x v="1"/>
    <n v="1000"/>
    <n v="6201"/>
    <n v="220"/>
    <s v="Book: paid 1000, BAKI 6201"/>
    <s v=""/>
    <s v="Carries forward"/>
  </r>
  <r>
    <d v="2022-12-07T00:00:00"/>
    <x v="20"/>
    <x v="1"/>
    <n v="1000"/>
    <n v="5201"/>
    <n v="220"/>
    <s v="Book: paid 1000 on 7/12, BAKI 5201"/>
    <s v="2022-12"/>
    <s v="Carries forward"/>
  </r>
  <r>
    <d v="2022-12-11T00:00:00"/>
    <x v="20"/>
    <x v="1"/>
    <n v="500"/>
    <n v="4701"/>
    <n v="220"/>
    <s v="Book: paid 500 on 11/12"/>
    <s v="2022-12"/>
    <s v="Carries forward"/>
  </r>
  <r>
    <d v="2022-12-12T00:00:00"/>
    <x v="20"/>
    <x v="1"/>
    <n v="500"/>
    <n v="4201"/>
    <n v="220"/>
    <s v="Book: paid 500 on 12/12"/>
    <s v="2022-12"/>
    <s v="Carries forward"/>
  </r>
  <r>
    <d v="2022-12-14T00:00:00"/>
    <x v="20"/>
    <x v="1"/>
    <n v="500"/>
    <n v="3701"/>
    <n v="220"/>
    <s v="Book: paid 500 on 14/12"/>
    <s v="2022-12"/>
    <s v="Carries forward"/>
  </r>
  <r>
    <d v="2022-12-15T00:00:00"/>
    <x v="20"/>
    <x v="1"/>
    <n v="500"/>
    <n v="3201"/>
    <n v="220"/>
    <s v="Book: paid 500 on 15/12"/>
    <s v="2022-12"/>
    <s v="Carries forward"/>
  </r>
  <r>
    <m/>
    <x v="20"/>
    <x v="1"/>
    <n v="1000"/>
    <n v="2201"/>
    <n v="221"/>
    <s v="Page 221 top: paid 1000, BAKI 2201"/>
    <s v=""/>
    <s v="Carries forward"/>
  </r>
  <r>
    <m/>
    <x v="20"/>
    <x v="1"/>
    <n v="500"/>
    <n v="1701"/>
    <n v="221"/>
    <s v="Page 221 top: paid 500, BAK 1701"/>
    <s v=""/>
    <s v="Carries forward"/>
  </r>
  <r>
    <m/>
    <x v="20"/>
    <x v="1"/>
    <n v="500"/>
    <n v="1201"/>
    <n v="221"/>
    <s v="Page 221 top: paid 500, BAK 1201"/>
    <s v=""/>
    <s v="Carries forward"/>
  </r>
  <r>
    <d v="2022-12-02T00:00:00"/>
    <x v="20"/>
    <x v="0"/>
    <n v="160"/>
    <m/>
    <n v="221"/>
    <m/>
    <s v="2022-12"/>
    <s v="Carries forward"/>
  </r>
  <r>
    <d v="2022-12-03T00:00:00"/>
    <x v="20"/>
    <x v="0"/>
    <n v="51"/>
    <m/>
    <n v="221"/>
    <m/>
    <s v="2022-12"/>
    <s v="Carries forward"/>
  </r>
  <r>
    <d v="2022-12-05T00:00:00"/>
    <x v="20"/>
    <x v="0"/>
    <n v="12"/>
    <m/>
    <n v="221"/>
    <m/>
    <s v="2022-12"/>
    <s v="Carries forward"/>
  </r>
  <r>
    <d v="2022-12-11T00:00:00"/>
    <x v="20"/>
    <x v="0"/>
    <n v="83"/>
    <m/>
    <n v="221"/>
    <m/>
    <s v="2022-12"/>
    <s v="Carries forward"/>
  </r>
  <r>
    <d v="2022-12-12T00:00:00"/>
    <x v="20"/>
    <x v="0"/>
    <n v="90"/>
    <m/>
    <n v="221"/>
    <m/>
    <s v="2022-12"/>
    <s v="Carries forward"/>
  </r>
  <r>
    <d v="2022-12-12T00:00:00"/>
    <x v="20"/>
    <x v="0"/>
    <n v="1582"/>
    <m/>
    <n v="221"/>
    <m/>
    <s v="2022-12"/>
    <s v="Carries forward"/>
  </r>
  <r>
    <d v="2022-12-12T00:00:00"/>
    <x v="20"/>
    <x v="0"/>
    <n v="24"/>
    <m/>
    <n v="221"/>
    <m/>
    <s v="2022-12"/>
    <s v="Carries forward"/>
  </r>
  <r>
    <d v="2022-12-15T00:00:00"/>
    <x v="20"/>
    <x v="0"/>
    <n v="1200"/>
    <m/>
    <n v="221"/>
    <s v="Date written like 15/1"/>
    <s v="2022-12"/>
    <s v="Carries forward"/>
  </r>
  <r>
    <d v="2023-01-01T00:00:00"/>
    <x v="20"/>
    <x v="0"/>
    <n v="63"/>
    <m/>
    <n v="221"/>
    <m/>
    <s v="2023-01"/>
    <s v="Carries forward"/>
  </r>
  <r>
    <d v="2023-01-03T00:00:00"/>
    <x v="20"/>
    <x v="0"/>
    <n v="45"/>
    <m/>
    <n v="221"/>
    <m/>
    <s v="2023-01"/>
    <s v="Carries forward"/>
  </r>
  <r>
    <d v="2023-01-03T00:00:00"/>
    <x v="20"/>
    <x v="2"/>
    <n v="-61"/>
    <n v="4450"/>
    <n v="221"/>
    <s v="Book total 4450 is 61 less than the lines"/>
    <s v="2023-01"/>
    <s v="Carries forward"/>
  </r>
  <r>
    <d v="2023-01-08T00:00:00"/>
    <x v="20"/>
    <x v="1"/>
    <n v="800"/>
    <n v="3650"/>
    <n v="221"/>
    <s v="Book: paid 800, BAKI 3650"/>
    <s v="2023-01"/>
    <s v="Carries forward"/>
  </r>
  <r>
    <d v="2023-01-08T00:00:00"/>
    <x v="20"/>
    <x v="1"/>
    <n v="500"/>
    <n v="3150"/>
    <n v="221"/>
    <s v="Book: paid 500, BAKI 3150"/>
    <s v="2023-01"/>
    <s v="Carries forward"/>
  </r>
  <r>
    <d v="2023-01-10T00:00:00"/>
    <x v="20"/>
    <x v="1"/>
    <n v="500"/>
    <n v="2650"/>
    <n v="221"/>
    <s v="Book: paid 500, BAKI 2650"/>
    <s v="2023-01"/>
    <s v="Carries forward"/>
  </r>
  <r>
    <d v="2023-01-11T00:00:00"/>
    <x v="20"/>
    <x v="1"/>
    <n v="900"/>
    <n v="1750"/>
    <n v="221"/>
    <s v="Book: paid 900, BAKI 1750"/>
    <s v="2023-01"/>
    <s v="Carries forward"/>
  </r>
  <r>
    <d v="2023-01-11T00:00:00"/>
    <x v="20"/>
    <x v="1"/>
    <n v="500"/>
    <n v="1250"/>
    <n v="221"/>
    <s v="Book: paid 500, BAKI 1250"/>
    <s v="2023-01"/>
    <s v="Carries forward"/>
  </r>
  <r>
    <m/>
    <x v="20"/>
    <x v="1"/>
    <n v="500"/>
    <n v="750"/>
    <n v="221"/>
    <s v="Book: paid 500, BAK 750. Next column cut off at page edge"/>
    <s v=""/>
    <s v="Carries forward"/>
  </r>
  <r>
    <d v="2023-01-11T00:00:00"/>
    <x v="20"/>
    <x v="0"/>
    <n v="1667"/>
    <m/>
    <n v="221"/>
    <s v="Page 221 column 2"/>
    <s v="2023-01"/>
    <s v="Carries forward"/>
  </r>
  <r>
    <d v="2023-01-22T00:00:00"/>
    <x v="20"/>
    <x v="0"/>
    <n v="121"/>
    <m/>
    <n v="221"/>
    <m/>
    <s v="2023-01"/>
    <s v="Carries forward"/>
  </r>
  <r>
    <d v="2023-01-23T00:00:00"/>
    <x v="20"/>
    <x v="0"/>
    <n v="88"/>
    <m/>
    <n v="221"/>
    <m/>
    <s v="2023-01"/>
    <s v="Carries forward"/>
  </r>
  <r>
    <d v="2023-01-26T00:00:00"/>
    <x v="20"/>
    <x v="0"/>
    <n v="1150"/>
    <m/>
    <n v="221"/>
    <s v="GAS"/>
    <s v="2023-01"/>
    <s v="Carries forward"/>
  </r>
  <r>
    <d v="2023-01-28T00:00:00"/>
    <x v="20"/>
    <x v="0"/>
    <n v="56"/>
    <m/>
    <n v="221"/>
    <m/>
    <s v="2023-01"/>
    <s v="Carries forward"/>
  </r>
  <r>
    <d v="2023-01-31T00:00:00"/>
    <x v="20"/>
    <x v="0"/>
    <n v="205"/>
    <n v="4037"/>
    <n v="221"/>
    <s v="Book: Total 4037"/>
    <s v="2023-01"/>
    <s v="Carries forward"/>
  </r>
  <r>
    <d v="2023-02-04T00:00:00"/>
    <x v="20"/>
    <x v="0"/>
    <n v="72"/>
    <m/>
    <n v="221"/>
    <m/>
    <s v="2023-02"/>
    <s v="Carries forward"/>
  </r>
  <r>
    <d v="2023-02-04T00:00:00"/>
    <x v="20"/>
    <x v="0"/>
    <n v="10"/>
    <n v="4119"/>
    <n v="221"/>
    <s v="Book: Tol 4119"/>
    <s v="2023-02"/>
    <s v="Carries forward"/>
  </r>
  <r>
    <d v="2023-02-02T00:00:00"/>
    <x v="20"/>
    <x v="1"/>
    <n v="1500"/>
    <n v="2619"/>
    <n v="221"/>
    <s v="Book: paid 1500 on 2/2/23, BAKI 2619"/>
    <s v="2023-02"/>
    <s v="Carries forward"/>
  </r>
  <r>
    <d v="2023-02-08T00:00:00"/>
    <x v="20"/>
    <x v="0"/>
    <n v="20"/>
    <n v="2639"/>
    <n v="221"/>
    <s v="Book: TOL 2639"/>
    <s v="2023-02"/>
    <s v="Carries forward"/>
  </r>
  <r>
    <d v="2023-02-07T00:00:00"/>
    <x v="20"/>
    <x v="1"/>
    <n v="500"/>
    <n v="2139"/>
    <n v="221"/>
    <s v="Book: paid 500 on 7/2, BAKI 2139"/>
    <s v="2023-02"/>
    <s v="Carries forward"/>
  </r>
  <r>
    <d v="2023-02-11T00:00:00"/>
    <x v="20"/>
    <x v="1"/>
    <n v="600"/>
    <n v="1539"/>
    <n v="221"/>
    <s v="Book: paid 600 on 11/2, BAKI 1539"/>
    <s v="2023-02"/>
    <s v="Carries forward"/>
  </r>
  <r>
    <d v="2023-02-12T00:00:00"/>
    <x v="20"/>
    <x v="1"/>
    <n v="500"/>
    <n v="1039"/>
    <n v="221"/>
    <s v="Book: paid 500 on 12/2/23, BAKI 1039"/>
    <s v="2023-02"/>
    <s v="Carries forward"/>
  </r>
  <r>
    <d v="2023-03-02T00:00:00"/>
    <x v="20"/>
    <x v="1"/>
    <n v="1000"/>
    <n v="39"/>
    <n v="221"/>
    <s v="Book: paid 1000 on 2/3/23, BAK 39"/>
    <s v="2023-03"/>
    <s v="Carries forward"/>
  </r>
  <r>
    <d v="2022-09-18T00:00:00"/>
    <x v="21"/>
    <x v="0"/>
    <n v="742"/>
    <m/>
    <n v="0"/>
    <s v="Account 69, printed page number not visible. Opening 0"/>
    <s v="2022-09"/>
    <s v="Carries forward"/>
  </r>
  <r>
    <d v="2022-09-19T00:00:00"/>
    <x v="21"/>
    <x v="0"/>
    <n v="537"/>
    <m/>
    <n v="0"/>
    <m/>
    <s v="2022-09"/>
    <s v="Carries forward"/>
  </r>
  <r>
    <d v="2022-09-21T00:00:00"/>
    <x v="21"/>
    <x v="0"/>
    <n v="78"/>
    <m/>
    <n v="0"/>
    <m/>
    <s v="2022-09"/>
    <s v="Carries forward"/>
  </r>
  <r>
    <d v="2022-09-22T00:00:00"/>
    <x v="21"/>
    <x v="0"/>
    <n v="390"/>
    <m/>
    <n v="0"/>
    <m/>
    <s v="2022-09"/>
    <s v="Carries forward"/>
  </r>
  <r>
    <d v="2022-09-28T00:00:00"/>
    <x v="21"/>
    <x v="0"/>
    <n v="262"/>
    <m/>
    <n v="0"/>
    <m/>
    <s v="2022-09"/>
    <s v="Carries forward"/>
  </r>
  <r>
    <d v="2022-10-01T00:00:00"/>
    <x v="21"/>
    <x v="0"/>
    <n v="290"/>
    <m/>
    <n v="0"/>
    <m/>
    <s v="2022-10"/>
    <s v="Carries forward"/>
  </r>
  <r>
    <d v="2022-10-02T00:00:00"/>
    <x v="21"/>
    <x v="0"/>
    <n v="220"/>
    <m/>
    <n v="0"/>
    <m/>
    <s v="2022-10"/>
    <s v="Carries forward"/>
  </r>
  <r>
    <d v="2022-10-02T00:00:00"/>
    <x v="21"/>
    <x v="0"/>
    <n v="88"/>
    <m/>
    <n v="0"/>
    <m/>
    <s v="2022-10"/>
    <s v="Carries forward"/>
  </r>
  <r>
    <d v="2022-10-04T00:00:00"/>
    <x v="21"/>
    <x v="0"/>
    <n v="134"/>
    <m/>
    <n v="0"/>
    <m/>
    <s v="2022-10"/>
    <s v="Carries forward"/>
  </r>
  <r>
    <d v="2022-10-05T00:00:00"/>
    <x v="21"/>
    <x v="0"/>
    <n v="265"/>
    <n v="3006"/>
    <n v="0"/>
    <s v="Book: TL 3006"/>
    <s v="2022-10"/>
    <s v="Carries forward"/>
  </r>
  <r>
    <d v="2022-10-07T00:00:00"/>
    <x v="21"/>
    <x v="0"/>
    <n v="478"/>
    <n v="3484"/>
    <n v="0"/>
    <s v="Book: TG 3484"/>
    <s v="2022-10"/>
    <s v="Carries forward"/>
  </r>
  <r>
    <d v="2022-10-09T00:00:00"/>
    <x v="21"/>
    <x v="1"/>
    <n v="2000"/>
    <n v="1484"/>
    <n v="0"/>
    <s v="Book: paid 2000 on 9/10"/>
    <s v="2022-10"/>
    <s v="Carries forward"/>
  </r>
  <r>
    <d v="2022-10-11T00:00:00"/>
    <x v="21"/>
    <x v="0"/>
    <n v="409"/>
    <m/>
    <n v="0"/>
    <m/>
    <s v="2022-10"/>
    <s v="Carries forward"/>
  </r>
  <r>
    <d v="2022-10-13T00:00:00"/>
    <x v="21"/>
    <x v="0"/>
    <n v="367"/>
    <m/>
    <n v="0"/>
    <m/>
    <s v="2022-10"/>
    <s v="Carries forward"/>
  </r>
  <r>
    <d v="2022-10-16T00:00:00"/>
    <x v="21"/>
    <x v="0"/>
    <n v="598"/>
    <m/>
    <n v="0"/>
    <m/>
    <s v="2022-10"/>
    <s v="Carries forward"/>
  </r>
  <r>
    <d v="2022-10-19T00:00:00"/>
    <x v="21"/>
    <x v="0"/>
    <n v="307"/>
    <m/>
    <n v="0"/>
    <m/>
    <s v="2022-10"/>
    <s v="Carries forward"/>
  </r>
  <r>
    <d v="2022-10-23T00:00:00"/>
    <x v="21"/>
    <x v="0"/>
    <n v="413"/>
    <m/>
    <n v="0"/>
    <m/>
    <s v="2022-10"/>
    <s v="Carries forward"/>
  </r>
  <r>
    <d v="2022-10-26T00:00:00"/>
    <x v="21"/>
    <x v="0"/>
    <n v="988"/>
    <m/>
    <n v="0"/>
    <m/>
    <s v="2022-10"/>
    <s v="Carries forward"/>
  </r>
  <r>
    <d v="2022-10-28T00:00:00"/>
    <x v="21"/>
    <x v="0"/>
    <n v="90"/>
    <m/>
    <n v="0"/>
    <m/>
    <s v="2022-10"/>
    <s v="Carries forward"/>
  </r>
  <r>
    <d v="2022-10-29T00:00:00"/>
    <x v="21"/>
    <x v="0"/>
    <n v="221"/>
    <m/>
    <n v="0"/>
    <m/>
    <s v="2022-10"/>
    <s v="Carries forward"/>
  </r>
  <r>
    <d v="2022-11-02T00:00:00"/>
    <x v="21"/>
    <x v="0"/>
    <n v="562"/>
    <m/>
    <n v="0"/>
    <m/>
    <s v="2022-11"/>
    <s v="Carries forward"/>
  </r>
  <r>
    <d v="2022-11-02T00:00:00"/>
    <x v="21"/>
    <x v="2"/>
    <n v="-60"/>
    <n v="5379"/>
    <n v="0"/>
    <s v="Book total 5379 is 60 less than the lines"/>
    <s v="2022-11"/>
    <s v="Carries forward"/>
  </r>
  <r>
    <d v="2022-11-19T00:00:00"/>
    <x v="21"/>
    <x v="0"/>
    <n v="689"/>
    <m/>
    <n v="0"/>
    <m/>
    <s v="2022-11"/>
    <s v="Carries forward"/>
  </r>
  <r>
    <d v="2022-11-21T00:00:00"/>
    <x v="21"/>
    <x v="0"/>
    <n v="20"/>
    <m/>
    <n v="0"/>
    <m/>
    <s v="2022-11"/>
    <s v="Carries forward"/>
  </r>
  <r>
    <d v="2022-11-22T00:00:00"/>
    <x v="21"/>
    <x v="0"/>
    <n v="215"/>
    <m/>
    <n v="0"/>
    <m/>
    <s v="2022-11"/>
    <s v="Carries forward"/>
  </r>
  <r>
    <d v="2022-11-24T00:00:00"/>
    <x v="21"/>
    <x v="0"/>
    <n v="324"/>
    <m/>
    <n v="0"/>
    <m/>
    <s v="2022-11"/>
    <s v="Carries forward"/>
  </r>
  <r>
    <d v="2022-11-26T00:00:00"/>
    <x v="21"/>
    <x v="0"/>
    <n v="206"/>
    <m/>
    <n v="0"/>
    <m/>
    <s v="2022-11"/>
    <s v="Carries forward"/>
  </r>
  <r>
    <d v="2022-11-26T00:00:00"/>
    <x v="21"/>
    <x v="0"/>
    <n v="24"/>
    <m/>
    <n v="0"/>
    <m/>
    <s v="2022-11"/>
    <s v="Carries forward"/>
  </r>
  <r>
    <d v="2022-11-29T00:00:00"/>
    <x v="21"/>
    <x v="0"/>
    <n v="418"/>
    <m/>
    <n v="0"/>
    <m/>
    <s v="2022-11"/>
    <s v="Carries forward"/>
  </r>
  <r>
    <d v="2022-12-02T00:00:00"/>
    <x v="21"/>
    <x v="0"/>
    <n v="604"/>
    <m/>
    <n v="0"/>
    <m/>
    <s v="2022-12"/>
    <s v="Carries forward"/>
  </r>
  <r>
    <d v="2022-12-02T00:00:00"/>
    <x v="21"/>
    <x v="2"/>
    <n v="-3"/>
    <n v="7876"/>
    <n v="0"/>
    <s v="Book total 7876 is 3 less than the lines"/>
    <s v="2022-12"/>
    <s v="Carries forward"/>
  </r>
  <r>
    <d v="2022-12-07T00:00:00"/>
    <x v="21"/>
    <x v="0"/>
    <n v="703"/>
    <n v="8579"/>
    <n v="0"/>
    <s v="Book: TG 8579"/>
    <s v="2022-12"/>
    <s v="Carries forward"/>
  </r>
  <r>
    <m/>
    <x v="21"/>
    <x v="1"/>
    <n v="2000"/>
    <n v="6579"/>
    <n v="0"/>
    <s v="Book: paid 2000 (December), BAK 6579"/>
    <s v=""/>
    <s v="Carries forward"/>
  </r>
  <r>
    <d v="2022-12-17T00:00:00"/>
    <x v="21"/>
    <x v="0"/>
    <n v="591"/>
    <m/>
    <n v="0"/>
    <m/>
    <s v="2022-12"/>
    <s v="Carries forward"/>
  </r>
  <r>
    <d v="2022-12-18T00:00:00"/>
    <x v="21"/>
    <x v="0"/>
    <n v="213"/>
    <m/>
    <n v="0"/>
    <m/>
    <s v="2022-12"/>
    <s v="Carries forward"/>
  </r>
  <r>
    <d v="2022-12-22T00:00:00"/>
    <x v="21"/>
    <x v="0"/>
    <n v="669"/>
    <m/>
    <n v="0"/>
    <m/>
    <s v="2022-12"/>
    <s v="Carries forward"/>
  </r>
  <r>
    <d v="2022-12-22T00:00:00"/>
    <x v="21"/>
    <x v="0"/>
    <n v="270"/>
    <m/>
    <n v="0"/>
    <m/>
    <s v="2022-12"/>
    <s v="Carries forward"/>
  </r>
  <r>
    <d v="2022-12-27T00:00:00"/>
    <x v="21"/>
    <x v="0"/>
    <n v="534"/>
    <m/>
    <n v="0"/>
    <m/>
    <s v="2022-12"/>
    <s v="Carries forward"/>
  </r>
  <r>
    <d v="2023-01-02T00:00:00"/>
    <x v="21"/>
    <x v="0"/>
    <n v="425"/>
    <m/>
    <n v="0"/>
    <m/>
    <s v="2023-01"/>
    <s v="Carries forward"/>
  </r>
  <r>
    <d v="2023-01-04T00:00:00"/>
    <x v="21"/>
    <x v="0"/>
    <n v="789"/>
    <m/>
    <n v="0"/>
    <m/>
    <s v="2023-01"/>
    <s v="Carries forward"/>
  </r>
  <r>
    <d v="2023-01-07T00:00:00"/>
    <x v="21"/>
    <x v="0"/>
    <n v="491"/>
    <m/>
    <n v="0"/>
    <m/>
    <s v="2023-01"/>
    <s v="Carries forward"/>
  </r>
  <r>
    <d v="2023-01-07T00:00:00"/>
    <x v="21"/>
    <x v="0"/>
    <n v="22"/>
    <m/>
    <n v="0"/>
    <m/>
    <s v="2023-01"/>
    <s v="Carries forward"/>
  </r>
  <r>
    <d v="2023-01-07T00:00:00"/>
    <x v="21"/>
    <x v="2"/>
    <n v="-611"/>
    <n v="9972"/>
    <n v="0"/>
    <s v="CHECK: Book total 9972 is 611 less than the lines"/>
    <s v="2023-01"/>
    <s v="Carries forward"/>
  </r>
  <r>
    <d v="2023-01-07T00:00:00"/>
    <x v="21"/>
    <x v="2"/>
    <n v="500"/>
    <n v="10472"/>
    <n v="0"/>
    <s v="500 added with a Kannada label: Total 10472"/>
    <s v="2023-01"/>
    <s v="Carries forward"/>
  </r>
  <r>
    <m/>
    <x v="21"/>
    <x v="1"/>
    <n v="4000"/>
    <n v="6472"/>
    <n v="0"/>
    <s v="Book: paid 4000, BAK 6472"/>
    <s v=""/>
    <s v="Carries forward"/>
  </r>
  <r>
    <m/>
    <x v="21"/>
    <x v="2"/>
    <n v="200"/>
    <n v="6672"/>
    <n v="0"/>
    <s v="INTEREST: book writes &quot;int 200&quot; and adds it: TG 6672"/>
    <s v=""/>
    <s v="Carries forward"/>
  </r>
  <r>
    <d v="2022-09-09T00:00:00"/>
    <x v="22"/>
    <x v="0"/>
    <n v="2000"/>
    <m/>
    <n v="150"/>
    <s v="Account 68. Opening 0"/>
    <s v="2022-09"/>
    <s v="Mixed"/>
  </r>
  <r>
    <d v="2022-09-18T00:00:00"/>
    <x v="22"/>
    <x v="0"/>
    <n v="470"/>
    <n v="2470"/>
    <n v="150"/>
    <s v="Book: TL 2470"/>
    <s v="2022-09"/>
    <s v="Mixed"/>
  </r>
  <r>
    <m/>
    <x v="22"/>
    <x v="1"/>
    <n v="2470"/>
    <n v="0"/>
    <n v="150"/>
    <s v="Book: 2470 written with a date and crossed = paid"/>
    <s v=""/>
    <s v="Mixed"/>
  </r>
  <r>
    <d v="2022-10-19T00:00:00"/>
    <x v="22"/>
    <x v="0"/>
    <n v="1227"/>
    <m/>
    <n v="150"/>
    <m/>
    <s v="2022-10"/>
    <s v="Mixed"/>
  </r>
  <r>
    <d v="2022-10-23T00:00:00"/>
    <x v="22"/>
    <x v="0"/>
    <n v="685"/>
    <m/>
    <n v="150"/>
    <m/>
    <s v="2022-10"/>
    <s v="Mixed"/>
  </r>
  <r>
    <d v="2022-11-06T00:00:00"/>
    <x v="22"/>
    <x v="0"/>
    <n v="966"/>
    <n v="2878"/>
    <n v="150"/>
    <s v="Book: Tol 2878"/>
    <s v="2022-11"/>
    <s v="Mixed"/>
  </r>
  <r>
    <d v="2022-11-06T00:00:00"/>
    <x v="22"/>
    <x v="0"/>
    <n v="60"/>
    <n v="2938"/>
    <n v="150"/>
    <s v="Date not written. Book: TL 2938"/>
    <s v="2022-11"/>
    <s v="Mixed"/>
  </r>
  <r>
    <m/>
    <x v="22"/>
    <x v="1"/>
    <n v="2935"/>
    <n v="3"/>
    <n v="150"/>
    <s v="Book: paid 2935"/>
    <s v=""/>
    <s v="Mixed"/>
  </r>
  <r>
    <m/>
    <x v="22"/>
    <x v="2"/>
    <n v="-3"/>
    <n v="0"/>
    <n v="150"/>
    <s v="3 let go"/>
    <s v=""/>
    <s v="Mixed"/>
  </r>
  <r>
    <d v="2022-11-27T00:00:00"/>
    <x v="22"/>
    <x v="0"/>
    <n v="1533"/>
    <m/>
    <n v="150"/>
    <m/>
    <s v="2022-11"/>
    <s v="Mixed"/>
  </r>
  <r>
    <d v="2022-12-18T00:00:00"/>
    <x v="22"/>
    <x v="0"/>
    <n v="603"/>
    <m/>
    <n v="150"/>
    <s v="Date written like 18/1"/>
    <s v="2022-12"/>
    <s v="Mixed"/>
  </r>
  <r>
    <d v="2023-01-16T00:00:00"/>
    <x v="22"/>
    <x v="0"/>
    <n v="2200"/>
    <n v="4336"/>
    <n v="150"/>
    <s v="Book: TL 4336"/>
    <s v="2023-01"/>
    <s v="Mixed"/>
  </r>
  <r>
    <d v="2023-02-06T00:00:00"/>
    <x v="22"/>
    <x v="1"/>
    <n v="2000"/>
    <n v="2336"/>
    <n v="150"/>
    <s v="Book: paid 2000 on 6/2/23, BAKI 2336"/>
    <s v="2023-02"/>
    <s v="Mixed"/>
  </r>
  <r>
    <d v="2023-02-08T00:00:00"/>
    <x v="22"/>
    <x v="0"/>
    <n v="1340"/>
    <m/>
    <n v="150"/>
    <m/>
    <s v="2023-02"/>
    <s v="Mixed"/>
  </r>
  <r>
    <d v="2023-02-12T00:00:00"/>
    <x v="22"/>
    <x v="0"/>
    <n v="1400"/>
    <m/>
    <n v="150"/>
    <m/>
    <s v="2023-02"/>
    <s v="Mixed"/>
  </r>
  <r>
    <d v="2023-02-19T00:00:00"/>
    <x v="22"/>
    <x v="0"/>
    <n v="150"/>
    <n v="5226"/>
    <n v="150"/>
    <s v="Book: Tol 5226"/>
    <s v="2023-02"/>
    <s v="Mixed"/>
  </r>
  <r>
    <d v="2023-02-26T00:00:00"/>
    <x v="22"/>
    <x v="0"/>
    <n v="692"/>
    <n v="5918"/>
    <n v="150"/>
    <s v="Book: Tol 5918"/>
    <s v="2023-02"/>
    <s v="Mixed"/>
  </r>
  <r>
    <m/>
    <x v="22"/>
    <x v="1"/>
    <n v="5000"/>
    <n v="918"/>
    <n v="150"/>
    <s v="Book: paid 5000, BAK 918"/>
    <s v=""/>
    <s v="Mixed"/>
  </r>
  <r>
    <d v="2023-03-05T00:00:00"/>
    <x v="22"/>
    <x v="0"/>
    <n v="1613"/>
    <m/>
    <n v="150"/>
    <m/>
    <s v="2023-03"/>
    <s v="Mixed"/>
  </r>
  <r>
    <d v="2023-03-21T00:00:00"/>
    <x v="22"/>
    <x v="0"/>
    <n v="193"/>
    <m/>
    <n v="150"/>
    <s v="Read as 193: makes Tol 4570 exact"/>
    <s v="2023-03"/>
    <s v="Mixed"/>
  </r>
  <r>
    <d v="2023-03-26T00:00:00"/>
    <x v="22"/>
    <x v="0"/>
    <n v="1846"/>
    <n v="4570"/>
    <n v="150"/>
    <s v="Book: Tol 4570"/>
    <s v="2023-03"/>
    <s v="Mixed"/>
  </r>
  <r>
    <d v="2023-04-09T00:00:00"/>
    <x v="22"/>
    <x v="1"/>
    <n v="4000"/>
    <n v="570"/>
    <n v="150"/>
    <s v="Book: paid 4000 (date looks like 9/4), BAK 570"/>
    <s v="2023-04"/>
    <s v="Mixed"/>
  </r>
  <r>
    <d v="2023-04-09T00:00:00"/>
    <x v="22"/>
    <x v="0"/>
    <n v="1422"/>
    <m/>
    <n v="150"/>
    <m/>
    <s v="2023-04"/>
    <s v="Mixed"/>
  </r>
  <r>
    <d v="2023-04-16T00:00:00"/>
    <x v="22"/>
    <x v="0"/>
    <n v="506"/>
    <m/>
    <n v="150"/>
    <m/>
    <s v="2023-04"/>
    <s v="Mixed"/>
  </r>
  <r>
    <d v="2023-05-09T00:00:00"/>
    <x v="22"/>
    <x v="0"/>
    <n v="741"/>
    <n v="3239"/>
    <n v="150"/>
    <s v="Book: TL 3239"/>
    <s v="2023-05"/>
    <s v="Mixed"/>
  </r>
  <r>
    <d v="2023-05-09T00:00:00"/>
    <x v="22"/>
    <x v="0"/>
    <n v="160"/>
    <n v="3399"/>
    <n v="150"/>
    <s v="Kannada label, date not written. Book: Tol 3399"/>
    <s v="2023-05"/>
    <s v="Mixed"/>
  </r>
  <r>
    <d v="2021-11-20T00:00:00"/>
    <x v="23"/>
    <x v="3"/>
    <n v="1465"/>
    <n v="1465"/>
    <n v="126"/>
    <s v="Opening BAK 1465 (account 56). Year read from '12/3/22' later on the page"/>
    <s v="2021-11"/>
    <s v="Mixed"/>
  </r>
  <r>
    <d v="2021-11-20T00:00:00"/>
    <x v="23"/>
    <x v="0"/>
    <n v="308"/>
    <n v="1773"/>
    <n v="126"/>
    <s v="Book: TL 1773"/>
    <s v="2021-11"/>
    <s v="Mixed"/>
  </r>
  <r>
    <d v="2021-11-20T00:00:00"/>
    <x v="23"/>
    <x v="0"/>
    <n v="824"/>
    <n v="2597"/>
    <n v="126"/>
    <s v="Date not written. Book: TG 2597"/>
    <s v="2021-11"/>
    <s v="Mixed"/>
  </r>
  <r>
    <m/>
    <x v="23"/>
    <x v="1"/>
    <n v="500"/>
    <n v="2097"/>
    <n v="126"/>
    <s v="Book: paid 500"/>
    <s v=""/>
    <s v="Mixed"/>
  </r>
  <r>
    <d v="2021-12-18T00:00:00"/>
    <x v="23"/>
    <x v="0"/>
    <n v="863"/>
    <n v="2960"/>
    <n v="126"/>
    <s v="Date written as 18/. Book: TL 2960"/>
    <s v="2021-12"/>
    <s v="Mixed"/>
  </r>
  <r>
    <m/>
    <x v="23"/>
    <x v="1"/>
    <n v="600"/>
    <n v="2360"/>
    <n v="126"/>
    <s v="Book: paid 600"/>
    <s v=""/>
    <s v="Mixed"/>
  </r>
  <r>
    <d v="2022-01-03T00:00:00"/>
    <x v="23"/>
    <x v="0"/>
    <n v="285"/>
    <n v="2645"/>
    <n v="126"/>
    <s v="Date written like 3/11. Book: TL 2645"/>
    <s v="2022-01"/>
    <s v="Mixed"/>
  </r>
  <r>
    <m/>
    <x v="23"/>
    <x v="1"/>
    <n v="2000"/>
    <n v="645"/>
    <n v="126"/>
    <s v="Book: paid 2000, BAL 645"/>
    <s v=""/>
    <s v="Mixed"/>
  </r>
  <r>
    <d v="2022-01-14T00:00:00"/>
    <x v="23"/>
    <x v="0"/>
    <n v="484"/>
    <n v="1129"/>
    <n v="126"/>
    <s v="Book: T 1129"/>
    <s v="2022-01"/>
    <s v="Mixed"/>
  </r>
  <r>
    <d v="2022-01-14T00:00:00"/>
    <x v="23"/>
    <x v="0"/>
    <n v="142"/>
    <n v="1271"/>
    <n v="126"/>
    <s v="Date not written. Book: TL 1271"/>
    <s v="2022-01"/>
    <s v="Mixed"/>
  </r>
  <r>
    <d v="2022-03-05T00:00:00"/>
    <x v="23"/>
    <x v="0"/>
    <n v="1023"/>
    <n v="2294"/>
    <n v="126"/>
    <s v="Book: TL 2294"/>
    <s v="2022-03"/>
    <s v="Mixed"/>
  </r>
  <r>
    <m/>
    <x v="23"/>
    <x v="1"/>
    <n v="2000"/>
    <n v="294"/>
    <n v="126"/>
    <s v="Book: paid 2000 (March), BAK 294"/>
    <s v=""/>
    <s v="Mixed"/>
  </r>
  <r>
    <d v="2022-03-12T00:00:00"/>
    <x v="23"/>
    <x v="0"/>
    <n v="831"/>
    <m/>
    <n v="126"/>
    <m/>
    <s v="2022-03"/>
    <s v="Mixed"/>
  </r>
  <r>
    <d v="2022-03-20T00:00:00"/>
    <x v="23"/>
    <x v="0"/>
    <n v="818"/>
    <m/>
    <n v="126"/>
    <m/>
    <s v="2022-03"/>
    <s v="Mixed"/>
  </r>
  <r>
    <d v="2022-03-25T00:00:00"/>
    <x v="23"/>
    <x v="0"/>
    <n v="1002"/>
    <n v="2945"/>
    <n v="126"/>
    <s v="Book: TL 2945"/>
    <s v="2022-03"/>
    <s v="Mixed"/>
  </r>
  <r>
    <d v="2022-03-25T00:00:00"/>
    <x v="23"/>
    <x v="0"/>
    <n v="20"/>
    <n v="2965"/>
    <n v="126"/>
    <s v="Book: TG 2965"/>
    <s v="2022-03"/>
    <s v="Mixed"/>
  </r>
  <r>
    <d v="2022-04-05T00:00:00"/>
    <x v="23"/>
    <x v="1"/>
    <n v="1000"/>
    <n v="1965"/>
    <n v="126"/>
    <s v="Book: paid 1000 (date looks like 5/4)"/>
    <s v="2022-04"/>
    <s v="Mixed"/>
  </r>
  <r>
    <m/>
    <x v="23"/>
    <x v="1"/>
    <n v="1965"/>
    <n v="0"/>
    <n v="126"/>
    <s v="Book: 1965 written twice and crossed = paid"/>
    <s v=""/>
    <s v="Mixed"/>
  </r>
  <r>
    <d v="2022-04-12T00:00:00"/>
    <x v="23"/>
    <x v="0"/>
    <n v="1003"/>
    <m/>
    <n v="126"/>
    <m/>
    <s v="2022-04"/>
    <s v="Mixed"/>
  </r>
  <r>
    <d v="2022-04-24T00:00:00"/>
    <x v="23"/>
    <x v="0"/>
    <n v="924"/>
    <m/>
    <n v="126"/>
    <m/>
    <s v="2022-04"/>
    <s v="Mixed"/>
  </r>
  <r>
    <d v="2022-05-01T00:00:00"/>
    <x v="23"/>
    <x v="0"/>
    <n v="811"/>
    <n v="2738"/>
    <n v="126"/>
    <s v="Book: Tol 2738"/>
    <s v="2022-05"/>
    <s v="Mixed"/>
  </r>
  <r>
    <d v="2022-05-14T00:00:00"/>
    <x v="23"/>
    <x v="0"/>
    <n v="864"/>
    <n v="3602"/>
    <n v="126"/>
    <s v="Book: Tol 3602"/>
    <s v="2022-05"/>
    <s v="Mixed"/>
  </r>
  <r>
    <m/>
    <x v="23"/>
    <x v="1"/>
    <n v="500"/>
    <n v="3102"/>
    <n v="126"/>
    <s v="Book: paid 500, BAK 3102"/>
    <s v=""/>
    <s v="Mixed"/>
  </r>
  <r>
    <d v="2022-05-14T00:00:00"/>
    <x v="23"/>
    <x v="0"/>
    <n v="45"/>
    <m/>
    <n v="126"/>
    <m/>
    <s v="2022-05"/>
    <s v="Mixed"/>
  </r>
  <r>
    <d v="2022-05-22T00:00:00"/>
    <x v="23"/>
    <x v="0"/>
    <n v="963"/>
    <n v="4110"/>
    <n v="126"/>
    <s v="Book: T 4110"/>
    <s v="2022-05"/>
    <s v="Mixed"/>
  </r>
  <r>
    <d v="2022-05-28T00:00:00"/>
    <x v="23"/>
    <x v="0"/>
    <n v="1020"/>
    <n v="5130"/>
    <n v="126"/>
    <s v="Book: TL 5130"/>
    <s v="2022-05"/>
    <s v="Mixed"/>
  </r>
  <r>
    <m/>
    <x v="23"/>
    <x v="1"/>
    <n v="5000"/>
    <n v="130"/>
    <n v="126"/>
    <s v="Book: paid 5000 (June), BAK 130"/>
    <s v=""/>
    <s v="Mixed"/>
  </r>
  <r>
    <d v="2022-06-04T00:00:00"/>
    <x v="23"/>
    <x v="0"/>
    <n v="855"/>
    <n v="985"/>
    <n v="126"/>
    <s v="Book: T 985"/>
    <s v="2022-06"/>
    <s v="Mixed"/>
  </r>
  <r>
    <d v="2022-09-22T00:00:00"/>
    <x v="24"/>
    <x v="3"/>
    <n v="2051"/>
    <n v="2051"/>
    <n v="74"/>
    <s v="Opening Total 2051 (account 30)"/>
    <s v="2022-09"/>
    <s v="Carries forward"/>
  </r>
  <r>
    <d v="2022-09-22T00:00:00"/>
    <x v="24"/>
    <x v="0"/>
    <n v="700"/>
    <n v="2751"/>
    <n v="74"/>
    <s v="Book: Tol 2751"/>
    <s v="2022-09"/>
    <s v="Carries forward"/>
  </r>
  <r>
    <d v="2022-10-08T00:00:00"/>
    <x v="24"/>
    <x v="1"/>
    <n v="2000"/>
    <n v="751"/>
    <n v="74"/>
    <s v="Book: paid 2000 on 8/10, BAKI 751"/>
    <s v="2022-10"/>
    <s v="Carries forward"/>
  </r>
  <r>
    <d v="2022-10-28T00:00:00"/>
    <x v="24"/>
    <x v="0"/>
    <n v="350"/>
    <m/>
    <n v="74"/>
    <s v="Overwritten, read as 350: makes Tol 2586 exact"/>
    <s v="2022-10"/>
    <s v="Carries forward"/>
  </r>
  <r>
    <d v="2022-11-03T00:00:00"/>
    <x v="24"/>
    <x v="0"/>
    <n v="700"/>
    <m/>
    <n v="74"/>
    <m/>
    <s v="2022-11"/>
    <s v="Carries forward"/>
  </r>
  <r>
    <d v="2022-11-08T00:00:00"/>
    <x v="24"/>
    <x v="0"/>
    <n v="85"/>
    <m/>
    <n v="74"/>
    <s v="Read as 85: makes Tol 2586 exact"/>
    <s v="2022-11"/>
    <s v="Carries forward"/>
  </r>
  <r>
    <d v="2022-11-17T00:00:00"/>
    <x v="24"/>
    <x v="0"/>
    <n v="700"/>
    <n v="2586"/>
    <n v="74"/>
    <s v="Book: Tol 2586"/>
    <s v="2022-11"/>
    <s v="Carries forward"/>
  </r>
  <r>
    <d v="2022-11-08T00:00:00"/>
    <x v="24"/>
    <x v="0"/>
    <n v="700"/>
    <n v="3286"/>
    <n v="74"/>
    <s v="Book: Total 3286"/>
    <s v="2022-11"/>
    <s v="Carries forward"/>
  </r>
  <r>
    <d v="2022-12-07T00:00:00"/>
    <x v="24"/>
    <x v="1"/>
    <n v="2500"/>
    <n v="786"/>
    <n v="74"/>
    <s v="Book: paid 2500 on 7/12"/>
    <s v="2022-12"/>
    <s v="Carries forward"/>
  </r>
  <r>
    <d v="2022-12-08T00:00:00"/>
    <x v="24"/>
    <x v="0"/>
    <n v="226"/>
    <m/>
    <n v="74"/>
    <m/>
    <s v="2022-12"/>
    <s v="Carries forward"/>
  </r>
  <r>
    <d v="2022-12-13T00:00:00"/>
    <x v="24"/>
    <x v="0"/>
    <n v="700"/>
    <m/>
    <n v="74"/>
    <m/>
    <s v="2022-12"/>
    <s v="Carries forward"/>
  </r>
  <r>
    <d v="2022-12-24T00:00:00"/>
    <x v="24"/>
    <x v="0"/>
    <n v="536"/>
    <n v="2248"/>
    <n v="74"/>
    <s v="Book: TL 2248"/>
    <s v="2022-12"/>
    <s v="Carries forward"/>
  </r>
  <r>
    <d v="2023-01-03T00:00:00"/>
    <x v="24"/>
    <x v="0"/>
    <n v="804"/>
    <n v="3052"/>
    <n v="74"/>
    <s v="Book: TL 3052"/>
    <s v="2023-01"/>
    <s v="Carries forward"/>
  </r>
  <r>
    <d v="2023-01-10T00:00:00"/>
    <x v="24"/>
    <x v="0"/>
    <n v="188"/>
    <m/>
    <n v="74"/>
    <m/>
    <s v="2023-01"/>
    <s v="Carries forward"/>
  </r>
  <r>
    <d v="2023-01-13T00:00:00"/>
    <x v="24"/>
    <x v="0"/>
    <n v="700"/>
    <m/>
    <n v="74"/>
    <m/>
    <s v="2023-01"/>
    <s v="Carries forward"/>
  </r>
  <r>
    <d v="2023-01-13T00:00:00"/>
    <x v="24"/>
    <x v="0"/>
    <n v="20"/>
    <n v="3960"/>
    <n v="74"/>
    <s v="Small 20 under 700. Book: Tol 3960"/>
    <s v="2023-01"/>
    <s v="Carries forward"/>
  </r>
  <r>
    <d v="2023-01-18T00:00:00"/>
    <x v="24"/>
    <x v="0"/>
    <n v="102"/>
    <m/>
    <n v="74"/>
    <m/>
    <s v="2023-01"/>
    <s v="Carries forward"/>
  </r>
  <r>
    <d v="2023-01-22T00:00:00"/>
    <x v="24"/>
    <x v="0"/>
    <n v="35"/>
    <m/>
    <n v="74"/>
    <m/>
    <s v="2023-01"/>
    <s v="Carries forward"/>
  </r>
  <r>
    <d v="2023-01-26T00:00:00"/>
    <x v="24"/>
    <x v="0"/>
    <n v="820"/>
    <n v="4917"/>
    <n v="74"/>
    <s v="Book: Tol 4917"/>
    <s v="2023-01"/>
    <s v="Carries forward"/>
  </r>
  <r>
    <d v="2023-01-28T00:00:00"/>
    <x v="24"/>
    <x v="0"/>
    <n v="215"/>
    <m/>
    <n v="74"/>
    <m/>
    <s v="2023-01"/>
    <s v="Carries forward"/>
  </r>
  <r>
    <d v="2023-01-28T00:00:00"/>
    <x v="24"/>
    <x v="0"/>
    <n v="30"/>
    <n v="5162"/>
    <n v="74"/>
    <s v="Book: 5162"/>
    <s v="2023-01"/>
    <s v="Carries forward"/>
  </r>
  <r>
    <m/>
    <x v="24"/>
    <x v="1"/>
    <n v="2500"/>
    <n v="2662"/>
    <n v="74"/>
    <s v="Book: paid 2500 (early February), BAKI 2662"/>
    <s v=""/>
    <s v="Carries forward"/>
  </r>
  <r>
    <d v="2023-02-07T00:00:00"/>
    <x v="24"/>
    <x v="0"/>
    <n v="84"/>
    <m/>
    <n v="74"/>
    <m/>
    <s v="2023-02"/>
    <s v="Carries forward"/>
  </r>
  <r>
    <d v="2023-02-07T00:00:00"/>
    <x v="24"/>
    <x v="0"/>
    <n v="740"/>
    <m/>
    <n v="74"/>
    <m/>
    <s v="2023-02"/>
    <s v="Carries forward"/>
  </r>
  <r>
    <d v="2023-02-11T00:00:00"/>
    <x v="24"/>
    <x v="0"/>
    <n v="164"/>
    <m/>
    <n v="74"/>
    <m/>
    <s v="2023-02"/>
    <s v="Carries forward"/>
  </r>
  <r>
    <d v="2023-02-18T00:00:00"/>
    <x v="24"/>
    <x v="0"/>
    <n v="740"/>
    <m/>
    <n v="74"/>
    <m/>
    <s v="2023-02"/>
    <s v="Carries forward"/>
  </r>
  <r>
    <d v="2023-02-20T00:00:00"/>
    <x v="24"/>
    <x v="0"/>
    <n v="62"/>
    <m/>
    <n v="74"/>
    <m/>
    <s v="2023-02"/>
    <s v="Carries forward"/>
  </r>
  <r>
    <d v="2023-02-24T00:00:00"/>
    <x v="24"/>
    <x v="0"/>
    <n v="84"/>
    <m/>
    <n v="74"/>
    <m/>
    <s v="2023-02"/>
    <s v="Carries forward"/>
  </r>
  <r>
    <d v="2023-02-28T00:00:00"/>
    <x v="24"/>
    <x v="0"/>
    <n v="120"/>
    <m/>
    <n v="74"/>
    <m/>
    <s v="2023-02"/>
    <s v="Carries forward"/>
  </r>
  <r>
    <d v="2023-03-02T00:00:00"/>
    <x v="24"/>
    <x v="0"/>
    <n v="350"/>
    <n v="5006"/>
    <n v="74"/>
    <s v="Book: TL 5006"/>
    <s v="2023-03"/>
    <s v="Carries forward"/>
  </r>
  <r>
    <d v="2023-03-02T00:00:00"/>
    <x v="24"/>
    <x v="0"/>
    <n v="41"/>
    <m/>
    <n v="74"/>
    <m/>
    <s v="2023-03"/>
    <s v="Carries forward"/>
  </r>
  <r>
    <d v="2023-03-06T00:00:00"/>
    <x v="24"/>
    <x v="0"/>
    <n v="181"/>
    <m/>
    <n v="74"/>
    <m/>
    <s v="2023-03"/>
    <s v="Carries forward"/>
  </r>
  <r>
    <d v="2023-03-06T00:00:00"/>
    <x v="24"/>
    <x v="0"/>
    <n v="120"/>
    <m/>
    <n v="74"/>
    <m/>
    <s v="2023-03"/>
    <s v="Carries forward"/>
  </r>
  <r>
    <d v="2023-03-12T00:00:00"/>
    <x v="24"/>
    <x v="0"/>
    <n v="320"/>
    <n v="5668"/>
    <n v="74"/>
    <s v="Book: Total 5668"/>
    <s v="2023-03"/>
    <s v="Carries forward"/>
  </r>
  <r>
    <d v="2023-03-25T00:00:00"/>
    <x v="24"/>
    <x v="0"/>
    <n v="411"/>
    <m/>
    <n v="74"/>
    <m/>
    <s v="2023-03"/>
    <s v="Carries forward"/>
  </r>
  <r>
    <d v="2023-03-28T00:00:00"/>
    <x v="24"/>
    <x v="0"/>
    <n v="720"/>
    <n v="6799"/>
    <n v="74"/>
    <s v="Book: TL 6799"/>
    <s v="2023-03"/>
    <s v="Carries forward"/>
  </r>
  <r>
    <d v="2023-04-06T00:00:00"/>
    <x v="24"/>
    <x v="0"/>
    <n v="31"/>
    <n v="6830"/>
    <n v="74"/>
    <s v="Book: TL 6830"/>
    <s v="2023-04"/>
    <s v="Carries forward"/>
  </r>
  <r>
    <d v="2022-09-08T00:00:00"/>
    <x v="25"/>
    <x v="3"/>
    <n v="4427"/>
    <n v="4427"/>
    <n v="140"/>
    <s v="Opening Total 4427 (account 63)"/>
    <s v="2022-09"/>
    <s v="Mixed"/>
  </r>
  <r>
    <d v="2022-09-08T00:00:00"/>
    <x v="25"/>
    <x v="1"/>
    <n v="4427"/>
    <n v="0"/>
    <n v="140"/>
    <s v="Book: paid 4427 on 8/9"/>
    <s v="2022-09"/>
    <s v="Mixed"/>
  </r>
  <r>
    <d v="2022-09-11T00:00:00"/>
    <x v="25"/>
    <x v="0"/>
    <n v="771"/>
    <m/>
    <n v="140"/>
    <m/>
    <s v="2022-09"/>
    <s v="Mixed"/>
  </r>
  <r>
    <d v="2022-09-15T00:00:00"/>
    <x v="25"/>
    <x v="0"/>
    <n v="1391"/>
    <m/>
    <n v="140"/>
    <m/>
    <s v="2022-09"/>
    <s v="Mixed"/>
  </r>
  <r>
    <d v="2022-09-24T00:00:00"/>
    <x v="25"/>
    <x v="0"/>
    <n v="569"/>
    <n v="2731"/>
    <n v="140"/>
    <s v="Book: TL 2731"/>
    <s v="2022-09"/>
    <s v="Mixed"/>
  </r>
  <r>
    <d v="2022-10-03T00:00:00"/>
    <x v="25"/>
    <x v="0"/>
    <n v="872"/>
    <n v="3603"/>
    <n v="140"/>
    <s v="Date written like 3/9. Book: TG 3603"/>
    <s v="2022-10"/>
    <s v="Mixed"/>
  </r>
  <r>
    <d v="2022-10-09T00:00:00"/>
    <x v="25"/>
    <x v="1"/>
    <n v="3000"/>
    <n v="603"/>
    <n v="140"/>
    <s v="Book: paid 3000 on 9/10"/>
    <s v="2022-10"/>
    <s v="Mixed"/>
  </r>
  <r>
    <d v="2022-10-10T00:00:00"/>
    <x v="25"/>
    <x v="0"/>
    <n v="1971"/>
    <m/>
    <n v="140"/>
    <m/>
    <s v="2022-10"/>
    <s v="Mixed"/>
  </r>
  <r>
    <d v="2022-10-18T00:00:00"/>
    <x v="25"/>
    <x v="0"/>
    <n v="217"/>
    <m/>
    <n v="140"/>
    <m/>
    <s v="2022-10"/>
    <s v="Mixed"/>
  </r>
  <r>
    <d v="2022-10-19T00:00:00"/>
    <x v="25"/>
    <x v="0"/>
    <n v="5"/>
    <m/>
    <n v="140"/>
    <m/>
    <s v="2022-10"/>
    <s v="Mixed"/>
  </r>
  <r>
    <d v="2022-10-19T00:00:00"/>
    <x v="25"/>
    <x v="0"/>
    <n v="200"/>
    <m/>
    <n v="140"/>
    <m/>
    <s v="2022-10"/>
    <s v="Mixed"/>
  </r>
  <r>
    <d v="2022-10-19T00:00:00"/>
    <x v="25"/>
    <x v="0"/>
    <n v="100"/>
    <m/>
    <n v="140"/>
    <m/>
    <s v="2022-10"/>
    <s v="Mixed"/>
  </r>
  <r>
    <d v="2022-10-23T00:00:00"/>
    <x v="25"/>
    <x v="0"/>
    <n v="868"/>
    <m/>
    <n v="140"/>
    <m/>
    <s v="2022-10"/>
    <s v="Mixed"/>
  </r>
  <r>
    <d v="2022-10-25T00:00:00"/>
    <x v="25"/>
    <x v="0"/>
    <n v="363"/>
    <m/>
    <n v="140"/>
    <m/>
    <s v="2022-10"/>
    <s v="Mixed"/>
  </r>
  <r>
    <d v="2022-10-27T00:00:00"/>
    <x v="25"/>
    <x v="0"/>
    <n v="60"/>
    <m/>
    <n v="140"/>
    <m/>
    <s v="2022-10"/>
    <s v="Mixed"/>
  </r>
  <r>
    <d v="2022-10-28T00:00:00"/>
    <x v="25"/>
    <x v="0"/>
    <n v="520"/>
    <m/>
    <n v="140"/>
    <m/>
    <s v="2022-10"/>
    <s v="Mixed"/>
  </r>
  <r>
    <d v="2022-10-30T00:00:00"/>
    <x v="25"/>
    <x v="0"/>
    <n v="882"/>
    <m/>
    <n v="140"/>
    <m/>
    <s v="2022-10"/>
    <s v="Mixed"/>
  </r>
  <r>
    <d v="2022-10-30T00:00:00"/>
    <x v="25"/>
    <x v="0"/>
    <n v="45"/>
    <m/>
    <n v="140"/>
    <m/>
    <s v="2022-10"/>
    <s v="Mixed"/>
  </r>
  <r>
    <d v="2022-11-01T00:00:00"/>
    <x v="25"/>
    <x v="0"/>
    <n v="315"/>
    <m/>
    <n v="140"/>
    <m/>
    <s v="2022-11"/>
    <s v="Mixed"/>
  </r>
  <r>
    <d v="2022-11-01T00:00:00"/>
    <x v="25"/>
    <x v="2"/>
    <n v="-1"/>
    <n v="6148"/>
    <n v="140"/>
    <s v="Book total 6148 is 1 less than the lines"/>
    <s v="2022-11"/>
    <s v="Mixed"/>
  </r>
  <r>
    <d v="2022-11-06T00:00:00"/>
    <x v="25"/>
    <x v="1"/>
    <n v="6000"/>
    <n v="148"/>
    <n v="140"/>
    <s v="Book: paid 6000 on 6/11"/>
    <s v="2022-11"/>
    <s v="Mixed"/>
  </r>
  <r>
    <d v="2022-11-08T00:00:00"/>
    <x v="25"/>
    <x v="0"/>
    <n v="3163"/>
    <m/>
    <n v="140"/>
    <m/>
    <s v="2022-11"/>
    <s v="Mixed"/>
  </r>
  <r>
    <d v="2022-11-09T00:00:00"/>
    <x v="25"/>
    <x v="0"/>
    <n v="570"/>
    <m/>
    <n v="140"/>
    <m/>
    <s v="2022-11"/>
    <s v="Mixed"/>
  </r>
  <r>
    <d v="2022-11-16T00:00:00"/>
    <x v="25"/>
    <x v="0"/>
    <n v="725"/>
    <m/>
    <n v="140"/>
    <m/>
    <s v="2022-11"/>
    <s v="Mixed"/>
  </r>
  <r>
    <d v="2022-11-20T00:00:00"/>
    <x v="25"/>
    <x v="0"/>
    <n v="220"/>
    <m/>
    <n v="140"/>
    <m/>
    <s v="2022-11"/>
    <s v="Mixed"/>
  </r>
  <r>
    <d v="2022-11-20T00:00:00"/>
    <x v="25"/>
    <x v="0"/>
    <n v="176"/>
    <m/>
    <n v="140"/>
    <m/>
    <s v="2022-11"/>
    <s v="Mixed"/>
  </r>
  <r>
    <d v="2022-11-27T00:00:00"/>
    <x v="25"/>
    <x v="0"/>
    <n v="1593"/>
    <n v="6595"/>
    <n v="140"/>
    <s v="Book: Total 6595"/>
    <s v="2022-11"/>
    <s v="Mixed"/>
  </r>
  <r>
    <m/>
    <x v="25"/>
    <x v="1"/>
    <n v="6500"/>
    <n v="95"/>
    <n v="140"/>
    <s v="Book: paid 6500 (late November)"/>
    <s v=""/>
    <s v="Mixed"/>
  </r>
  <r>
    <d v="2022-12-07T00:00:00"/>
    <x v="25"/>
    <x v="0"/>
    <n v="1286"/>
    <m/>
    <n v="140"/>
    <s v="Crossed-out 80 above not counted"/>
    <s v="2022-12"/>
    <s v="Mixed"/>
  </r>
  <r>
    <d v="2022-12-14T00:00:00"/>
    <x v="25"/>
    <x v="0"/>
    <n v="1973"/>
    <m/>
    <n v="140"/>
    <m/>
    <s v="2022-12"/>
    <s v="Mixed"/>
  </r>
  <r>
    <d v="2022-12-18T00:00:00"/>
    <x v="25"/>
    <x v="0"/>
    <n v="562"/>
    <m/>
    <n v="140"/>
    <m/>
    <s v="2022-12"/>
    <s v="Mixed"/>
  </r>
  <r>
    <d v="2022-12-22T00:00:00"/>
    <x v="25"/>
    <x v="0"/>
    <n v="276"/>
    <m/>
    <n v="140"/>
    <m/>
    <s v="2022-12"/>
    <s v="Mixed"/>
  </r>
  <r>
    <d v="2022-12-27T00:00:00"/>
    <x v="25"/>
    <x v="0"/>
    <n v="392"/>
    <m/>
    <n v="140"/>
    <m/>
    <s v="2022-12"/>
    <s v="Mixed"/>
  </r>
  <r>
    <d v="2023-01-01T00:00:00"/>
    <x v="25"/>
    <x v="0"/>
    <n v="2096"/>
    <n v="6680"/>
    <n v="140"/>
    <s v="Book: TC 6680"/>
    <s v="2023-01"/>
    <s v="Mixed"/>
  </r>
  <r>
    <d v="2023-01-05T00:00:00"/>
    <x v="25"/>
    <x v="1"/>
    <n v="3000"/>
    <n v="3680"/>
    <n v="140"/>
    <s v="Book: paid 3000, BAK 3680"/>
    <s v="2023-01"/>
    <s v="Mixed"/>
  </r>
  <r>
    <d v="2023-01-05T00:00:00"/>
    <x v="25"/>
    <x v="1"/>
    <n v="500"/>
    <n v="3180"/>
    <n v="140"/>
    <s v="Book: paid 500 on 5/1, BAKI 3180"/>
    <s v="2023-01"/>
    <s v="Mixed"/>
  </r>
  <r>
    <d v="2023-01-05T00:00:00"/>
    <x v="25"/>
    <x v="0"/>
    <n v="117"/>
    <m/>
    <n v="140"/>
    <m/>
    <s v="2023-01"/>
    <s v="Mixed"/>
  </r>
  <r>
    <d v="2023-01-14T00:00:00"/>
    <x v="25"/>
    <x v="0"/>
    <n v="606"/>
    <m/>
    <n v="140"/>
    <m/>
    <s v="2023-01"/>
    <s v="Mixed"/>
  </r>
  <r>
    <d v="2023-01-16T00:00:00"/>
    <x v="25"/>
    <x v="0"/>
    <n v="90"/>
    <m/>
    <n v="140"/>
    <m/>
    <s v="2023-01"/>
    <s v="Mixed"/>
  </r>
  <r>
    <d v="2023-01-18T00:00:00"/>
    <x v="25"/>
    <x v="0"/>
    <n v="967"/>
    <m/>
    <n v="140"/>
    <m/>
    <s v="2023-01"/>
    <s v="Mixed"/>
  </r>
  <r>
    <d v="2023-01-21T00:00:00"/>
    <x v="25"/>
    <x v="0"/>
    <n v="439"/>
    <m/>
    <n v="140"/>
    <m/>
    <s v="2023-01"/>
    <s v="Mixed"/>
  </r>
  <r>
    <d v="2023-01-20T00:00:00"/>
    <x v="25"/>
    <x v="0"/>
    <n v="75"/>
    <m/>
    <n v="140"/>
    <m/>
    <s v="2023-01"/>
    <s v="Mixed"/>
  </r>
  <r>
    <d v="2023-01-24T00:00:00"/>
    <x v="25"/>
    <x v="0"/>
    <n v="141"/>
    <m/>
    <n v="140"/>
    <m/>
    <s v="2023-01"/>
    <s v="Mixed"/>
  </r>
  <r>
    <d v="2023-01-25T00:00:00"/>
    <x v="25"/>
    <x v="0"/>
    <n v="485"/>
    <m/>
    <n v="140"/>
    <m/>
    <s v="2023-01"/>
    <s v="Mixed"/>
  </r>
  <r>
    <d v="2023-01-26T00:00:00"/>
    <x v="25"/>
    <x v="0"/>
    <n v="300"/>
    <m/>
    <n v="140"/>
    <m/>
    <s v="2023-01"/>
    <s v="Mixed"/>
  </r>
  <r>
    <d v="2023-01-26T00:00:00"/>
    <x v="25"/>
    <x v="0"/>
    <n v="200"/>
    <m/>
    <n v="140"/>
    <s v="CASH given to the customer (written '200 CASH')"/>
    <s v="2023-01"/>
    <s v="Mixed"/>
  </r>
  <r>
    <d v="2023-01-28T00:00:00"/>
    <x v="25"/>
    <x v="0"/>
    <n v="45"/>
    <m/>
    <n v="140"/>
    <m/>
    <s v="2023-01"/>
    <s v="Mixed"/>
  </r>
  <r>
    <d v="2023-01-29T00:00:00"/>
    <x v="25"/>
    <x v="0"/>
    <n v="50"/>
    <m/>
    <n v="140"/>
    <m/>
    <s v="2023-01"/>
    <s v="Mixed"/>
  </r>
  <r>
    <d v="2023-01-31T00:00:00"/>
    <x v="25"/>
    <x v="0"/>
    <n v="297"/>
    <m/>
    <n v="140"/>
    <m/>
    <s v="2023-01"/>
    <s v="Mixed"/>
  </r>
  <r>
    <d v="2023-01-31T00:00:00"/>
    <x v="25"/>
    <x v="2"/>
    <n v="11"/>
    <n v="7003"/>
    <n v="140"/>
    <s v="Book total 7003 is 11 more than the lines"/>
    <s v="2023-01"/>
    <s v="Mixed"/>
  </r>
  <r>
    <m/>
    <x v="25"/>
    <x v="1"/>
    <n v="5000"/>
    <n v="2003"/>
    <n v="140"/>
    <s v="Book: paid 5000, BAK 2003"/>
    <s v=""/>
    <s v="Mixed"/>
  </r>
  <r>
    <d v="2023-02-12T00:00:00"/>
    <x v="25"/>
    <x v="0"/>
    <n v="1473"/>
    <m/>
    <n v="140"/>
    <m/>
    <s v="2023-02"/>
    <s v="Mixed"/>
  </r>
  <r>
    <d v="2023-02-13T00:00:00"/>
    <x v="25"/>
    <x v="0"/>
    <n v="120"/>
    <m/>
    <n v="140"/>
    <m/>
    <s v="2023-02"/>
    <s v="Mixed"/>
  </r>
  <r>
    <d v="2023-02-13T00:00:00"/>
    <x v="25"/>
    <x v="0"/>
    <n v="182"/>
    <m/>
    <n v="140"/>
    <m/>
    <s v="2023-02"/>
    <s v="Mixed"/>
  </r>
  <r>
    <d v="2023-02-18T00:00:00"/>
    <x v="25"/>
    <x v="0"/>
    <n v="417"/>
    <m/>
    <n v="140"/>
    <m/>
    <s v="2023-02"/>
    <s v="Mixed"/>
  </r>
  <r>
    <d v="2023-02-20T00:00:00"/>
    <x v="25"/>
    <x v="0"/>
    <n v="870"/>
    <m/>
    <n v="140"/>
    <m/>
    <s v="2023-02"/>
    <s v="Mixed"/>
  </r>
  <r>
    <d v="2023-02-22T00:00:00"/>
    <x v="25"/>
    <x v="0"/>
    <n v="178"/>
    <m/>
    <n v="140"/>
    <m/>
    <s v="2023-02"/>
    <s v="Mixed"/>
  </r>
  <r>
    <d v="2023-02-23T00:00:00"/>
    <x v="25"/>
    <x v="0"/>
    <n v="40"/>
    <m/>
    <n v="140"/>
    <m/>
    <s v="2023-02"/>
    <s v="Mixed"/>
  </r>
  <r>
    <d v="2023-02-25T00:00:00"/>
    <x v="25"/>
    <x v="0"/>
    <n v="990"/>
    <m/>
    <n v="140"/>
    <m/>
    <s v="2023-02"/>
    <s v="Mixed"/>
  </r>
  <r>
    <d v="2023-02-26T00:00:00"/>
    <x v="25"/>
    <x v="0"/>
    <n v="214"/>
    <m/>
    <n v="140"/>
    <m/>
    <s v="2023-02"/>
    <s v="Mixed"/>
  </r>
  <r>
    <d v="2023-02-27T00:00:00"/>
    <x v="25"/>
    <x v="0"/>
    <n v="80"/>
    <m/>
    <n v="140"/>
    <m/>
    <s v="2023-02"/>
    <s v="Mixed"/>
  </r>
  <r>
    <d v="2023-03-05T00:00:00"/>
    <x v="25"/>
    <x v="0"/>
    <n v="912"/>
    <m/>
    <n v="140"/>
    <m/>
    <s v="2023-03"/>
    <s v="Mixed"/>
  </r>
  <r>
    <d v="2023-03-05T00:00:00"/>
    <x v="25"/>
    <x v="2"/>
    <n v="-158"/>
    <n v="7321"/>
    <n v="140"/>
    <s v="CHECK: Book total 7321 is 158 less than the lines"/>
    <s v="2023-03"/>
    <s v="Mixed"/>
  </r>
  <r>
    <d v="2023-03-07T00:00:00"/>
    <x v="25"/>
    <x v="1"/>
    <n v="5000"/>
    <n v="2321"/>
    <n v="140"/>
    <s v="Book: paid 5000 (date looks like 7/3), BAL 2321"/>
    <s v="2023-03"/>
    <s v="Mixed"/>
  </r>
  <r>
    <d v="2023-03-20T00:00:00"/>
    <x v="25"/>
    <x v="0"/>
    <n v="1668"/>
    <m/>
    <n v="140"/>
    <m/>
    <s v="2023-03"/>
    <s v="Mixed"/>
  </r>
  <r>
    <d v="2023-03-21T00:00:00"/>
    <x v="25"/>
    <x v="0"/>
    <n v="85"/>
    <m/>
    <n v="140"/>
    <m/>
    <s v="2023-03"/>
    <s v="Mixed"/>
  </r>
  <r>
    <d v="2023-03-23T00:00:00"/>
    <x v="25"/>
    <x v="0"/>
    <n v="100"/>
    <m/>
    <n v="140"/>
    <m/>
    <s v="2023-03"/>
    <s v="Mixed"/>
  </r>
  <r>
    <d v="2023-03-25T00:00:00"/>
    <x v="25"/>
    <x v="0"/>
    <n v="70"/>
    <m/>
    <n v="140"/>
    <m/>
    <s v="2023-03"/>
    <s v="Mixed"/>
  </r>
  <r>
    <d v="2023-03-26T00:00:00"/>
    <x v="25"/>
    <x v="0"/>
    <n v="270"/>
    <n v="4514"/>
    <n v="140"/>
    <s v="Book: Total 4514"/>
    <s v="2023-03"/>
    <s v="Mixed"/>
  </r>
  <r>
    <d v="2023-04-08T00:00:00"/>
    <x v="25"/>
    <x v="0"/>
    <n v="780"/>
    <n v="5294"/>
    <n v="140"/>
    <s v="Book: TL 5294"/>
    <s v="2023-04"/>
    <s v="Mixed"/>
  </r>
  <r>
    <m/>
    <x v="25"/>
    <x v="1"/>
    <n v="5000"/>
    <n v="294"/>
    <n v="140"/>
    <s v="Book: paid 5000 (April), BAK 294"/>
    <s v=""/>
    <s v="Mixed"/>
  </r>
  <r>
    <d v="2023-04-09T00:00:00"/>
    <x v="25"/>
    <x v="0"/>
    <n v="870"/>
    <m/>
    <n v="140"/>
    <m/>
    <s v="2023-04"/>
    <s v="Mixed"/>
  </r>
  <r>
    <d v="2023-04-16T00:00:00"/>
    <x v="25"/>
    <x v="0"/>
    <n v="1132"/>
    <m/>
    <n v="140"/>
    <m/>
    <s v="2023-04"/>
    <s v="Mixed"/>
  </r>
  <r>
    <d v="2023-04-17T00:00:00"/>
    <x v="25"/>
    <x v="0"/>
    <n v="225"/>
    <m/>
    <n v="140"/>
    <m/>
    <s v="2023-04"/>
    <s v="Mixed"/>
  </r>
  <r>
    <d v="2023-04-24T00:00:00"/>
    <x v="25"/>
    <x v="0"/>
    <n v="50"/>
    <m/>
    <n v="140"/>
    <m/>
    <s v="2023-04"/>
    <s v="Mixed"/>
  </r>
  <r>
    <d v="2023-04-24T00:00:00"/>
    <x v="25"/>
    <x v="0"/>
    <n v="766"/>
    <m/>
    <n v="140"/>
    <s v="Date written like 24/6"/>
    <s v="2023-04"/>
    <s v="Mixed"/>
  </r>
  <r>
    <d v="2023-04-28T00:00:00"/>
    <x v="25"/>
    <x v="0"/>
    <n v="280"/>
    <m/>
    <n v="140"/>
    <m/>
    <s v="2023-04"/>
    <s v="Mixed"/>
  </r>
  <r>
    <d v="2023-05-01T00:00:00"/>
    <x v="25"/>
    <x v="0"/>
    <n v="33"/>
    <m/>
    <n v="140"/>
    <m/>
    <s v="2023-05"/>
    <s v="Mixed"/>
  </r>
  <r>
    <d v="2023-05-01T00:00:00"/>
    <x v="25"/>
    <x v="2"/>
    <n v="30"/>
    <n v="3680"/>
    <n v="140"/>
    <s v="Book total 3680 is 30 more than the lines"/>
    <s v="2023-05"/>
    <s v="Mixed"/>
  </r>
  <r>
    <m/>
    <x v="25"/>
    <x v="1"/>
    <n v="3600"/>
    <n v="80"/>
    <n v="140"/>
    <s v="Book: paid 3600, balance 80"/>
    <s v=""/>
    <s v="Mixed"/>
  </r>
  <r>
    <d v="2023-05-06T00:00:00"/>
    <x v="25"/>
    <x v="0"/>
    <n v="210"/>
    <m/>
    <n v="140"/>
    <m/>
    <s v="2023-05"/>
    <s v="Mixed"/>
  </r>
  <r>
    <d v="2023-05-19T00:00:00"/>
    <x v="25"/>
    <x v="0"/>
    <n v="1625"/>
    <m/>
    <n v="140"/>
    <m/>
    <s v="2023-05"/>
    <s v="Mixed"/>
  </r>
  <r>
    <d v="2023-05-24T00:00:00"/>
    <x v="25"/>
    <x v="0"/>
    <n v="153"/>
    <m/>
    <n v="140"/>
    <m/>
    <s v="2023-05"/>
    <s v="Mixed"/>
  </r>
  <r>
    <d v="2023-05-25T00:00:00"/>
    <x v="25"/>
    <x v="0"/>
    <n v="110"/>
    <m/>
    <n v="140"/>
    <m/>
    <s v="2023-05"/>
    <s v="Mixed"/>
  </r>
  <r>
    <d v="2023-05-28T00:00:00"/>
    <x v="25"/>
    <x v="0"/>
    <n v="734"/>
    <m/>
    <n v="140"/>
    <m/>
    <s v="2023-05"/>
    <s v="Mixed"/>
  </r>
  <r>
    <d v="2023-06-01T00:00:00"/>
    <x v="25"/>
    <x v="0"/>
    <n v="30"/>
    <n v="2942"/>
    <n v="140"/>
    <s v="Book: Total 2942"/>
    <s v="2023-06"/>
    <s v="Mixed"/>
  </r>
  <r>
    <d v="2022-09-07T00:00:00"/>
    <x v="26"/>
    <x v="3"/>
    <n v="7444"/>
    <n v="7444"/>
    <n v="188"/>
    <s v="Opening Total 7444 (account 87, older book of the S.P.S. account)"/>
    <s v="2022-09"/>
    <s v="Mixed"/>
  </r>
  <r>
    <d v="2022-09-07T00:00:00"/>
    <x v="26"/>
    <x v="0"/>
    <n v="273"/>
    <m/>
    <n v="188"/>
    <m/>
    <s v="2022-09"/>
    <s v="Mixed"/>
  </r>
  <r>
    <d v="2022-09-08T00:00:00"/>
    <x v="26"/>
    <x v="0"/>
    <n v="210"/>
    <m/>
    <n v="188"/>
    <m/>
    <s v="2022-09"/>
    <s v="Mixed"/>
  </r>
  <r>
    <d v="2022-09-09T00:00:00"/>
    <x v="26"/>
    <x v="0"/>
    <n v="300"/>
    <n v="8227"/>
    <n v="188"/>
    <s v="Book: Total 8227"/>
    <s v="2022-09"/>
    <s v="Mixed"/>
  </r>
  <r>
    <m/>
    <x v="26"/>
    <x v="1"/>
    <n v="6000"/>
    <n v="2227"/>
    <n v="188"/>
    <s v="Book: paid 6000 (September), BAK 2227"/>
    <s v=""/>
    <s v="Mixed"/>
  </r>
  <r>
    <m/>
    <x v="26"/>
    <x v="1"/>
    <n v="2227"/>
    <n v="0"/>
    <n v="188"/>
    <s v="Book: 2227 written again and crossed = paid"/>
    <s v=""/>
    <s v="Mixed"/>
  </r>
  <r>
    <d v="2022-09-09T00:00:00"/>
    <x v="26"/>
    <x v="0"/>
    <n v="276"/>
    <m/>
    <n v="188"/>
    <s v="Dates in this block written like 9/8, 10/8 (read as September)"/>
    <s v="2022-09"/>
    <s v="Mixed"/>
  </r>
  <r>
    <d v="2022-09-10T00:00:00"/>
    <x v="26"/>
    <x v="0"/>
    <n v="3178"/>
    <m/>
    <n v="188"/>
    <m/>
    <s v="2022-09"/>
    <s v="Mixed"/>
  </r>
  <r>
    <d v="2022-09-12T00:00:00"/>
    <x v="26"/>
    <x v="0"/>
    <n v="155"/>
    <m/>
    <n v="188"/>
    <m/>
    <s v="2022-09"/>
    <s v="Mixed"/>
  </r>
  <r>
    <d v="2022-09-13T00:00:00"/>
    <x v="26"/>
    <x v="0"/>
    <n v="236"/>
    <m/>
    <n v="188"/>
    <m/>
    <s v="2022-09"/>
    <s v="Mixed"/>
  </r>
  <r>
    <d v="2022-09-15T00:00:00"/>
    <x v="26"/>
    <x v="0"/>
    <n v="180"/>
    <m/>
    <n v="188"/>
    <m/>
    <s v="2022-09"/>
    <s v="Mixed"/>
  </r>
  <r>
    <d v="2022-09-16T00:00:00"/>
    <x v="26"/>
    <x v="0"/>
    <n v="149"/>
    <m/>
    <n v="188"/>
    <m/>
    <s v="2022-09"/>
    <s v="Mixed"/>
  </r>
  <r>
    <d v="2022-09-19T00:00:00"/>
    <x v="26"/>
    <x v="0"/>
    <n v="182"/>
    <m/>
    <n v="188"/>
    <m/>
    <s v="2022-09"/>
    <s v="Mixed"/>
  </r>
  <r>
    <d v="2022-09-20T00:00:00"/>
    <x v="26"/>
    <x v="0"/>
    <n v="146"/>
    <m/>
    <n v="188"/>
    <m/>
    <s v="2022-09"/>
    <s v="Mixed"/>
  </r>
  <r>
    <d v="2022-09-21T00:00:00"/>
    <x v="26"/>
    <x v="0"/>
    <n v="173"/>
    <m/>
    <n v="188"/>
    <m/>
    <s v="2022-09"/>
    <s v="Mixed"/>
  </r>
  <r>
    <d v="2022-09-23T00:00:00"/>
    <x v="26"/>
    <x v="0"/>
    <n v="140"/>
    <m/>
    <n v="188"/>
    <m/>
    <s v="2022-09"/>
    <s v="Mixed"/>
  </r>
  <r>
    <d v="2022-09-25T00:00:00"/>
    <x v="26"/>
    <x v="0"/>
    <n v="119"/>
    <m/>
    <n v="188"/>
    <m/>
    <s v="2022-09"/>
    <s v="Mixed"/>
  </r>
  <r>
    <d v="2022-09-26T00:00:00"/>
    <x v="26"/>
    <x v="0"/>
    <n v="296"/>
    <m/>
    <n v="188"/>
    <m/>
    <s v="2022-09"/>
    <s v="Mixed"/>
  </r>
  <r>
    <d v="2022-09-27T00:00:00"/>
    <x v="26"/>
    <x v="0"/>
    <n v="175"/>
    <m/>
    <n v="188"/>
    <m/>
    <s v="2022-09"/>
    <s v="Mixed"/>
  </r>
  <r>
    <d v="2022-09-29T00:00:00"/>
    <x v="26"/>
    <x v="0"/>
    <n v="34"/>
    <m/>
    <n v="188"/>
    <m/>
    <s v="2022-09"/>
    <s v="Mixed"/>
  </r>
  <r>
    <d v="2022-10-02T00:00:00"/>
    <x v="26"/>
    <x v="0"/>
    <n v="412"/>
    <m/>
    <n v="188"/>
    <m/>
    <s v="2022-10"/>
    <s v="Mixed"/>
  </r>
  <r>
    <d v="2022-10-02T00:00:00"/>
    <x v="26"/>
    <x v="0"/>
    <n v="40"/>
    <m/>
    <n v="188"/>
    <m/>
    <s v="2022-10"/>
    <s v="Mixed"/>
  </r>
  <r>
    <d v="2022-10-03T00:00:00"/>
    <x v="26"/>
    <x v="0"/>
    <n v="170"/>
    <m/>
    <n v="188"/>
    <m/>
    <s v="2022-10"/>
    <s v="Mixed"/>
  </r>
  <r>
    <d v="2022-10-04T00:00:00"/>
    <x v="26"/>
    <x v="0"/>
    <n v="97"/>
    <m/>
    <n v="188"/>
    <m/>
    <s v="2022-10"/>
    <s v="Mixed"/>
  </r>
  <r>
    <d v="2022-10-06T00:00:00"/>
    <x v="26"/>
    <x v="0"/>
    <n v="45"/>
    <m/>
    <n v="188"/>
    <m/>
    <s v="2022-10"/>
    <s v="Mixed"/>
  </r>
  <r>
    <d v="2022-10-08T00:00:00"/>
    <x v="26"/>
    <x v="0"/>
    <n v="70"/>
    <m/>
    <n v="188"/>
    <m/>
    <s v="2022-10"/>
    <s v="Mixed"/>
  </r>
  <r>
    <d v="2022-10-08T00:00:00"/>
    <x v="26"/>
    <x v="2"/>
    <n v="-80"/>
    <n v="6193"/>
    <n v="188"/>
    <s v="Book total 6193 is 80 less than the lines"/>
    <s v="2022-10"/>
    <s v="Mixed"/>
  </r>
  <r>
    <m/>
    <x v="26"/>
    <x v="1"/>
    <n v="3000"/>
    <n v="3193"/>
    <n v="188"/>
    <s v="Book: paid 3000, BAK 3193"/>
    <s v=""/>
    <s v="Mixed"/>
  </r>
  <r>
    <d v="2022-10-12T00:00:00"/>
    <x v="26"/>
    <x v="1"/>
    <n v="2700"/>
    <n v="493"/>
    <n v="188"/>
    <s v="Book: paid 2700 on 12/10, BAK 493"/>
    <s v="2022-10"/>
    <s v="Mixed"/>
  </r>
  <r>
    <m/>
    <x v="26"/>
    <x v="1"/>
    <n v="493"/>
    <n v="0"/>
    <n v="188"/>
    <s v="CHECK: BAK 493 is not in the next total (9074 = only the new lines), read as paid"/>
    <s v=""/>
    <s v="Mixed"/>
  </r>
  <r>
    <d v="2022-10-11T00:00:00"/>
    <x v="26"/>
    <x v="0"/>
    <n v="3383"/>
    <m/>
    <n v="188"/>
    <m/>
    <s v="2022-10"/>
    <s v="Mixed"/>
  </r>
  <r>
    <d v="2022-10-12T00:00:00"/>
    <x v="26"/>
    <x v="0"/>
    <n v="197"/>
    <m/>
    <n v="188"/>
    <m/>
    <s v="2022-10"/>
    <s v="Mixed"/>
  </r>
  <r>
    <d v="2022-10-17T00:00:00"/>
    <x v="26"/>
    <x v="0"/>
    <n v="60"/>
    <m/>
    <n v="188"/>
    <m/>
    <s v="2022-10"/>
    <s v="Mixed"/>
  </r>
  <r>
    <d v="2022-10-19T00:00:00"/>
    <x v="26"/>
    <x v="0"/>
    <n v="252"/>
    <m/>
    <n v="188"/>
    <m/>
    <s v="2022-10"/>
    <s v="Mixed"/>
  </r>
  <r>
    <d v="2022-10-21T00:00:00"/>
    <x v="26"/>
    <x v="0"/>
    <n v="403"/>
    <m/>
    <n v="188"/>
    <m/>
    <s v="2022-10"/>
    <s v="Mixed"/>
  </r>
  <r>
    <d v="2022-10-23T00:00:00"/>
    <x v="26"/>
    <x v="0"/>
    <n v="320"/>
    <m/>
    <n v="188"/>
    <m/>
    <s v="2022-10"/>
    <s v="Mixed"/>
  </r>
  <r>
    <d v="2022-10-24T00:00:00"/>
    <x v="26"/>
    <x v="0"/>
    <n v="250"/>
    <m/>
    <n v="188"/>
    <m/>
    <s v="2022-10"/>
    <s v="Mixed"/>
  </r>
  <r>
    <d v="2022-10-25T00:00:00"/>
    <x v="26"/>
    <x v="0"/>
    <n v="138"/>
    <m/>
    <n v="188"/>
    <m/>
    <s v="2022-10"/>
    <s v="Mixed"/>
  </r>
  <r>
    <d v="2022-10-26T00:00:00"/>
    <x v="26"/>
    <x v="0"/>
    <n v="2445"/>
    <m/>
    <n v="188"/>
    <m/>
    <s v="2022-10"/>
    <s v="Mixed"/>
  </r>
  <r>
    <d v="2022-10-28T00:00:00"/>
    <x v="26"/>
    <x v="0"/>
    <n v="120"/>
    <m/>
    <n v="188"/>
    <m/>
    <s v="2022-10"/>
    <s v="Mixed"/>
  </r>
  <r>
    <d v="2022-10-29T00:00:00"/>
    <x v="26"/>
    <x v="0"/>
    <n v="185"/>
    <m/>
    <n v="188"/>
    <m/>
    <s v="2022-10"/>
    <s v="Mixed"/>
  </r>
  <r>
    <d v="2022-10-31T00:00:00"/>
    <x v="26"/>
    <x v="0"/>
    <n v="36"/>
    <m/>
    <n v="188"/>
    <m/>
    <s v="2022-10"/>
    <s v="Mixed"/>
  </r>
  <r>
    <d v="2022-11-02T00:00:00"/>
    <x v="26"/>
    <x v="0"/>
    <n v="360"/>
    <m/>
    <n v="188"/>
    <m/>
    <s v="2022-11"/>
    <s v="Mixed"/>
  </r>
  <r>
    <d v="2022-11-02T00:00:00"/>
    <x v="26"/>
    <x v="0"/>
    <n v="25"/>
    <m/>
    <n v="188"/>
    <m/>
    <s v="2022-11"/>
    <s v="Mixed"/>
  </r>
  <r>
    <d v="2022-11-03T00:00:00"/>
    <x v="26"/>
    <x v="0"/>
    <n v="190"/>
    <m/>
    <n v="188"/>
    <m/>
    <s v="2022-11"/>
    <s v="Mixed"/>
  </r>
  <r>
    <d v="2022-11-06T00:00:00"/>
    <x v="26"/>
    <x v="0"/>
    <n v="452"/>
    <m/>
    <n v="188"/>
    <m/>
    <s v="2022-11"/>
    <s v="Mixed"/>
  </r>
  <r>
    <d v="2022-11-09T00:00:00"/>
    <x v="26"/>
    <x v="0"/>
    <n v="258"/>
    <n v="9074"/>
    <n v="188"/>
    <s v="Book: Tol 9074"/>
    <s v="2022-11"/>
    <s v="Mixed"/>
  </r>
  <r>
    <d v="2022-11-11T00:00:00"/>
    <x v="26"/>
    <x v="1"/>
    <n v="8000"/>
    <n v="1074"/>
    <n v="188"/>
    <s v="Book: paid 8000 on 11/11, BAK 1074"/>
    <s v="2022-11"/>
    <s v="Mixed"/>
  </r>
  <r>
    <m/>
    <x v="26"/>
    <x v="1"/>
    <n v="500"/>
    <n v="574"/>
    <n v="188"/>
    <s v="Book: paid 500, BAKI 574"/>
    <s v=""/>
    <s v="Mixed"/>
  </r>
  <r>
    <m/>
    <x v="26"/>
    <x v="1"/>
    <n v="500"/>
    <n v="74"/>
    <n v="188"/>
    <s v="CHECK: next total 8131 = new lines + 74, so another 500 was paid"/>
    <s v=""/>
    <s v="Mixed"/>
  </r>
  <r>
    <d v="2022-11-10T00:00:00"/>
    <x v="26"/>
    <x v="0"/>
    <n v="3817"/>
    <m/>
    <n v="188"/>
    <m/>
    <s v="2022-11"/>
    <s v="Mixed"/>
  </r>
  <r>
    <d v="2022-11-11T00:00:00"/>
    <x v="26"/>
    <x v="0"/>
    <n v="77"/>
    <m/>
    <n v="188"/>
    <m/>
    <s v="2022-11"/>
    <s v="Mixed"/>
  </r>
  <r>
    <d v="2022-11-17T00:00:00"/>
    <x v="26"/>
    <x v="0"/>
    <n v="385"/>
    <m/>
    <n v="188"/>
    <m/>
    <s v="2022-11"/>
    <s v="Mixed"/>
  </r>
  <r>
    <d v="2022-11-18T00:00:00"/>
    <x v="26"/>
    <x v="0"/>
    <n v="156"/>
    <m/>
    <n v="188"/>
    <m/>
    <s v="2022-11"/>
    <s v="Mixed"/>
  </r>
  <r>
    <d v="2022-11-20T00:00:00"/>
    <x v="26"/>
    <x v="0"/>
    <n v="250"/>
    <m/>
    <n v="188"/>
    <m/>
    <s v="2022-11"/>
    <s v="Mixed"/>
  </r>
  <r>
    <d v="2022-11-23T00:00:00"/>
    <x v="26"/>
    <x v="0"/>
    <n v="332"/>
    <m/>
    <n v="188"/>
    <m/>
    <s v="2022-11"/>
    <s v="Mixed"/>
  </r>
  <r>
    <d v="2022-11-25T00:00:00"/>
    <x v="26"/>
    <x v="0"/>
    <n v="394"/>
    <m/>
    <n v="188"/>
    <m/>
    <s v="2022-11"/>
    <s v="Mixed"/>
  </r>
  <r>
    <d v="2022-11-27T00:00:00"/>
    <x v="26"/>
    <x v="0"/>
    <n v="1000"/>
    <m/>
    <n v="188"/>
    <m/>
    <s v="2022-11"/>
    <s v="Mixed"/>
  </r>
  <r>
    <d v="2022-11-30T00:00:00"/>
    <x v="26"/>
    <x v="0"/>
    <n v="196"/>
    <m/>
    <n v="188"/>
    <m/>
    <s v="2022-11"/>
    <s v="Mixed"/>
  </r>
  <r>
    <d v="2022-12-03T00:00:00"/>
    <x v="26"/>
    <x v="0"/>
    <n v="397"/>
    <m/>
    <n v="188"/>
    <m/>
    <s v="2022-12"/>
    <s v="Mixed"/>
  </r>
  <r>
    <d v="2022-12-05T00:00:00"/>
    <x v="26"/>
    <x v="0"/>
    <n v="285"/>
    <m/>
    <n v="188"/>
    <m/>
    <s v="2022-12"/>
    <s v="Mixed"/>
  </r>
  <r>
    <d v="2022-12-07T00:00:00"/>
    <x v="26"/>
    <x v="0"/>
    <n v="501"/>
    <m/>
    <n v="188"/>
    <m/>
    <s v="2022-12"/>
    <s v="Mixed"/>
  </r>
  <r>
    <d v="2022-12-08T00:00:00"/>
    <x v="26"/>
    <x v="0"/>
    <n v="137"/>
    <m/>
    <n v="188"/>
    <m/>
    <s v="2022-12"/>
    <s v="Mixed"/>
  </r>
  <r>
    <d v="2022-12-08T00:00:00"/>
    <x v="26"/>
    <x v="0"/>
    <n v="120"/>
    <m/>
    <n v="188"/>
    <m/>
    <s v="2022-12"/>
    <s v="Mixed"/>
  </r>
  <r>
    <d v="2022-12-08T00:00:00"/>
    <x v="26"/>
    <x v="0"/>
    <n v="10"/>
    <n v="8131"/>
    <n v="188"/>
    <s v="Book: Tot 8131"/>
    <s v="2022-12"/>
    <s v="Mixed"/>
  </r>
  <r>
    <d v="2022-12-10T00:00:00"/>
    <x v="26"/>
    <x v="1"/>
    <n v="8100"/>
    <n v="31"/>
    <n v="188"/>
    <s v="Book: paid 8100 on 10/12"/>
    <s v="2022-12"/>
    <s v="Mixed"/>
  </r>
  <r>
    <d v="2022-12-10T00:00:00"/>
    <x v="26"/>
    <x v="2"/>
    <n v="-31"/>
    <n v="0"/>
    <n v="188"/>
    <s v="31 let go"/>
    <s v="2022-12"/>
    <s v="Mixed"/>
  </r>
  <r>
    <d v="2022-12-10T00:00:00"/>
    <x v="26"/>
    <x v="0"/>
    <n v="3397"/>
    <m/>
    <n v="188"/>
    <s v="Older book (pages 188-189), same S.P.S. account. Starts after Tol 8131 paid 8100 on 10/12"/>
    <s v="2022-12"/>
    <s v="Mixed"/>
  </r>
  <r>
    <d v="2022-12-10T00:00:00"/>
    <x v="26"/>
    <x v="0"/>
    <n v="77"/>
    <m/>
    <n v="188"/>
    <m/>
    <s v="2022-12"/>
    <s v="Mixed"/>
  </r>
  <r>
    <d v="2022-12-10T00:00:00"/>
    <x v="26"/>
    <x v="0"/>
    <n v="155"/>
    <m/>
    <n v="188"/>
    <m/>
    <s v="2022-12"/>
    <s v="Mixed"/>
  </r>
  <r>
    <d v="2022-12-12T00:00:00"/>
    <x v="26"/>
    <x v="0"/>
    <n v="209"/>
    <m/>
    <n v="188"/>
    <m/>
    <s v="2022-12"/>
    <s v="Mixed"/>
  </r>
  <r>
    <d v="2022-12-12T00:00:00"/>
    <x v="26"/>
    <x v="0"/>
    <n v="13"/>
    <m/>
    <n v="188"/>
    <m/>
    <s v="2022-12"/>
    <s v="Mixed"/>
  </r>
  <r>
    <d v="2022-12-12T00:00:00"/>
    <x v="26"/>
    <x v="0"/>
    <n v="45"/>
    <m/>
    <n v="188"/>
    <m/>
    <s v="2022-12"/>
    <s v="Mixed"/>
  </r>
  <r>
    <d v="2022-12-13T00:00:00"/>
    <x v="26"/>
    <x v="0"/>
    <n v="230"/>
    <m/>
    <n v="188"/>
    <m/>
    <s v="2022-12"/>
    <s v="Mixed"/>
  </r>
  <r>
    <d v="2022-12-14T00:00:00"/>
    <x v="26"/>
    <x v="0"/>
    <n v="50"/>
    <m/>
    <n v="188"/>
    <m/>
    <s v="2022-12"/>
    <s v="Mixed"/>
  </r>
  <r>
    <d v="2022-12-18T00:00:00"/>
    <x v="26"/>
    <x v="0"/>
    <n v="138"/>
    <m/>
    <n v="188"/>
    <m/>
    <s v="2022-12"/>
    <s v="Mixed"/>
  </r>
  <r>
    <d v="2022-12-20T00:00:00"/>
    <x v="26"/>
    <x v="0"/>
    <n v="30"/>
    <m/>
    <n v="188"/>
    <m/>
    <s v="2022-12"/>
    <s v="Mixed"/>
  </r>
  <r>
    <d v="2022-12-21T00:00:00"/>
    <x v="26"/>
    <x v="0"/>
    <n v="986"/>
    <m/>
    <n v="188"/>
    <m/>
    <s v="2022-12"/>
    <s v="Mixed"/>
  </r>
  <r>
    <d v="2022-12-22T00:00:00"/>
    <x v="26"/>
    <x v="0"/>
    <n v="139"/>
    <m/>
    <n v="188"/>
    <m/>
    <s v="2022-12"/>
    <s v="Mixed"/>
  </r>
  <r>
    <d v="2022-12-26T00:00:00"/>
    <x v="26"/>
    <x v="0"/>
    <n v="276"/>
    <m/>
    <n v="188"/>
    <m/>
    <s v="2022-12"/>
    <s v="Mixed"/>
  </r>
  <r>
    <d v="2022-12-29T00:00:00"/>
    <x v="26"/>
    <x v="0"/>
    <n v="52"/>
    <m/>
    <n v="188"/>
    <s v="Eggs"/>
    <s v="2022-12"/>
    <s v="Mixed"/>
  </r>
  <r>
    <d v="2022-12-29T00:00:00"/>
    <x v="26"/>
    <x v="0"/>
    <n v="90"/>
    <m/>
    <n v="188"/>
    <m/>
    <s v="2022-12"/>
    <s v="Mixed"/>
  </r>
  <r>
    <d v="2022-12-30T00:00:00"/>
    <x v="26"/>
    <x v="0"/>
    <n v="1010"/>
    <m/>
    <n v="188"/>
    <m/>
    <s v="2022-12"/>
    <s v="Mixed"/>
  </r>
  <r>
    <d v="2022-12-30T00:00:00"/>
    <x v="26"/>
    <x v="0"/>
    <n v="308"/>
    <m/>
    <n v="188"/>
    <m/>
    <s v="2022-12"/>
    <s v="Mixed"/>
  </r>
  <r>
    <d v="2023-01-02T00:00:00"/>
    <x v="26"/>
    <x v="0"/>
    <n v="251"/>
    <m/>
    <n v="188"/>
    <m/>
    <s v="2023-01"/>
    <s v="Mixed"/>
  </r>
  <r>
    <d v="2023-01-03T00:00:00"/>
    <x v="26"/>
    <x v="0"/>
    <n v="182"/>
    <m/>
    <n v="188"/>
    <m/>
    <s v="2023-01"/>
    <s v="Mixed"/>
  </r>
  <r>
    <d v="2023-01-03T00:00:00"/>
    <x v="26"/>
    <x v="0"/>
    <n v="25"/>
    <m/>
    <n v="188"/>
    <m/>
    <s v="2023-01"/>
    <s v="Mixed"/>
  </r>
  <r>
    <d v="2023-01-04T00:00:00"/>
    <x v="26"/>
    <x v="0"/>
    <n v="563"/>
    <m/>
    <n v="189"/>
    <s v="Scribbled line below not counted"/>
    <s v="2023-01"/>
    <s v="Mixed"/>
  </r>
  <r>
    <d v="2023-01-07T00:00:00"/>
    <x v="26"/>
    <x v="0"/>
    <n v="20"/>
    <m/>
    <n v="189"/>
    <m/>
    <s v="2023-01"/>
    <s v="Mixed"/>
  </r>
  <r>
    <d v="2023-01-07T00:00:00"/>
    <x v="26"/>
    <x v="0"/>
    <n v="378"/>
    <m/>
    <n v="189"/>
    <m/>
    <s v="2023-01"/>
    <s v="Mixed"/>
  </r>
  <r>
    <d v="2023-01-09T00:00:00"/>
    <x v="26"/>
    <x v="0"/>
    <n v="20"/>
    <m/>
    <n v="189"/>
    <m/>
    <s v="2023-01"/>
    <s v="Mixed"/>
  </r>
  <r>
    <d v="2023-01-09T00:00:00"/>
    <x v="26"/>
    <x v="0"/>
    <n v="401"/>
    <m/>
    <n v="189"/>
    <m/>
    <s v="2023-01"/>
    <s v="Mixed"/>
  </r>
  <r>
    <d v="2023-01-09T00:00:00"/>
    <x v="26"/>
    <x v="2"/>
    <n v="62"/>
    <n v="9107"/>
    <n v="189"/>
    <s v="Book total 9107 is 62 more than the lines"/>
    <s v="2023-01"/>
    <s v="Mixed"/>
  </r>
  <r>
    <m/>
    <x v="26"/>
    <x v="1"/>
    <n v="9100"/>
    <n v="7"/>
    <n v="189"/>
    <s v="Book: paid 9100"/>
    <s v=""/>
    <s v="Mixed"/>
  </r>
  <r>
    <m/>
    <x v="26"/>
    <x v="2"/>
    <n v="-7"/>
    <n v="0"/>
    <n v="189"/>
    <s v="7 let go"/>
    <s v=""/>
    <s v="Mixed"/>
  </r>
  <r>
    <d v="2023-01-12T00:00:00"/>
    <x v="26"/>
    <x v="0"/>
    <n v="4405"/>
    <m/>
    <n v="189"/>
    <m/>
    <s v="2023-01"/>
    <s v="Mixed"/>
  </r>
  <r>
    <d v="2023-01-19T00:00:00"/>
    <x v="26"/>
    <x v="0"/>
    <n v="778"/>
    <m/>
    <n v="189"/>
    <m/>
    <s v="2023-01"/>
    <s v="Mixed"/>
  </r>
  <r>
    <d v="2023-01-23T00:00:00"/>
    <x v="26"/>
    <x v="0"/>
    <n v="1110"/>
    <m/>
    <n v="189"/>
    <m/>
    <s v="2023-01"/>
    <s v="Mixed"/>
  </r>
  <r>
    <d v="2023-01-25T00:00:00"/>
    <x v="26"/>
    <x v="0"/>
    <n v="100"/>
    <m/>
    <n v="189"/>
    <m/>
    <s v="2023-01"/>
    <s v="Mixed"/>
  </r>
  <r>
    <d v="2023-01-28T00:00:00"/>
    <x v="26"/>
    <x v="0"/>
    <n v="1210"/>
    <m/>
    <n v="189"/>
    <m/>
    <s v="2023-01"/>
    <s v="Mixed"/>
  </r>
  <r>
    <d v="2023-02-03T00:00:00"/>
    <x v="26"/>
    <x v="0"/>
    <n v="697"/>
    <m/>
    <n v="189"/>
    <m/>
    <s v="2023-02"/>
    <s v="Mixed"/>
  </r>
  <r>
    <d v="2023-02-03T00:00:00"/>
    <x v="26"/>
    <x v="0"/>
    <n v="20"/>
    <m/>
    <n v="189"/>
    <m/>
    <s v="2023-02"/>
    <s v="Mixed"/>
  </r>
  <r>
    <d v="2023-02-05T00:00:00"/>
    <x v="26"/>
    <x v="0"/>
    <n v="244"/>
    <m/>
    <n v="189"/>
    <m/>
    <s v="2023-02"/>
    <s v="Mixed"/>
  </r>
  <r>
    <d v="2023-02-06T00:00:00"/>
    <x v="26"/>
    <x v="0"/>
    <n v="348"/>
    <m/>
    <n v="189"/>
    <m/>
    <s v="2023-02"/>
    <s v="Mixed"/>
  </r>
  <r>
    <d v="2023-02-08T00:00:00"/>
    <x v="26"/>
    <x v="0"/>
    <n v="470"/>
    <m/>
    <n v="189"/>
    <m/>
    <s v="2023-02"/>
    <s v="Mixed"/>
  </r>
  <r>
    <d v="2023-02-08T00:00:00"/>
    <x v="26"/>
    <x v="0"/>
    <n v="15"/>
    <m/>
    <n v="189"/>
    <m/>
    <s v="2023-02"/>
    <s v="Mixed"/>
  </r>
  <r>
    <d v="2023-02-09T00:00:00"/>
    <x v="26"/>
    <x v="0"/>
    <n v="152"/>
    <m/>
    <n v="189"/>
    <m/>
    <s v="2023-02"/>
    <s v="Mixed"/>
  </r>
  <r>
    <d v="2023-02-09T00:00:00"/>
    <x v="26"/>
    <x v="2"/>
    <n v="-7"/>
    <n v="9542"/>
    <n v="189"/>
    <s v="Book total 9542 is 7 less than the lines"/>
    <s v="2023-02"/>
    <s v="Mixed"/>
  </r>
  <r>
    <d v="2023-02-14T00:00:00"/>
    <x v="26"/>
    <x v="1"/>
    <n v="8500"/>
    <n v="1042"/>
    <n v="189"/>
    <s v="Book: paid 8500 on 14/2, balance 1042"/>
    <s v="2023-02"/>
    <s v="Mixed"/>
  </r>
  <r>
    <d v="2023-12-22T00:00:00"/>
    <x v="26"/>
    <x v="3"/>
    <n v="6768"/>
    <n v="6768"/>
    <n v="112"/>
    <s v="Opening Total 6768 (account 52)"/>
    <s v="2023-12"/>
    <s v="Mixed"/>
  </r>
  <r>
    <d v="2023-12-22T00:00:00"/>
    <x v="26"/>
    <x v="0"/>
    <n v="592"/>
    <m/>
    <n v="112"/>
    <m/>
    <s v="2023-12"/>
    <s v="Mixed"/>
  </r>
  <r>
    <d v="2023-12-24T00:00:00"/>
    <x v="26"/>
    <x v="0"/>
    <n v="544"/>
    <m/>
    <n v="112"/>
    <m/>
    <s v="2023-12"/>
    <s v="Mixed"/>
  </r>
  <r>
    <d v="2023-12-25T00:00:00"/>
    <x v="26"/>
    <x v="0"/>
    <n v="593"/>
    <m/>
    <n v="112"/>
    <m/>
    <s v="2023-12"/>
    <s v="Mixed"/>
  </r>
  <r>
    <d v="2023-12-26T00:00:00"/>
    <x v="26"/>
    <x v="0"/>
    <n v="324"/>
    <m/>
    <n v="112"/>
    <m/>
    <s v="2023-12"/>
    <s v="Mixed"/>
  </r>
  <r>
    <d v="2023-12-28T00:00:00"/>
    <x v="26"/>
    <x v="0"/>
    <n v="1250"/>
    <m/>
    <n v="112"/>
    <s v="GAS"/>
    <s v="2023-12"/>
    <s v="Mixed"/>
  </r>
  <r>
    <d v="2023-12-28T00:00:00"/>
    <x v="26"/>
    <x v="0"/>
    <n v="1560"/>
    <m/>
    <n v="112"/>
    <m/>
    <s v="2023-12"/>
    <s v="Mixed"/>
  </r>
  <r>
    <d v="2023-12-29T00:00:00"/>
    <x v="26"/>
    <x v="0"/>
    <n v="361"/>
    <m/>
    <n v="112"/>
    <m/>
    <s v="2023-12"/>
    <s v="Mixed"/>
  </r>
  <r>
    <d v="2023-12-31T00:00:00"/>
    <x v="26"/>
    <x v="0"/>
    <n v="761"/>
    <m/>
    <n v="112"/>
    <m/>
    <s v="2023-12"/>
    <s v="Mixed"/>
  </r>
  <r>
    <d v="2024-01-03T00:00:00"/>
    <x v="26"/>
    <x v="0"/>
    <n v="1560"/>
    <m/>
    <n v="112"/>
    <m/>
    <s v="2024-01"/>
    <s v="Mixed"/>
  </r>
  <r>
    <d v="2024-01-04T00:00:00"/>
    <x v="26"/>
    <x v="0"/>
    <n v="748"/>
    <n v="15061"/>
    <n v="112"/>
    <s v="Book: Total 15061"/>
    <s v="2024-01"/>
    <s v="Mixed"/>
  </r>
  <r>
    <d v="2024-01-07T00:00:00"/>
    <x v="26"/>
    <x v="0"/>
    <n v="133"/>
    <n v="15194"/>
    <n v="112"/>
    <s v="Book: Total 15194"/>
    <s v="2024-01"/>
    <s v="Mixed"/>
  </r>
  <r>
    <m/>
    <x v="26"/>
    <x v="1"/>
    <n v="11000"/>
    <n v="4194"/>
    <n v="112"/>
    <s v="Book: paid 11000 (date looks like 9/1), BAKI 4194"/>
    <s v=""/>
    <s v="Mixed"/>
  </r>
  <r>
    <m/>
    <x v="26"/>
    <x v="1"/>
    <n v="4194"/>
    <n v="0"/>
    <n v="112"/>
    <s v="Book: 4194 written again and crossed, next total starts from zero = paid"/>
    <s v=""/>
    <s v="Mixed"/>
  </r>
  <r>
    <d v="2024-01-10T00:00:00"/>
    <x v="26"/>
    <x v="0"/>
    <n v="4344"/>
    <m/>
    <n v="112"/>
    <s v="Crossed-out rice line above not counted"/>
    <s v="2024-01"/>
    <s v="Mixed"/>
  </r>
  <r>
    <d v="2024-01-10T00:00:00"/>
    <x v="26"/>
    <x v="0"/>
    <n v="160"/>
    <m/>
    <n v="112"/>
    <m/>
    <s v="2024-01"/>
    <s v="Mixed"/>
  </r>
  <r>
    <d v="2024-01-13T00:00:00"/>
    <x v="26"/>
    <x v="0"/>
    <n v="473"/>
    <m/>
    <n v="112"/>
    <m/>
    <s v="2024-01"/>
    <s v="Mixed"/>
  </r>
  <r>
    <d v="2024-01-13T00:00:00"/>
    <x v="26"/>
    <x v="0"/>
    <n v="15"/>
    <m/>
    <n v="112"/>
    <m/>
    <s v="2024-01"/>
    <s v="Mixed"/>
  </r>
  <r>
    <d v="2024-01-16T00:00:00"/>
    <x v="26"/>
    <x v="0"/>
    <n v="417"/>
    <m/>
    <n v="112"/>
    <m/>
    <s v="2024-01"/>
    <s v="Mixed"/>
  </r>
  <r>
    <d v="2024-01-19T00:00:00"/>
    <x v="26"/>
    <x v="0"/>
    <n v="2290"/>
    <m/>
    <n v="112"/>
    <s v="Gas and rice"/>
    <s v="2024-01"/>
    <s v="Mixed"/>
  </r>
  <r>
    <d v="2024-01-20T00:00:00"/>
    <x v="26"/>
    <x v="0"/>
    <n v="360"/>
    <m/>
    <n v="112"/>
    <m/>
    <s v="2024-01"/>
    <s v="Mixed"/>
  </r>
  <r>
    <d v="2024-01-25T00:00:00"/>
    <x v="26"/>
    <x v="0"/>
    <n v="1119"/>
    <m/>
    <n v="112"/>
    <m/>
    <s v="2024-01"/>
    <s v="Mixed"/>
  </r>
  <r>
    <d v="2024-01-30T00:00:00"/>
    <x v="26"/>
    <x v="0"/>
    <n v="770"/>
    <m/>
    <n v="112"/>
    <m/>
    <s v="2024-01"/>
    <s v="Mixed"/>
  </r>
  <r>
    <d v="2024-01-31T00:00:00"/>
    <x v="26"/>
    <x v="0"/>
    <n v="1040"/>
    <m/>
    <n v="112"/>
    <s v="Rice (chawal)"/>
    <s v="2024-01"/>
    <s v="Mixed"/>
  </r>
  <r>
    <d v="2024-02-02T00:00:00"/>
    <x v="26"/>
    <x v="0"/>
    <n v="144"/>
    <m/>
    <n v="112"/>
    <m/>
    <s v="2024-02"/>
    <s v="Mixed"/>
  </r>
  <r>
    <d v="2024-02-05T00:00:00"/>
    <x v="26"/>
    <x v="0"/>
    <n v="580"/>
    <n v="11712"/>
    <n v="112"/>
    <s v="Book: Total 11712"/>
    <s v="2024-02"/>
    <s v="Mixed"/>
  </r>
  <r>
    <d v="2024-02-07T00:00:00"/>
    <x v="26"/>
    <x v="0"/>
    <n v="1040"/>
    <n v="12752"/>
    <n v="112"/>
    <s v="Rice. Book: Total 12752"/>
    <s v="2024-02"/>
    <s v="Mixed"/>
  </r>
  <r>
    <m/>
    <x v="26"/>
    <x v="1"/>
    <n v="10000"/>
    <n v="2752"/>
    <n v="112"/>
    <s v="Book: paid 10000 (February), BAKI 2752"/>
    <s v=""/>
    <s v="Mixed"/>
  </r>
  <r>
    <d v="2024-02-09T00:00:00"/>
    <x v="26"/>
    <x v="0"/>
    <n v="370"/>
    <m/>
    <n v="112"/>
    <m/>
    <s v="2024-02"/>
    <s v="Mixed"/>
  </r>
  <r>
    <d v="2024-02-10T00:00:00"/>
    <x v="26"/>
    <x v="0"/>
    <n v="1250"/>
    <m/>
    <n v="112"/>
    <s v="GAS"/>
    <s v="2024-02"/>
    <s v="Mixed"/>
  </r>
  <r>
    <d v="2024-02-11T00:00:00"/>
    <x v="26"/>
    <x v="0"/>
    <n v="205"/>
    <m/>
    <n v="112"/>
    <m/>
    <s v="2024-02"/>
    <s v="Mixed"/>
  </r>
  <r>
    <d v="2024-02-14T00:00:00"/>
    <x v="26"/>
    <x v="0"/>
    <n v="5014"/>
    <m/>
    <n v="112"/>
    <s v="Read as 5014 (looks like 504): makes Total 17415 exact"/>
    <s v="2024-02"/>
    <s v="Mixed"/>
  </r>
  <r>
    <d v="2024-02-19T00:00:00"/>
    <x v="26"/>
    <x v="0"/>
    <n v="330"/>
    <m/>
    <n v="112"/>
    <m/>
    <s v="2024-02"/>
    <s v="Mixed"/>
  </r>
  <r>
    <d v="2024-02-20T00:00:00"/>
    <x v="26"/>
    <x v="0"/>
    <n v="360"/>
    <m/>
    <n v="112"/>
    <s v="Oil"/>
    <s v="2024-02"/>
    <s v="Mixed"/>
  </r>
  <r>
    <d v="2024-02-22T00:00:00"/>
    <x v="26"/>
    <x v="0"/>
    <n v="384"/>
    <m/>
    <n v="112"/>
    <m/>
    <s v="2024-02"/>
    <s v="Mixed"/>
  </r>
  <r>
    <d v="2024-02-24T00:00:00"/>
    <x v="26"/>
    <x v="0"/>
    <n v="320"/>
    <m/>
    <n v="112"/>
    <m/>
    <s v="2024-02"/>
    <s v="Mixed"/>
  </r>
  <r>
    <d v="2024-02-25T00:00:00"/>
    <x v="26"/>
    <x v="0"/>
    <n v="2080"/>
    <m/>
    <n v="112"/>
    <m/>
    <s v="2024-02"/>
    <s v="Mixed"/>
  </r>
  <r>
    <d v="2024-02-28T00:00:00"/>
    <x v="26"/>
    <x v="0"/>
    <n v="330"/>
    <m/>
    <n v="112"/>
    <s v="Rice"/>
    <s v="2024-02"/>
    <s v="Mixed"/>
  </r>
  <r>
    <d v="2024-02-29T00:00:00"/>
    <x v="26"/>
    <x v="0"/>
    <n v="1250"/>
    <m/>
    <n v="112"/>
    <s v="GAS"/>
    <s v="2024-02"/>
    <s v="Mixed"/>
  </r>
  <r>
    <d v="2024-02-29T00:00:00"/>
    <x v="26"/>
    <x v="0"/>
    <n v="303"/>
    <m/>
    <n v="112"/>
    <s v="Read as 303: makes Total 17415 exact"/>
    <s v="2024-02"/>
    <s v="Mixed"/>
  </r>
  <r>
    <d v="2024-02-29T00:00:00"/>
    <x v="26"/>
    <x v="0"/>
    <n v="40"/>
    <m/>
    <n v="112"/>
    <m/>
    <s v="2024-02"/>
    <s v="Mixed"/>
  </r>
  <r>
    <d v="2024-03-05T00:00:00"/>
    <x v="26"/>
    <x v="0"/>
    <n v="413"/>
    <m/>
    <n v="112"/>
    <m/>
    <s v="2024-03"/>
    <s v="Mixed"/>
  </r>
  <r>
    <d v="2024-03-06T00:00:00"/>
    <x v="26"/>
    <x v="0"/>
    <n v="584"/>
    <m/>
    <n v="112"/>
    <m/>
    <s v="2024-03"/>
    <s v="Mixed"/>
  </r>
  <r>
    <d v="2024-03-07T00:00:00"/>
    <x v="26"/>
    <x v="0"/>
    <n v="240"/>
    <m/>
    <n v="112"/>
    <m/>
    <s v="2024-03"/>
    <s v="Mixed"/>
  </r>
  <r>
    <d v="2024-03-09T00:00:00"/>
    <x v="26"/>
    <x v="0"/>
    <n v="1190"/>
    <n v="17415"/>
    <n v="112"/>
    <s v="Book: Total 17415"/>
    <s v="2024-03"/>
    <s v="Mixed"/>
  </r>
  <r>
    <d v="2024-03-10T00:00:00"/>
    <x v="26"/>
    <x v="0"/>
    <n v="241"/>
    <n v="17656"/>
    <n v="112"/>
    <s v="Date written like 10/2. Book: TL 17656"/>
    <s v="2024-03"/>
    <s v="Mixed"/>
  </r>
  <r>
    <d v="2024-03-15T00:00:00"/>
    <x v="26"/>
    <x v="1"/>
    <n v="17100"/>
    <n v="556"/>
    <n v="112"/>
    <s v="Book: paid 17100 (date looks like 15/3), BALANCE 556"/>
    <s v="2024-03"/>
    <s v="Mixed"/>
  </r>
  <r>
    <d v="2024-03-12T00:00:00"/>
    <x v="26"/>
    <x v="0"/>
    <n v="3941"/>
    <m/>
    <n v="112"/>
    <m/>
    <s v="2024-03"/>
    <s v="Mixed"/>
  </r>
  <r>
    <d v="2024-03-13T00:00:00"/>
    <x v="26"/>
    <x v="0"/>
    <n v="50"/>
    <m/>
    <n v="112"/>
    <s v="Soap"/>
    <s v="2024-03"/>
    <s v="Mixed"/>
  </r>
  <r>
    <d v="2024-03-13T00:00:00"/>
    <x v="26"/>
    <x v="0"/>
    <n v="1250"/>
    <m/>
    <n v="112"/>
    <s v="GAS"/>
    <s v="2024-03"/>
    <s v="Mixed"/>
  </r>
  <r>
    <d v="2024-03-19T00:00:00"/>
    <x v="26"/>
    <x v="0"/>
    <n v="761"/>
    <m/>
    <n v="112"/>
    <m/>
    <s v="2024-03"/>
    <s v="Mixed"/>
  </r>
  <r>
    <d v="2024-03-25T00:00:00"/>
    <x v="26"/>
    <x v="0"/>
    <n v="407"/>
    <m/>
    <n v="112"/>
    <m/>
    <s v="2024-03"/>
    <s v="Mixed"/>
  </r>
  <r>
    <d v="2024-03-27T00:00:00"/>
    <x v="26"/>
    <x v="0"/>
    <n v="661"/>
    <m/>
    <n v="112"/>
    <m/>
    <s v="2024-03"/>
    <s v="Mixed"/>
  </r>
  <r>
    <d v="2024-03-28T00:00:00"/>
    <x v="26"/>
    <x v="0"/>
    <n v="380"/>
    <m/>
    <n v="112"/>
    <m/>
    <s v="2024-03"/>
    <s v="Mixed"/>
  </r>
  <r>
    <d v="2024-03-29T00:00:00"/>
    <x v="26"/>
    <x v="0"/>
    <n v="32"/>
    <m/>
    <n v="112"/>
    <m/>
    <s v="2024-03"/>
    <s v="Mixed"/>
  </r>
  <r>
    <d v="2024-04-02T00:00:00"/>
    <x v="26"/>
    <x v="0"/>
    <n v="2293"/>
    <m/>
    <n v="112"/>
    <m/>
    <s v="2024-04"/>
    <s v="Mixed"/>
  </r>
  <r>
    <d v="2024-04-04T00:00:00"/>
    <x v="26"/>
    <x v="0"/>
    <n v="308"/>
    <m/>
    <n v="112"/>
    <m/>
    <s v="2024-04"/>
    <s v="Mixed"/>
  </r>
  <r>
    <d v="2024-04-06T00:00:00"/>
    <x v="26"/>
    <x v="0"/>
    <n v="410"/>
    <m/>
    <n v="112"/>
    <m/>
    <s v="2024-04"/>
    <s v="Mixed"/>
  </r>
  <r>
    <d v="2024-04-08T00:00:00"/>
    <x v="26"/>
    <x v="0"/>
    <n v="3393"/>
    <m/>
    <n v="112"/>
    <m/>
    <s v="2024-04"/>
    <s v="Mixed"/>
  </r>
  <r>
    <d v="2024-04-08T00:00:00"/>
    <x v="26"/>
    <x v="2"/>
    <n v="14"/>
    <n v="14456"/>
    <n v="112"/>
    <s v="Book total 14456 is 14 more than the lines"/>
    <s v="2024-04"/>
    <s v="Mixed"/>
  </r>
  <r>
    <m/>
    <x v="26"/>
    <x v="1"/>
    <n v="12500"/>
    <n v="1956"/>
    <n v="112"/>
    <s v="Book: paid 12500 (April), BAKI 1956"/>
    <s v=""/>
    <s v="Mixed"/>
  </r>
  <r>
    <m/>
    <x v="26"/>
    <x v="1"/>
    <n v="1956"/>
    <n v="0"/>
    <n v="112"/>
    <s v="Book: BAKI 1956 crossed and not in the next total = paid"/>
    <s v=""/>
    <s v="Mixed"/>
  </r>
  <r>
    <d v="2024-04-11T00:00:00"/>
    <x v="26"/>
    <x v="0"/>
    <n v="306"/>
    <m/>
    <n v="112"/>
    <m/>
    <s v="2024-04"/>
    <s v="Mixed"/>
  </r>
  <r>
    <d v="2024-04-12T00:00:00"/>
    <x v="26"/>
    <x v="0"/>
    <n v="214"/>
    <m/>
    <n v="112"/>
    <m/>
    <s v="2024-04"/>
    <s v="Mixed"/>
  </r>
  <r>
    <d v="2024-04-13T00:00:00"/>
    <x v="26"/>
    <x v="0"/>
    <n v="6275"/>
    <m/>
    <n v="112"/>
    <m/>
    <s v="2024-04"/>
    <s v="Mixed"/>
  </r>
  <r>
    <d v="2024-04-14T00:00:00"/>
    <x v="26"/>
    <x v="0"/>
    <n v="135"/>
    <m/>
    <n v="112"/>
    <m/>
    <s v="2024-04"/>
    <s v="Mixed"/>
  </r>
  <r>
    <d v="2024-04-16T00:00:00"/>
    <x v="26"/>
    <x v="0"/>
    <n v="210"/>
    <m/>
    <n v="112"/>
    <m/>
    <s v="2024-04"/>
    <s v="Mixed"/>
  </r>
  <r>
    <d v="2024-04-21T00:00:00"/>
    <x v="26"/>
    <x v="0"/>
    <n v="330"/>
    <m/>
    <n v="112"/>
    <m/>
    <s v="2024-04"/>
    <s v="Mixed"/>
  </r>
  <r>
    <d v="2024-04-25T00:00:00"/>
    <x v="26"/>
    <x v="0"/>
    <n v="300"/>
    <m/>
    <n v="112"/>
    <m/>
    <s v="2024-04"/>
    <s v="Mixed"/>
  </r>
  <r>
    <d v="2024-04-27T00:00:00"/>
    <x v="26"/>
    <x v="0"/>
    <n v="69"/>
    <m/>
    <n v="112"/>
    <m/>
    <s v="2024-04"/>
    <s v="Mixed"/>
  </r>
  <r>
    <d v="2024-04-29T00:00:00"/>
    <x v="26"/>
    <x v="0"/>
    <n v="540"/>
    <m/>
    <n v="112"/>
    <m/>
    <s v="2024-04"/>
    <s v="Mixed"/>
  </r>
  <r>
    <d v="2024-05-01T00:00:00"/>
    <x v="26"/>
    <x v="0"/>
    <n v="320"/>
    <m/>
    <n v="112"/>
    <m/>
    <s v="2024-05"/>
    <s v="Mixed"/>
  </r>
  <r>
    <d v="2024-05-02T00:00:00"/>
    <x v="26"/>
    <x v="0"/>
    <n v="353"/>
    <m/>
    <n v="112"/>
    <m/>
    <s v="2024-05"/>
    <s v="Mixed"/>
  </r>
  <r>
    <d v="2024-05-05T00:00:00"/>
    <x v="26"/>
    <x v="0"/>
    <n v="2290"/>
    <m/>
    <n v="112"/>
    <s v="Rice and gas"/>
    <s v="2024-05"/>
    <s v="Mixed"/>
  </r>
  <r>
    <d v="2024-05-05T00:00:00"/>
    <x v="26"/>
    <x v="0"/>
    <n v="28"/>
    <m/>
    <n v="112"/>
    <m/>
    <s v="2024-05"/>
    <s v="Mixed"/>
  </r>
  <r>
    <d v="2024-05-06T00:00:00"/>
    <x v="26"/>
    <x v="0"/>
    <n v="535"/>
    <m/>
    <n v="112"/>
    <m/>
    <s v="2024-05"/>
    <s v="Mixed"/>
  </r>
  <r>
    <d v="2024-05-08T00:00:00"/>
    <x v="26"/>
    <x v="0"/>
    <n v="210"/>
    <m/>
    <n v="112"/>
    <m/>
    <s v="2024-05"/>
    <s v="Mixed"/>
  </r>
  <r>
    <d v="2024-05-08T00:00:00"/>
    <x v="26"/>
    <x v="2"/>
    <n v="16"/>
    <n v="12131"/>
    <n v="112"/>
    <s v="Book total 12131 is 16 more than the lines"/>
    <s v="2024-05"/>
    <s v="Mixed"/>
  </r>
  <r>
    <d v="2024-05-10T00:00:00"/>
    <x v="26"/>
    <x v="0"/>
    <n v="100"/>
    <n v="12231"/>
    <n v="112"/>
    <s v="Book: 12231. Continues on page 113"/>
    <s v="2024-05"/>
    <s v="Mixed"/>
  </r>
  <r>
    <m/>
    <x v="26"/>
    <x v="1"/>
    <n v="12040"/>
    <n v="191"/>
    <n v="113"/>
    <s v="CHECK: page 113 opens with BAKI 191 after Total 12231, so about 12040 was paid (not written)"/>
    <s v=""/>
    <s v="Mixed"/>
  </r>
  <r>
    <d v="2024-05-10T00:00:00"/>
    <x v="26"/>
    <x v="0"/>
    <n v="155"/>
    <m/>
    <n v="113"/>
    <m/>
    <s v="2024-05"/>
    <s v="Mixed"/>
  </r>
  <r>
    <d v="2024-05-12T00:00:00"/>
    <x v="26"/>
    <x v="0"/>
    <n v="5952"/>
    <m/>
    <n v="113"/>
    <m/>
    <s v="2024-05"/>
    <s v="Mixed"/>
  </r>
  <r>
    <d v="2024-05-20T00:00:00"/>
    <x v="26"/>
    <x v="0"/>
    <n v="361"/>
    <m/>
    <n v="113"/>
    <m/>
    <s v="2024-05"/>
    <s v="Mixed"/>
  </r>
  <r>
    <d v="2024-05-21T00:00:00"/>
    <x v="26"/>
    <x v="0"/>
    <n v="435"/>
    <m/>
    <n v="113"/>
    <m/>
    <s v="2024-05"/>
    <s v="Mixed"/>
  </r>
  <r>
    <d v="2024-05-21T00:00:00"/>
    <x v="26"/>
    <x v="0"/>
    <n v="136"/>
    <m/>
    <n v="113"/>
    <m/>
    <s v="2024-05"/>
    <s v="Mixed"/>
  </r>
  <r>
    <d v="2024-05-23T00:00:00"/>
    <x v="26"/>
    <x v="0"/>
    <n v="338"/>
    <m/>
    <n v="113"/>
    <m/>
    <s v="2024-05"/>
    <s v="Mixed"/>
  </r>
  <r>
    <d v="2024-05-25T00:00:00"/>
    <x v="26"/>
    <x v="0"/>
    <n v="238"/>
    <m/>
    <n v="113"/>
    <m/>
    <s v="2024-05"/>
    <s v="Mixed"/>
  </r>
  <r>
    <d v="2024-05-26T00:00:00"/>
    <x v="26"/>
    <x v="0"/>
    <n v="345"/>
    <m/>
    <n v="113"/>
    <m/>
    <s v="2024-05"/>
    <s v="Mixed"/>
  </r>
  <r>
    <d v="2024-05-27T00:00:00"/>
    <x v="26"/>
    <x v="0"/>
    <n v="1555"/>
    <m/>
    <n v="113"/>
    <m/>
    <s v="2024-05"/>
    <s v="Mixed"/>
  </r>
  <r>
    <d v="2024-05-27T00:00:00"/>
    <x v="26"/>
    <x v="0"/>
    <n v="872"/>
    <m/>
    <n v="113"/>
    <m/>
    <s v="2024-05"/>
    <s v="Mixed"/>
  </r>
  <r>
    <d v="2024-05-29T00:00:00"/>
    <x v="26"/>
    <x v="0"/>
    <n v="418"/>
    <m/>
    <n v="113"/>
    <m/>
    <s v="2024-05"/>
    <s v="Mixed"/>
  </r>
  <r>
    <d v="2024-05-29T00:00:00"/>
    <x v="26"/>
    <x v="0"/>
    <n v="737"/>
    <m/>
    <n v="113"/>
    <m/>
    <s v="2024-05"/>
    <s v="Mixed"/>
  </r>
  <r>
    <d v="2024-05-31T00:00:00"/>
    <x v="26"/>
    <x v="0"/>
    <n v="460"/>
    <m/>
    <n v="113"/>
    <m/>
    <s v="2024-05"/>
    <s v="Mixed"/>
  </r>
  <r>
    <d v="2024-06-02T00:00:00"/>
    <x v="26"/>
    <x v="0"/>
    <n v="910"/>
    <m/>
    <n v="113"/>
    <m/>
    <s v="2024-06"/>
    <s v="Mixed"/>
  </r>
  <r>
    <d v="2024-06-02T00:00:00"/>
    <x v="26"/>
    <x v="0"/>
    <n v="1050"/>
    <m/>
    <n v="113"/>
    <m/>
    <s v="2024-06"/>
    <s v="Mixed"/>
  </r>
  <r>
    <d v="2024-06-04T00:00:00"/>
    <x v="26"/>
    <x v="0"/>
    <n v="832"/>
    <m/>
    <n v="113"/>
    <m/>
    <s v="2024-06"/>
    <s v="Mixed"/>
  </r>
  <r>
    <d v="2024-06-05T00:00:00"/>
    <x v="26"/>
    <x v="0"/>
    <n v="389"/>
    <m/>
    <n v="113"/>
    <m/>
    <s v="2024-06"/>
    <s v="Mixed"/>
  </r>
  <r>
    <d v="2024-06-06T00:00:00"/>
    <x v="26"/>
    <x v="0"/>
    <n v="618"/>
    <m/>
    <n v="113"/>
    <m/>
    <s v="2024-06"/>
    <s v="Mixed"/>
  </r>
  <r>
    <d v="2024-06-08T00:00:00"/>
    <x v="26"/>
    <x v="0"/>
    <n v="1211"/>
    <n v="17203"/>
    <n v="113"/>
    <s v="Book: Tol 17203"/>
    <s v="2024-06"/>
    <s v="Mixed"/>
  </r>
  <r>
    <m/>
    <x v="26"/>
    <x v="1"/>
    <n v="4320"/>
    <n v="12883"/>
    <n v="113"/>
    <s v="Book: paid 4320 (June), T 12883"/>
    <s v=""/>
    <s v="Mixed"/>
  </r>
  <r>
    <m/>
    <x v="26"/>
    <x v="1"/>
    <n v="12880"/>
    <n v="3"/>
    <n v="113"/>
    <s v="Book: 12880 written and crossed = paid"/>
    <s v=""/>
    <s v="Mixed"/>
  </r>
  <r>
    <m/>
    <x v="26"/>
    <x v="2"/>
    <n v="-3"/>
    <n v="0"/>
    <n v="113"/>
    <s v="3 let go"/>
    <s v=""/>
    <s v="Mixed"/>
  </r>
  <r>
    <d v="2024-06-11T00:00:00"/>
    <x v="26"/>
    <x v="0"/>
    <n v="6660"/>
    <m/>
    <n v="113"/>
    <m/>
    <s v="2024-06"/>
    <s v="Mixed"/>
  </r>
  <r>
    <d v="2024-06-12T00:00:00"/>
    <x v="26"/>
    <x v="0"/>
    <n v="140"/>
    <m/>
    <n v="113"/>
    <m/>
    <s v="2024-06"/>
    <s v="Mixed"/>
  </r>
  <r>
    <d v="2024-06-15T00:00:00"/>
    <x v="26"/>
    <x v="0"/>
    <n v="127"/>
    <m/>
    <n v="113"/>
    <s v="GAS?"/>
    <s v="2024-06"/>
    <s v="Mixed"/>
  </r>
  <r>
    <d v="2024-06-16T00:00:00"/>
    <x v="26"/>
    <x v="0"/>
    <n v="1250"/>
    <m/>
    <n v="113"/>
    <s v="GAS"/>
    <s v="2024-06"/>
    <s v="Mixed"/>
  </r>
  <r>
    <d v="2024-06-18T00:00:00"/>
    <x v="26"/>
    <x v="0"/>
    <n v="350"/>
    <m/>
    <n v="113"/>
    <m/>
    <s v="2024-06"/>
    <s v="Mixed"/>
  </r>
  <r>
    <d v="2024-06-21T00:00:00"/>
    <x v="26"/>
    <x v="0"/>
    <n v="855"/>
    <m/>
    <n v="113"/>
    <m/>
    <s v="2024-06"/>
    <s v="Mixed"/>
  </r>
  <r>
    <d v="2024-06-25T00:00:00"/>
    <x v="26"/>
    <x v="0"/>
    <n v="420"/>
    <m/>
    <n v="113"/>
    <m/>
    <s v="2024-06"/>
    <s v="Mixed"/>
  </r>
  <r>
    <d v="2024-06-28T00:00:00"/>
    <x v="26"/>
    <x v="0"/>
    <n v="1026"/>
    <m/>
    <n v="113"/>
    <m/>
    <s v="2024-06"/>
    <s v="Mixed"/>
  </r>
  <r>
    <d v="2024-07-09T00:00:00"/>
    <x v="26"/>
    <x v="0"/>
    <n v="190"/>
    <m/>
    <n v="113"/>
    <m/>
    <s v="2024-07"/>
    <s v="Mixed"/>
  </r>
  <r>
    <d v="2024-07-04T00:00:00"/>
    <x v="26"/>
    <x v="0"/>
    <n v="240"/>
    <m/>
    <n v="113"/>
    <m/>
    <s v="2024-07"/>
    <s v="Mixed"/>
  </r>
  <r>
    <d v="2024-07-05T00:00:00"/>
    <x v="26"/>
    <x v="0"/>
    <n v="1423"/>
    <m/>
    <n v="113"/>
    <m/>
    <s v="2024-07"/>
    <s v="Mixed"/>
  </r>
  <r>
    <d v="2024-07-05T00:00:00"/>
    <x v="26"/>
    <x v="0"/>
    <n v="1250"/>
    <m/>
    <n v="113"/>
    <s v="GAS"/>
    <s v="2024-07"/>
    <s v="Mixed"/>
  </r>
  <r>
    <d v="2024-07-08T00:00:00"/>
    <x v="26"/>
    <x v="0"/>
    <n v="851"/>
    <m/>
    <n v="113"/>
    <m/>
    <s v="2024-07"/>
    <s v="Mixed"/>
  </r>
  <r>
    <d v="2024-07-08T00:00:00"/>
    <x v="26"/>
    <x v="2"/>
    <n v="-4"/>
    <n v="14778"/>
    <n v="113"/>
    <s v="Book total 14778 is 4 less than the lines"/>
    <s v="2024-07"/>
    <s v="Mixed"/>
  </r>
  <r>
    <d v="2024-07-12T00:00:00"/>
    <x v="26"/>
    <x v="1"/>
    <n v="14000"/>
    <n v="778"/>
    <n v="113"/>
    <s v="Book: paid 14000 (date looks like 12/7), BAK 778"/>
    <s v="2024-07"/>
    <s v="Mixed"/>
  </r>
  <r>
    <m/>
    <x v="26"/>
    <x v="1"/>
    <n v="778"/>
    <n v="0"/>
    <n v="113"/>
    <s v="CHECK: BAK 778 is not in the next total (6350), read as paid"/>
    <s v=""/>
    <s v="Mixed"/>
  </r>
  <r>
    <d v="2024-07-11T00:00:00"/>
    <x v="26"/>
    <x v="0"/>
    <n v="5655"/>
    <m/>
    <n v="113"/>
    <m/>
    <s v="2024-07"/>
    <s v="Mixed"/>
  </r>
  <r>
    <d v="2024-07-18T00:00:00"/>
    <x v="26"/>
    <x v="0"/>
    <n v="225"/>
    <m/>
    <n v="113"/>
    <m/>
    <s v="2024-07"/>
    <s v="Mixed"/>
  </r>
  <r>
    <d v="2024-07-18T00:00:00"/>
    <x v="26"/>
    <x v="0"/>
    <n v="340"/>
    <m/>
    <n v="113"/>
    <m/>
    <s v="2024-07"/>
    <s v="Mixed"/>
  </r>
  <r>
    <d v="2024-07-19T00:00:00"/>
    <x v="26"/>
    <x v="0"/>
    <n v="130"/>
    <n v="6350"/>
    <n v="113"/>
    <s v="Book: T 6350"/>
    <s v="2024-07"/>
    <s v="Mixed"/>
  </r>
  <r>
    <d v="2024-11-26T00:00:00"/>
    <x v="27"/>
    <x v="3"/>
    <n v="2858"/>
    <m/>
    <n v="200"/>
    <s v="Tot 2858 at the top of the page = older dues"/>
    <s v="2024-11"/>
    <s v="Pays full"/>
  </r>
  <r>
    <d v="2024-11-26T00:00:00"/>
    <x v="27"/>
    <x v="0"/>
    <n v="222"/>
    <m/>
    <n v="200"/>
    <m/>
    <s v="2024-11"/>
    <s v="Pays full"/>
  </r>
  <r>
    <d v="2024-11-27T00:00:00"/>
    <x v="27"/>
    <x v="0"/>
    <n v="108"/>
    <m/>
    <n v="200"/>
    <m/>
    <s v="2024-11"/>
    <s v="Pays full"/>
  </r>
  <r>
    <d v="2024-11-28T00:00:00"/>
    <x v="27"/>
    <x v="0"/>
    <n v="84"/>
    <m/>
    <n v="200"/>
    <m/>
    <s v="2024-11"/>
    <s v="Pays full"/>
  </r>
  <r>
    <d v="2024-11-28T00:00:00"/>
    <x v="27"/>
    <x v="0"/>
    <n v="90"/>
    <m/>
    <n v="200"/>
    <m/>
    <s v="2024-11"/>
    <s v="Pays full"/>
  </r>
  <r>
    <d v="2024-11-29T00:00:00"/>
    <x v="27"/>
    <x v="0"/>
    <n v="70"/>
    <m/>
    <n v="200"/>
    <m/>
    <s v="2024-11"/>
    <s v="Pays full"/>
  </r>
  <r>
    <d v="2024-11-29T00:00:00"/>
    <x v="27"/>
    <x v="0"/>
    <n v="33"/>
    <m/>
    <n v="200"/>
    <m/>
    <s v="2024-11"/>
    <s v="Pays full"/>
  </r>
  <r>
    <d v="2024-11-30T00:00:00"/>
    <x v="27"/>
    <x v="0"/>
    <n v="93"/>
    <m/>
    <n v="200"/>
    <m/>
    <s v="2024-11"/>
    <s v="Pays full"/>
  </r>
  <r>
    <d v="2024-12-01T00:00:00"/>
    <x v="27"/>
    <x v="0"/>
    <n v="61"/>
    <m/>
    <n v="200"/>
    <m/>
    <s v="2024-12"/>
    <s v="Pays full"/>
  </r>
  <r>
    <d v="2024-12-01T00:00:00"/>
    <x v="27"/>
    <x v="0"/>
    <n v="105"/>
    <m/>
    <n v="200"/>
    <m/>
    <s v="2024-12"/>
    <s v="Pays full"/>
  </r>
  <r>
    <d v="2024-12-02T00:00:00"/>
    <x v="27"/>
    <x v="0"/>
    <n v="45"/>
    <m/>
    <n v="200"/>
    <m/>
    <s v="2024-12"/>
    <s v="Pays full"/>
  </r>
  <r>
    <d v="2024-12-02T00:00:00"/>
    <x v="27"/>
    <x v="0"/>
    <n v="75"/>
    <m/>
    <n v="200"/>
    <m/>
    <s v="2024-12"/>
    <s v="Pays full"/>
  </r>
  <r>
    <d v="2024-12-03T00:00:00"/>
    <x v="27"/>
    <x v="0"/>
    <n v="143"/>
    <n v="3987"/>
    <n v="200"/>
    <s v="Read as 143 (looks like 149) so dad's Tot 3987 matches"/>
    <s v="2024-12"/>
    <s v="Pays full"/>
  </r>
  <r>
    <d v="2024-12-03T00:00:00"/>
    <x v="27"/>
    <x v="0"/>
    <n v="55"/>
    <m/>
    <n v="200"/>
    <m/>
    <s v="2024-12"/>
    <s v="Pays full"/>
  </r>
  <r>
    <d v="2024-12-04T00:00:00"/>
    <x v="27"/>
    <x v="0"/>
    <n v="93"/>
    <m/>
    <n v="200"/>
    <m/>
    <s v="2024-12"/>
    <s v="Pays full"/>
  </r>
  <r>
    <d v="2024-12-05T00:00:00"/>
    <x v="27"/>
    <x v="0"/>
    <n v="48"/>
    <m/>
    <n v="200"/>
    <m/>
    <s v="2024-12"/>
    <s v="Pays full"/>
  </r>
  <r>
    <d v="2024-12-06T00:00:00"/>
    <x v="27"/>
    <x v="0"/>
    <n v="64"/>
    <m/>
    <n v="200"/>
    <m/>
    <s v="2024-12"/>
    <s v="Pays full"/>
  </r>
  <r>
    <d v="2024-12-07T00:00:00"/>
    <x v="27"/>
    <x v="0"/>
    <n v="155"/>
    <m/>
    <n v="200"/>
    <m/>
    <s v="2024-12"/>
    <s v="Pays full"/>
  </r>
  <r>
    <d v="2024-12-07T00:00:00"/>
    <x v="27"/>
    <x v="0"/>
    <n v="123"/>
    <n v="4525"/>
    <n v="200"/>
    <s v="Book: Tot 4525"/>
    <s v="2024-12"/>
    <s v="Pays full"/>
  </r>
  <r>
    <d v="2024-12-07T00:00:00"/>
    <x v="27"/>
    <x v="1"/>
    <n v="4500"/>
    <n v="25"/>
    <n v="200"/>
    <s v="Book: paid 7/12 4500; BAKI 25"/>
    <s v="2024-12"/>
    <s v="Pays full"/>
  </r>
  <r>
    <d v="2024-12-07T00:00:00"/>
    <x v="27"/>
    <x v="0"/>
    <n v="25"/>
    <m/>
    <n v="200"/>
    <m/>
    <s v="2024-12"/>
    <s v="Pays full"/>
  </r>
  <r>
    <d v="2024-12-08T00:00:00"/>
    <x v="27"/>
    <x v="0"/>
    <n v="165"/>
    <m/>
    <n v="200"/>
    <m/>
    <s v="2024-12"/>
    <s v="Pays full"/>
  </r>
  <r>
    <d v="2024-12-12T00:00:00"/>
    <x v="27"/>
    <x v="0"/>
    <n v="85"/>
    <m/>
    <n v="200"/>
    <m/>
    <s v="2024-12"/>
    <s v="Pays full"/>
  </r>
  <r>
    <d v="2024-12-12T00:00:00"/>
    <x v="27"/>
    <x v="0"/>
    <n v="10"/>
    <m/>
    <n v="200"/>
    <s v="Date written 12/11"/>
    <s v="2024-12"/>
    <s v="Pays full"/>
  </r>
  <r>
    <d v="2024-12-14T00:00:00"/>
    <x v="27"/>
    <x v="0"/>
    <n v="98"/>
    <m/>
    <n v="200"/>
    <m/>
    <s v="2024-12"/>
    <s v="Pays full"/>
  </r>
  <r>
    <d v="2024-12-15T00:00:00"/>
    <x v="27"/>
    <x v="0"/>
    <n v="100"/>
    <m/>
    <n v="200"/>
    <m/>
    <s v="2024-12"/>
    <s v="Pays full"/>
  </r>
  <r>
    <d v="2024-12-15T00:00:00"/>
    <x v="27"/>
    <x v="0"/>
    <n v="68"/>
    <m/>
    <n v="200"/>
    <m/>
    <s v="2024-12"/>
    <s v="Pays full"/>
  </r>
  <r>
    <d v="2024-12-16T00:00:00"/>
    <x v="27"/>
    <x v="0"/>
    <n v="60"/>
    <m/>
    <n v="200"/>
    <m/>
    <s v="2024-12"/>
    <s v="Pays full"/>
  </r>
  <r>
    <d v="2024-12-17T00:00:00"/>
    <x v="27"/>
    <x v="0"/>
    <n v="288"/>
    <m/>
    <n v="200"/>
    <s v="CHECK: digit overwritten (278 or 288); 288 makes dad's Total 3183 match"/>
    <s v="2024-12"/>
    <s v="Pays full"/>
  </r>
  <r>
    <d v="2024-12-18T00:00:00"/>
    <x v="27"/>
    <x v="0"/>
    <n v="56"/>
    <m/>
    <n v="200"/>
    <m/>
    <s v="2024-12"/>
    <s v="Pays full"/>
  </r>
  <r>
    <d v="2024-12-19T00:00:00"/>
    <x v="27"/>
    <x v="0"/>
    <n v="70"/>
    <m/>
    <n v="200"/>
    <m/>
    <s v="2024-12"/>
    <s v="Pays full"/>
  </r>
  <r>
    <d v="2024-12-20T00:00:00"/>
    <x v="27"/>
    <x v="0"/>
    <n v="92"/>
    <m/>
    <n v="200"/>
    <m/>
    <s v="2024-12"/>
    <s v="Pays full"/>
  </r>
  <r>
    <d v="2024-12-20T00:00:00"/>
    <x v="27"/>
    <x v="0"/>
    <n v="28"/>
    <m/>
    <n v="200"/>
    <m/>
    <s v="2024-12"/>
    <s v="Pays full"/>
  </r>
  <r>
    <d v="2024-12-21T00:00:00"/>
    <x v="27"/>
    <x v="0"/>
    <n v="93"/>
    <m/>
    <n v="200"/>
    <m/>
    <s v="2024-12"/>
    <s v="Pays full"/>
  </r>
  <r>
    <d v="2024-12-22T00:00:00"/>
    <x v="27"/>
    <x v="0"/>
    <n v="90"/>
    <m/>
    <n v="200"/>
    <m/>
    <s v="2024-12"/>
    <s v="Pays full"/>
  </r>
  <r>
    <d v="2024-12-23T00:00:00"/>
    <x v="27"/>
    <x v="0"/>
    <n v="75"/>
    <m/>
    <n v="200"/>
    <m/>
    <s v="2024-12"/>
    <s v="Pays full"/>
  </r>
  <r>
    <d v="2024-12-24T00:00:00"/>
    <x v="27"/>
    <x v="0"/>
    <n v="50"/>
    <m/>
    <n v="200"/>
    <m/>
    <s v="2024-12"/>
    <s v="Pays full"/>
  </r>
  <r>
    <d v="2024-12-25T00:00:00"/>
    <x v="27"/>
    <x v="0"/>
    <n v="93"/>
    <m/>
    <n v="200"/>
    <m/>
    <s v="2024-12"/>
    <s v="Pays full"/>
  </r>
  <r>
    <d v="2024-12-26T00:00:00"/>
    <x v="27"/>
    <x v="0"/>
    <n v="166"/>
    <m/>
    <n v="200"/>
    <m/>
    <s v="2024-12"/>
    <s v="Pays full"/>
  </r>
  <r>
    <d v="2024-12-26T00:00:00"/>
    <x v="27"/>
    <x v="0"/>
    <n v="43"/>
    <m/>
    <n v="200"/>
    <m/>
    <s v="2024-12"/>
    <s v="Pays full"/>
  </r>
  <r>
    <d v="2024-12-27T00:00:00"/>
    <x v="27"/>
    <x v="0"/>
    <n v="28"/>
    <m/>
    <n v="200"/>
    <m/>
    <s v="2024-12"/>
    <s v="Pays full"/>
  </r>
  <r>
    <d v="2024-12-27T00:00:00"/>
    <x v="27"/>
    <x v="0"/>
    <n v="55"/>
    <m/>
    <n v="200"/>
    <m/>
    <s v="2024-12"/>
    <s v="Pays full"/>
  </r>
  <r>
    <d v="2024-12-28T00:00:00"/>
    <x v="27"/>
    <x v="0"/>
    <n v="120"/>
    <m/>
    <n v="200"/>
    <m/>
    <s v="2024-12"/>
    <s v="Pays full"/>
  </r>
  <r>
    <d v="2024-12-29T00:00:00"/>
    <x v="27"/>
    <x v="0"/>
    <n v="53"/>
    <m/>
    <n v="200"/>
    <m/>
    <s v="2024-12"/>
    <s v="Pays full"/>
  </r>
  <r>
    <d v="2024-12-29T00:00:00"/>
    <x v="27"/>
    <x v="0"/>
    <n v="83"/>
    <m/>
    <n v="200"/>
    <m/>
    <s v="2024-12"/>
    <s v="Pays full"/>
  </r>
  <r>
    <d v="2024-12-30T00:00:00"/>
    <x v="27"/>
    <x v="0"/>
    <n v="76"/>
    <m/>
    <n v="200"/>
    <m/>
    <s v="2024-12"/>
    <s v="Pays full"/>
  </r>
  <r>
    <d v="2024-12-31T00:00:00"/>
    <x v="27"/>
    <x v="0"/>
    <n v="28"/>
    <m/>
    <n v="200"/>
    <m/>
    <s v="2024-12"/>
    <s v="Pays full"/>
  </r>
  <r>
    <d v="2024-12-31T00:00:00"/>
    <x v="27"/>
    <x v="0"/>
    <n v="148"/>
    <m/>
    <n v="200"/>
    <m/>
    <s v="2024-12"/>
    <s v="Pays full"/>
  </r>
  <r>
    <d v="2025-01-01T00:00:00"/>
    <x v="27"/>
    <x v="0"/>
    <n v="109"/>
    <m/>
    <n v="200"/>
    <m/>
    <s v="2025-01"/>
    <s v="Pays full"/>
  </r>
  <r>
    <d v="2025-01-01T00:00:00"/>
    <x v="27"/>
    <x v="0"/>
    <n v="50"/>
    <m/>
    <n v="200"/>
    <m/>
    <s v="2025-01"/>
    <s v="Pays full"/>
  </r>
  <r>
    <d v="2025-01-02T00:00:00"/>
    <x v="27"/>
    <x v="0"/>
    <n v="90"/>
    <m/>
    <n v="200"/>
    <m/>
    <s v="2025-01"/>
    <s v="Pays full"/>
  </r>
  <r>
    <d v="2025-01-02T00:00:00"/>
    <x v="27"/>
    <x v="0"/>
    <n v="68"/>
    <m/>
    <n v="200"/>
    <m/>
    <s v="2025-01"/>
    <s v="Pays full"/>
  </r>
  <r>
    <d v="2025-01-03T00:00:00"/>
    <x v="27"/>
    <x v="0"/>
    <n v="130"/>
    <m/>
    <n v="200"/>
    <m/>
    <s v="2025-01"/>
    <s v="Pays full"/>
  </r>
  <r>
    <d v="2025-01-03T00:00:00"/>
    <x v="27"/>
    <x v="0"/>
    <n v="25"/>
    <m/>
    <n v="200"/>
    <m/>
    <s v="2025-01"/>
    <s v="Pays full"/>
  </r>
  <r>
    <d v="2025-01-04T00:00:00"/>
    <x v="27"/>
    <x v="0"/>
    <n v="78"/>
    <m/>
    <n v="200"/>
    <m/>
    <s v="2025-01"/>
    <s v="Pays full"/>
  </r>
  <r>
    <d v="2025-01-05T00:00:00"/>
    <x v="27"/>
    <x v="0"/>
    <n v="50"/>
    <m/>
    <n v="200"/>
    <m/>
    <s v="2025-01"/>
    <s v="Pays full"/>
  </r>
  <r>
    <d v="2025-01-05T00:00:00"/>
    <x v="27"/>
    <x v="0"/>
    <n v="92"/>
    <m/>
    <n v="200"/>
    <m/>
    <s v="2025-01"/>
    <s v="Pays full"/>
  </r>
  <r>
    <d v="2025-01-06T00:00:00"/>
    <x v="27"/>
    <x v="0"/>
    <n v="120"/>
    <n v="3183"/>
    <n v="200"/>
    <s v="Book: Total 3183"/>
    <s v="2025-01"/>
    <s v="Pays full"/>
  </r>
  <r>
    <d v="2025-01-06T00:00:00"/>
    <x v="27"/>
    <x v="0"/>
    <n v="22"/>
    <n v="3205"/>
    <n v="200"/>
    <s v="Book: Tot 3205"/>
    <s v="2025-01"/>
    <s v="Pays full"/>
  </r>
  <r>
    <m/>
    <x v="27"/>
    <x v="1"/>
    <n v="3200"/>
    <n v="5"/>
    <n v="200"/>
    <s v="Date not written; paid after Tot 3205 (6/1/25); BAKI 05"/>
    <s v=""/>
    <s v="Pays full"/>
  </r>
  <r>
    <d v="2025-01-07T00:00:00"/>
    <x v="27"/>
    <x v="0"/>
    <n v="90"/>
    <m/>
    <n v="200"/>
    <m/>
    <s v="2025-01"/>
    <s v="Pays full"/>
  </r>
  <r>
    <d v="2025-01-07T00:00:00"/>
    <x v="27"/>
    <x v="0"/>
    <n v="38"/>
    <m/>
    <n v="200"/>
    <m/>
    <s v="2025-01"/>
    <s v="Pays full"/>
  </r>
  <r>
    <d v="2025-01-10T00:00:00"/>
    <x v="27"/>
    <x v="0"/>
    <n v="78"/>
    <m/>
    <n v="200"/>
    <m/>
    <s v="2025-01"/>
    <s v="Pays full"/>
  </r>
  <r>
    <d v="2025-01-11T00:00:00"/>
    <x v="27"/>
    <x v="0"/>
    <n v="95"/>
    <m/>
    <n v="200"/>
    <m/>
    <s v="2025-01"/>
    <s v="Pays full"/>
  </r>
  <r>
    <d v="2025-01-12T00:00:00"/>
    <x v="27"/>
    <x v="0"/>
    <n v="101"/>
    <m/>
    <n v="200"/>
    <m/>
    <s v="2025-01"/>
    <s v="Pays full"/>
  </r>
  <r>
    <d v="2025-01-12T00:00:00"/>
    <x v="27"/>
    <x v="0"/>
    <n v="13"/>
    <m/>
    <n v="200"/>
    <m/>
    <s v="2025-01"/>
    <s v="Pays full"/>
  </r>
  <r>
    <d v="2025-01-12T00:00:00"/>
    <x v="27"/>
    <x v="0"/>
    <n v="50"/>
    <m/>
    <n v="200"/>
    <m/>
    <s v="2025-01"/>
    <s v="Pays full"/>
  </r>
  <r>
    <d v="2025-01-13T00:00:00"/>
    <x v="27"/>
    <x v="0"/>
    <n v="70"/>
    <m/>
    <n v="200"/>
    <m/>
    <s v="2025-01"/>
    <s v="Pays full"/>
  </r>
  <r>
    <d v="2025-01-13T00:00:00"/>
    <x v="27"/>
    <x v="0"/>
    <n v="84"/>
    <m/>
    <n v="200"/>
    <m/>
    <s v="2025-01"/>
    <s v="Pays full"/>
  </r>
  <r>
    <d v="2025-01-14T00:00:00"/>
    <x v="27"/>
    <x v="0"/>
    <n v="25"/>
    <m/>
    <n v="200"/>
    <m/>
    <s v="2025-01"/>
    <s v="Pays full"/>
  </r>
  <r>
    <d v="2025-01-14T00:00:00"/>
    <x v="27"/>
    <x v="0"/>
    <n v="110"/>
    <m/>
    <n v="200"/>
    <m/>
    <s v="2025-01"/>
    <s v="Pays full"/>
  </r>
  <r>
    <d v="2025-01-15T00:00:00"/>
    <x v="27"/>
    <x v="0"/>
    <n v="150"/>
    <m/>
    <n v="200"/>
    <m/>
    <s v="2025-01"/>
    <s v="Pays full"/>
  </r>
  <r>
    <d v="2025-01-15T00:00:00"/>
    <x v="27"/>
    <x v="0"/>
    <n v="15"/>
    <m/>
    <n v="200"/>
    <m/>
    <s v="2025-01"/>
    <s v="Pays full"/>
  </r>
  <r>
    <d v="2025-01-16T00:00:00"/>
    <x v="27"/>
    <x v="0"/>
    <n v="128"/>
    <m/>
    <n v="200"/>
    <m/>
    <s v="2025-01"/>
    <s v="Pays full"/>
  </r>
  <r>
    <d v="2025-01-17T00:00:00"/>
    <x v="27"/>
    <x v="0"/>
    <n v="428"/>
    <m/>
    <n v="200"/>
    <s v="CHECK: middle digit overwritten (428 or 498); no total yet to confirm"/>
    <s v="2025-01"/>
    <s v="Pays full"/>
  </r>
  <r>
    <d v="2025-01-17T00:00:00"/>
    <x v="27"/>
    <x v="0"/>
    <n v="81"/>
    <m/>
    <n v="200"/>
    <m/>
    <s v="2025-01"/>
    <s v="Pays full"/>
  </r>
  <r>
    <d v="2025-01-18T00:00:00"/>
    <x v="27"/>
    <x v="0"/>
    <n v="38"/>
    <m/>
    <n v="200"/>
    <m/>
    <s v="2025-01"/>
    <s v="Pays full"/>
  </r>
  <r>
    <d v="2025-01-18T00:00:00"/>
    <x v="27"/>
    <x v="0"/>
    <n v="25"/>
    <m/>
    <n v="200"/>
    <m/>
    <s v="2025-01"/>
    <s v="Pays full"/>
  </r>
  <r>
    <d v="2025-01-20T00:00:00"/>
    <x v="27"/>
    <x v="0"/>
    <n v="120"/>
    <m/>
    <n v="200"/>
    <m/>
    <s v="2025-01"/>
    <s v="Pays full"/>
  </r>
  <r>
    <d v="2025-01-20T00:00:00"/>
    <x v="27"/>
    <x v="0"/>
    <n v="77"/>
    <m/>
    <n v="200"/>
    <m/>
    <s v="2025-01"/>
    <s v="Pays full"/>
  </r>
  <r>
    <d v="2025-01-21T00:00:00"/>
    <x v="27"/>
    <x v="0"/>
    <n v="53"/>
    <m/>
    <n v="200"/>
    <m/>
    <s v="2025-01"/>
    <s v="Pays full"/>
  </r>
  <r>
    <d v="2025-01-21T00:00:00"/>
    <x v="27"/>
    <x v="0"/>
    <n v="80"/>
    <m/>
    <n v="200"/>
    <m/>
    <s v="2025-01"/>
    <s v="Pays full"/>
  </r>
  <r>
    <d v="2025-01-22T00:00:00"/>
    <x v="27"/>
    <x v="0"/>
    <n v="90"/>
    <m/>
    <n v="200"/>
    <m/>
    <s v="2025-01"/>
    <s v="Pays full"/>
  </r>
  <r>
    <d v="2025-01-23T00:00:00"/>
    <x v="27"/>
    <x v="0"/>
    <n v="88"/>
    <m/>
    <n v="200"/>
    <m/>
    <s v="2025-01"/>
    <s v="Pays full"/>
  </r>
  <r>
    <d v="2025-01-23T00:00:00"/>
    <x v="27"/>
    <x v="0"/>
    <n v="25"/>
    <m/>
    <n v="200"/>
    <m/>
    <s v="2025-01"/>
    <s v="Pays full"/>
  </r>
  <r>
    <d v="2025-01-24T00:00:00"/>
    <x v="27"/>
    <x v="0"/>
    <n v="53"/>
    <m/>
    <n v="200"/>
    <m/>
    <s v="2025-01"/>
    <s v="Pays full"/>
  </r>
  <r>
    <d v="2025-01-24T00:00:00"/>
    <x v="27"/>
    <x v="0"/>
    <n v="93"/>
    <m/>
    <n v="200"/>
    <m/>
    <s v="2025-01"/>
    <s v="Pays full"/>
  </r>
  <r>
    <d v="2025-01-24T00:00:00"/>
    <x v="27"/>
    <x v="0"/>
    <n v="137"/>
    <m/>
    <n v="200"/>
    <s v="CHECK: page continues in a 4th column (25/1/25 - 7/2/25 with Tot 4446) that is cut off in the photo; retake the right side"/>
    <s v="2025-01"/>
    <s v="Pays full"/>
  </r>
  <r>
    <d v="2024-12-20T00:00:00"/>
    <x v="28"/>
    <x v="0"/>
    <n v="456"/>
    <m/>
    <n v="244"/>
    <m/>
    <s v="2024-12"/>
    <s v="Pays full"/>
  </r>
  <r>
    <d v="2024-12-20T00:00:00"/>
    <x v="28"/>
    <x v="0"/>
    <n v="5520"/>
    <m/>
    <n v="244"/>
    <s v="CHECK: 5520 in one day; may be older dues carried from the previous page"/>
    <s v="2024-12"/>
    <s v="Pays full"/>
  </r>
  <r>
    <d v="2024-12-20T00:00:00"/>
    <x v="28"/>
    <x v="0"/>
    <n v="1720"/>
    <m/>
    <n v="244"/>
    <s v="CHAVAL (rice)"/>
    <s v="2024-12"/>
    <s v="Pays full"/>
  </r>
  <r>
    <d v="2024-12-21T00:00:00"/>
    <x v="28"/>
    <x v="0"/>
    <n v="243"/>
    <m/>
    <n v="244"/>
    <m/>
    <s v="2024-12"/>
    <s v="Pays full"/>
  </r>
  <r>
    <d v="2024-12-22T00:00:00"/>
    <x v="28"/>
    <x v="0"/>
    <n v="100"/>
    <m/>
    <n v="244"/>
    <m/>
    <s v="2024-12"/>
    <s v="Pays full"/>
  </r>
  <r>
    <d v="2024-12-24T00:00:00"/>
    <x v="28"/>
    <x v="0"/>
    <n v="30"/>
    <m/>
    <n v="244"/>
    <m/>
    <s v="2024-12"/>
    <s v="Pays full"/>
  </r>
  <r>
    <d v="2024-12-24T00:00:00"/>
    <x v="28"/>
    <x v="0"/>
    <n v="60"/>
    <m/>
    <n v="244"/>
    <m/>
    <s v="2024-12"/>
    <s v="Pays full"/>
  </r>
  <r>
    <d v="2024-12-25T00:00:00"/>
    <x v="28"/>
    <x v="0"/>
    <n v="113"/>
    <m/>
    <n v="244"/>
    <m/>
    <s v="2024-12"/>
    <s v="Pays full"/>
  </r>
  <r>
    <d v="2024-12-27T00:00:00"/>
    <x v="28"/>
    <x v="0"/>
    <n v="101"/>
    <m/>
    <n v="244"/>
    <m/>
    <s v="2024-12"/>
    <s v="Pays full"/>
  </r>
  <r>
    <d v="2024-12-28T00:00:00"/>
    <x v="28"/>
    <x v="0"/>
    <n v="160"/>
    <m/>
    <n v="244"/>
    <m/>
    <s v="2024-12"/>
    <s v="Pays full"/>
  </r>
  <r>
    <d v="2024-12-28T00:00:00"/>
    <x v="28"/>
    <x v="0"/>
    <n v="30"/>
    <m/>
    <n v="244"/>
    <m/>
    <s v="2024-12"/>
    <s v="Pays full"/>
  </r>
  <r>
    <d v="2024-12-29T00:00:00"/>
    <x v="28"/>
    <x v="0"/>
    <n v="432"/>
    <m/>
    <n v="244"/>
    <m/>
    <s v="2024-12"/>
    <s v="Pays full"/>
  </r>
  <r>
    <d v="2024-12-30T00:00:00"/>
    <x v="28"/>
    <x v="0"/>
    <n v="58"/>
    <m/>
    <n v="244"/>
    <m/>
    <s v="2024-12"/>
    <s v="Pays full"/>
  </r>
  <r>
    <d v="2025-01-01T00:00:00"/>
    <x v="28"/>
    <x v="0"/>
    <n v="70"/>
    <n v="9093"/>
    <n v="244"/>
    <s v="Book: Tot 9093"/>
    <s v="2025-01"/>
    <s v="Pays full"/>
  </r>
  <r>
    <d v="2025-01-05T00:00:00"/>
    <x v="28"/>
    <x v="1"/>
    <n v="3000"/>
    <n v="6093"/>
    <n v="244"/>
    <s v="Book: 5/1/24 3000 (year slip; read as 2025); BAKI 6093"/>
    <s v="2025-01"/>
    <s v="Pays full"/>
  </r>
  <r>
    <d v="2025-01-11T00:00:00"/>
    <x v="28"/>
    <x v="1"/>
    <n v="4000"/>
    <n v="2093"/>
    <n v="244"/>
    <s v="Book: 11/1 4000; BAKI 2093"/>
    <s v="2025-01"/>
    <s v="Pays full"/>
  </r>
  <r>
    <d v="2025-01-11T00:00:00"/>
    <x v="28"/>
    <x v="1"/>
    <n v="2093"/>
    <n v="0"/>
    <n v="244"/>
    <s v="CHECK: BAKI 2093 written again with 11/1 and crossed; read as paid (next total 7238 does not include it)"/>
    <s v="2025-01"/>
    <s v="Pays full"/>
  </r>
  <r>
    <d v="2025-01-01T00:00:00"/>
    <x v="28"/>
    <x v="0"/>
    <n v="180"/>
    <m/>
    <n v="244"/>
    <m/>
    <s v="2025-01"/>
    <s v="Pays full"/>
  </r>
  <r>
    <d v="2025-01-02T00:00:00"/>
    <x v="28"/>
    <x v="0"/>
    <n v="120"/>
    <m/>
    <n v="244"/>
    <m/>
    <s v="2025-01"/>
    <s v="Pays full"/>
  </r>
  <r>
    <d v="2025-01-02T00:00:00"/>
    <x v="28"/>
    <x v="0"/>
    <n v="86"/>
    <m/>
    <n v="244"/>
    <m/>
    <s v="2025-01"/>
    <s v="Pays full"/>
  </r>
  <r>
    <d v="2025-01-03T00:00:00"/>
    <x v="28"/>
    <x v="0"/>
    <n v="20"/>
    <m/>
    <n v="244"/>
    <m/>
    <s v="2025-01"/>
    <s v="Pays full"/>
  </r>
  <r>
    <d v="2025-01-03T00:00:00"/>
    <x v="28"/>
    <x v="0"/>
    <n v="88"/>
    <m/>
    <n v="244"/>
    <m/>
    <s v="2025-01"/>
    <s v="Pays full"/>
  </r>
  <r>
    <d v="2025-01-04T00:00:00"/>
    <x v="28"/>
    <x v="0"/>
    <n v="73"/>
    <m/>
    <n v="244"/>
    <m/>
    <s v="2025-01"/>
    <s v="Pays full"/>
  </r>
  <r>
    <d v="2025-01-04T00:00:00"/>
    <x v="28"/>
    <x v="0"/>
    <n v="170"/>
    <m/>
    <n v="244"/>
    <m/>
    <s v="2025-01"/>
    <s v="Pays full"/>
  </r>
  <r>
    <d v="2025-01-05T00:00:00"/>
    <x v="28"/>
    <x v="0"/>
    <n v="30"/>
    <m/>
    <n v="244"/>
    <m/>
    <s v="2025-01"/>
    <s v="Pays full"/>
  </r>
  <r>
    <d v="2025-01-06T00:00:00"/>
    <x v="28"/>
    <x v="0"/>
    <n v="553"/>
    <m/>
    <n v="244"/>
    <m/>
    <s v="2025-01"/>
    <s v="Pays full"/>
  </r>
  <r>
    <d v="2025-01-06T00:00:00"/>
    <x v="28"/>
    <x v="0"/>
    <n v="50"/>
    <m/>
    <n v="244"/>
    <m/>
    <s v="2025-01"/>
    <s v="Pays full"/>
  </r>
  <r>
    <d v="2025-01-08T00:00:00"/>
    <x v="28"/>
    <x v="0"/>
    <n v="70"/>
    <m/>
    <n v="244"/>
    <m/>
    <s v="2025-01"/>
    <s v="Pays full"/>
  </r>
  <r>
    <d v="2025-01-10T00:00:00"/>
    <x v="28"/>
    <x v="0"/>
    <n v="1270"/>
    <m/>
    <n v="244"/>
    <m/>
    <s v="2025-01"/>
    <s v="Pays full"/>
  </r>
  <r>
    <d v="2025-01-12T00:00:00"/>
    <x v="28"/>
    <x v="0"/>
    <n v="144"/>
    <m/>
    <n v="244"/>
    <m/>
    <s v="2025-01"/>
    <s v="Pays full"/>
  </r>
  <r>
    <d v="2025-01-13T00:00:00"/>
    <x v="28"/>
    <x v="0"/>
    <n v="135"/>
    <m/>
    <n v="244"/>
    <m/>
    <s v="2025-01"/>
    <s v="Pays full"/>
  </r>
  <r>
    <d v="2025-01-13T00:00:00"/>
    <x v="28"/>
    <x v="0"/>
    <n v="60"/>
    <m/>
    <n v="244"/>
    <m/>
    <s v="2025-01"/>
    <s v="Pays full"/>
  </r>
  <r>
    <d v="2025-01-14T00:00:00"/>
    <x v="28"/>
    <x v="0"/>
    <n v="99"/>
    <m/>
    <n v="244"/>
    <m/>
    <s v="2025-01"/>
    <s v="Pays full"/>
  </r>
  <r>
    <d v="2025-01-15T00:00:00"/>
    <x v="28"/>
    <x v="0"/>
    <n v="48"/>
    <m/>
    <n v="244"/>
    <m/>
    <s v="2025-01"/>
    <s v="Pays full"/>
  </r>
  <r>
    <d v="2025-01-16T00:00:00"/>
    <x v="28"/>
    <x v="0"/>
    <n v="775"/>
    <m/>
    <n v="244"/>
    <m/>
    <s v="2025-01"/>
    <s v="Pays full"/>
  </r>
  <r>
    <d v="2025-01-17T00:00:00"/>
    <x v="28"/>
    <x v="0"/>
    <n v="25"/>
    <m/>
    <n v="244"/>
    <m/>
    <s v="2025-01"/>
    <s v="Pays full"/>
  </r>
  <r>
    <d v="2025-01-20T00:00:00"/>
    <x v="28"/>
    <x v="0"/>
    <n v="30"/>
    <m/>
    <n v="244"/>
    <m/>
    <s v="2025-01"/>
    <s v="Pays full"/>
  </r>
  <r>
    <d v="2025-01-20T00:00:00"/>
    <x v="28"/>
    <x v="0"/>
    <n v="70"/>
    <m/>
    <n v="244"/>
    <m/>
    <s v="2025-01"/>
    <s v="Pays full"/>
  </r>
  <r>
    <d v="2025-01-20T00:00:00"/>
    <x v="28"/>
    <x v="0"/>
    <n v="339"/>
    <m/>
    <n v="244"/>
    <m/>
    <s v="2025-01"/>
    <s v="Pays full"/>
  </r>
  <r>
    <d v="2025-01-21T00:00:00"/>
    <x v="28"/>
    <x v="0"/>
    <n v="1060"/>
    <m/>
    <n v="244"/>
    <s v="CHAVAL (rice)"/>
    <s v="2025-01"/>
    <s v="Pays full"/>
  </r>
  <r>
    <d v="2025-01-22T00:00:00"/>
    <x v="28"/>
    <x v="0"/>
    <n v="72"/>
    <m/>
    <n v="244"/>
    <m/>
    <s v="2025-01"/>
    <s v="Pays full"/>
  </r>
  <r>
    <d v="2025-01-22T00:00:00"/>
    <x v="28"/>
    <x v="0"/>
    <n v="35"/>
    <m/>
    <n v="244"/>
    <m/>
    <s v="2025-01"/>
    <s v="Pays full"/>
  </r>
  <r>
    <d v="2025-01-22T00:00:00"/>
    <x v="28"/>
    <x v="0"/>
    <n v="30"/>
    <m/>
    <n v="244"/>
    <m/>
    <s v="2025-01"/>
    <s v="Pays full"/>
  </r>
  <r>
    <d v="2025-01-23T00:00:00"/>
    <x v="28"/>
    <x v="0"/>
    <n v="72"/>
    <m/>
    <n v="244"/>
    <m/>
    <s v="2025-01"/>
    <s v="Pays full"/>
  </r>
  <r>
    <d v="2025-01-23T00:00:00"/>
    <x v="28"/>
    <x v="0"/>
    <n v="40"/>
    <m/>
    <n v="244"/>
    <m/>
    <s v="2025-01"/>
    <s v="Pays full"/>
  </r>
  <r>
    <d v="2025-01-24T00:00:00"/>
    <x v="28"/>
    <x v="0"/>
    <n v="56"/>
    <m/>
    <n v="244"/>
    <m/>
    <s v="2025-01"/>
    <s v="Pays full"/>
  </r>
  <r>
    <d v="2025-01-24T00:00:00"/>
    <x v="28"/>
    <x v="0"/>
    <n v="84"/>
    <m/>
    <n v="244"/>
    <m/>
    <s v="2025-01"/>
    <s v="Pays full"/>
  </r>
  <r>
    <d v="2025-01-25T00:00:00"/>
    <x v="28"/>
    <x v="0"/>
    <n v="56"/>
    <m/>
    <n v="244"/>
    <m/>
    <s v="2025-01"/>
    <s v="Pays full"/>
  </r>
  <r>
    <d v="2025-01-25T00:00:00"/>
    <x v="28"/>
    <x v="0"/>
    <n v="143"/>
    <m/>
    <n v="244"/>
    <m/>
    <s v="2025-01"/>
    <s v="Pays full"/>
  </r>
  <r>
    <d v="2025-01-26T00:00:00"/>
    <x v="28"/>
    <x v="0"/>
    <n v="273"/>
    <m/>
    <n v="244"/>
    <m/>
    <s v="2025-01"/>
    <s v="Pays full"/>
  </r>
  <r>
    <d v="2025-01-27T00:00:00"/>
    <x v="28"/>
    <x v="0"/>
    <n v="76"/>
    <m/>
    <n v="244"/>
    <m/>
    <s v="2025-01"/>
    <s v="Pays full"/>
  </r>
  <r>
    <d v="2025-01-28T00:00:00"/>
    <x v="28"/>
    <x v="0"/>
    <n v="281"/>
    <m/>
    <n v="244"/>
    <m/>
    <s v="2025-01"/>
    <s v="Pays full"/>
  </r>
  <r>
    <d v="2025-01-29T00:00:00"/>
    <x v="28"/>
    <x v="0"/>
    <n v="150"/>
    <m/>
    <n v="244"/>
    <m/>
    <s v="2025-01"/>
    <s v="Pays full"/>
  </r>
  <r>
    <d v="2025-01-30T00:00:00"/>
    <x v="28"/>
    <x v="0"/>
    <n v="30"/>
    <m/>
    <n v="244"/>
    <m/>
    <s v="2025-01"/>
    <s v="Pays full"/>
  </r>
  <r>
    <d v="2025-01-30T00:00:00"/>
    <x v="28"/>
    <x v="0"/>
    <n v="338"/>
    <m/>
    <n v="244"/>
    <m/>
    <s v="2025-01"/>
    <s v="Pays full"/>
  </r>
  <r>
    <d v="2025-01-30T00:00:00"/>
    <x v="28"/>
    <x v="2"/>
    <n v="7"/>
    <n v="7238"/>
    <n v="244"/>
    <s v="CHECK: dad's Tot 7238 is 7 more than the lines (7231); one digit may be misread"/>
    <s v="2025-01"/>
    <s v="Pays full"/>
  </r>
  <r>
    <d v="2025-02-10T00:00:00"/>
    <x v="28"/>
    <x v="1"/>
    <n v="7238"/>
    <n v="0"/>
    <n v="244"/>
    <s v="Book: Pd 10/2 7238; balance 0"/>
    <s v="2025-02"/>
    <s v="Pays full"/>
  </r>
  <r>
    <d v="2025-01-31T00:00:00"/>
    <x v="28"/>
    <x v="0"/>
    <n v="44"/>
    <m/>
    <n v="244"/>
    <m/>
    <s v="2025-01"/>
    <s v="Pays full"/>
  </r>
  <r>
    <d v="2025-01-31T00:00:00"/>
    <x v="28"/>
    <x v="0"/>
    <n v="860"/>
    <m/>
    <n v="244"/>
    <m/>
    <s v="2025-01"/>
    <s v="Pays full"/>
  </r>
  <r>
    <d v="2025-02-01T00:00:00"/>
    <x v="28"/>
    <x v="0"/>
    <n v="34"/>
    <m/>
    <n v="244"/>
    <m/>
    <s v="2025-02"/>
    <s v="Pays full"/>
  </r>
  <r>
    <d v="2025-02-01T00:00:00"/>
    <x v="28"/>
    <x v="0"/>
    <n v="127"/>
    <m/>
    <n v="244"/>
    <m/>
    <s v="2025-02"/>
    <s v="Pays full"/>
  </r>
  <r>
    <d v="2025-02-02T00:00:00"/>
    <x v="28"/>
    <x v="0"/>
    <n v="34"/>
    <m/>
    <n v="244"/>
    <m/>
    <s v="2025-02"/>
    <s v="Pays full"/>
  </r>
  <r>
    <d v="2025-02-02T00:00:00"/>
    <x v="28"/>
    <x v="0"/>
    <n v="84"/>
    <m/>
    <n v="244"/>
    <m/>
    <s v="2025-02"/>
    <s v="Pays full"/>
  </r>
  <r>
    <d v="2025-02-03T00:00:00"/>
    <x v="28"/>
    <x v="0"/>
    <n v="28"/>
    <m/>
    <n v="244"/>
    <m/>
    <s v="2025-02"/>
    <s v="Pays full"/>
  </r>
  <r>
    <d v="2025-02-03T00:00:00"/>
    <x v="28"/>
    <x v="0"/>
    <n v="168"/>
    <m/>
    <n v="244"/>
    <m/>
    <s v="2025-02"/>
    <s v="Pays full"/>
  </r>
  <r>
    <d v="2025-02-03T00:00:00"/>
    <x v="28"/>
    <x v="0"/>
    <n v="251"/>
    <m/>
    <n v="244"/>
    <m/>
    <s v="2025-02"/>
    <s v="Pays full"/>
  </r>
  <r>
    <d v="2025-02-04T00:00:00"/>
    <x v="28"/>
    <x v="0"/>
    <n v="208"/>
    <m/>
    <n v="244"/>
    <m/>
    <s v="2025-02"/>
    <s v="Pays full"/>
  </r>
  <r>
    <d v="2025-02-05T00:00:00"/>
    <x v="28"/>
    <x v="0"/>
    <n v="50"/>
    <m/>
    <n v="244"/>
    <m/>
    <s v="2025-02"/>
    <s v="Pays full"/>
  </r>
  <r>
    <d v="2025-02-06T00:00:00"/>
    <x v="28"/>
    <x v="0"/>
    <n v="62"/>
    <m/>
    <n v="244"/>
    <m/>
    <s v="2025-02"/>
    <s v="Pays full"/>
  </r>
  <r>
    <d v="2025-02-06T00:00:00"/>
    <x v="28"/>
    <x v="0"/>
    <n v="13"/>
    <m/>
    <n v="244"/>
    <m/>
    <s v="2025-02"/>
    <s v="Pays full"/>
  </r>
  <r>
    <d v="2025-02-07T00:00:00"/>
    <x v="28"/>
    <x v="0"/>
    <n v="160"/>
    <m/>
    <n v="244"/>
    <m/>
    <s v="2025-02"/>
    <s v="Pays full"/>
  </r>
  <r>
    <d v="2025-02-07T00:00:00"/>
    <x v="28"/>
    <x v="0"/>
    <n v="14"/>
    <m/>
    <n v="244"/>
    <m/>
    <s v="2025-02"/>
    <s v="Pays full"/>
  </r>
  <r>
    <d v="2025-02-07T00:00:00"/>
    <x v="28"/>
    <x v="0"/>
    <n v="212"/>
    <m/>
    <n v="244"/>
    <m/>
    <s v="2025-02"/>
    <s v="Pays full"/>
  </r>
  <r>
    <d v="2025-02-08T00:00:00"/>
    <x v="28"/>
    <x v="0"/>
    <n v="40"/>
    <m/>
    <n v="244"/>
    <m/>
    <s v="2025-02"/>
    <s v="Pays full"/>
  </r>
  <r>
    <d v="2025-02-08T00:00:00"/>
    <x v="28"/>
    <x v="0"/>
    <n v="246"/>
    <m/>
    <n v="244"/>
    <m/>
    <s v="2025-02"/>
    <s v="Pays full"/>
  </r>
  <r>
    <d v="2025-02-10T00:00:00"/>
    <x v="28"/>
    <x v="0"/>
    <n v="15"/>
    <m/>
    <n v="244"/>
    <m/>
    <s v="2025-02"/>
    <s v="Pays full"/>
  </r>
  <r>
    <d v="2025-02-10T00:00:00"/>
    <x v="28"/>
    <x v="0"/>
    <n v="175"/>
    <m/>
    <n v="244"/>
    <m/>
    <s v="2025-02"/>
    <s v="Pays full"/>
  </r>
  <r>
    <d v="2025-02-10T00:00:00"/>
    <x v="28"/>
    <x v="0"/>
    <n v="361"/>
    <m/>
    <n v="244"/>
    <m/>
    <s v="2025-02"/>
    <s v="Pays full"/>
  </r>
  <r>
    <d v="2025-02-11T00:00:00"/>
    <x v="28"/>
    <x v="0"/>
    <n v="16"/>
    <m/>
    <n v="244"/>
    <m/>
    <s v="2025-02"/>
    <s v="Pays full"/>
  </r>
  <r>
    <d v="2025-02-11T00:00:00"/>
    <x v="28"/>
    <x v="0"/>
    <n v="184"/>
    <m/>
    <n v="244"/>
    <m/>
    <s v="2025-02"/>
    <s v="Pays full"/>
  </r>
  <r>
    <d v="2025-02-11T00:00:00"/>
    <x v="28"/>
    <x v="0"/>
    <n v="30"/>
    <m/>
    <n v="244"/>
    <m/>
    <s v="2025-02"/>
    <s v="Pays full"/>
  </r>
  <r>
    <d v="2025-02-12T00:00:00"/>
    <x v="28"/>
    <x v="0"/>
    <n v="100"/>
    <m/>
    <n v="244"/>
    <s v="Written 12/2 OIL"/>
    <s v="2025-02"/>
    <s v="Pays full"/>
  </r>
  <r>
    <d v="2025-02-13T00:00:00"/>
    <x v="28"/>
    <x v="0"/>
    <n v="68"/>
    <m/>
    <n v="244"/>
    <m/>
    <s v="2025-02"/>
    <s v="Pays full"/>
  </r>
  <r>
    <d v="2025-02-13T00:00:00"/>
    <x v="28"/>
    <x v="0"/>
    <n v="123"/>
    <m/>
    <n v="244"/>
    <m/>
    <s v="2025-02"/>
    <s v="Pays full"/>
  </r>
  <r>
    <d v="2025-02-14T00:00:00"/>
    <x v="28"/>
    <x v="0"/>
    <n v="72"/>
    <m/>
    <n v="244"/>
    <s v="CHECK: first digit overwritten (72 or 82); no total to confirm"/>
    <s v="2025-02"/>
    <s v="Pays full"/>
  </r>
  <r>
    <d v="2025-02-14T00:00:00"/>
    <x v="28"/>
    <x v="0"/>
    <n v="68"/>
    <m/>
    <n v="244"/>
    <m/>
    <s v="2025-02"/>
    <s v="Pays full"/>
  </r>
  <r>
    <d v="2025-02-15T00:00:00"/>
    <x v="28"/>
    <x v="0"/>
    <n v="1280"/>
    <m/>
    <n v="244"/>
    <s v="GAS"/>
    <s v="2025-02"/>
    <s v="Pays full"/>
  </r>
  <r>
    <d v="2025-02-15T00:00:00"/>
    <x v="28"/>
    <x v="0"/>
    <n v="39"/>
    <m/>
    <n v="244"/>
    <m/>
    <s v="2025-02"/>
    <s v="Pays full"/>
  </r>
  <r>
    <d v="2025-02-16T00:00:00"/>
    <x v="28"/>
    <x v="0"/>
    <n v="24"/>
    <m/>
    <n v="244"/>
    <m/>
    <s v="2025-02"/>
    <s v="Pays full"/>
  </r>
  <r>
    <d v="2025-02-17T00:00:00"/>
    <x v="28"/>
    <x v="0"/>
    <n v="1865"/>
    <m/>
    <n v="244"/>
    <s v="CHECK: CHAVAL (rice); page continues on the next page (cut off at the right edge); no total yet to confirm Feb"/>
    <s v="2025-02"/>
    <s v="Pays ful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847F01-4E36-4A3F-89A9-4E458A0E09A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3" firstHeaderRow="1" firstDataRow="1" firstDataCol="1" rowPageCount="1" colPageCount="1"/>
  <pivotFields count="9">
    <pivotField showAll="0"/>
    <pivotField axis="axisRow" showAll="0" sortType="descending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multipleItemSelectionAllowed="1" showAll="0">
      <items count="5">
        <item h="1" x="2"/>
        <item h="1" x="3"/>
        <item h="1" x="1"/>
        <item x="0"/>
        <item t="default"/>
      </items>
    </pivotField>
    <pivotField dataField="1" numFmtId="3" showAll="0"/>
    <pivotField showAll="0"/>
    <pivotField showAll="0"/>
    <pivotField showAll="0"/>
    <pivotField showAll="0"/>
    <pivotField showAll="0"/>
  </pivotFields>
  <rowFields count="1">
    <field x="1"/>
  </rowFields>
  <rowItems count="30">
    <i>
      <x v="26"/>
    </i>
    <i>
      <x v="5"/>
    </i>
    <i>
      <x v="18"/>
    </i>
    <i>
      <x v="25"/>
    </i>
    <i>
      <x v="6"/>
    </i>
    <i>
      <x v="16"/>
    </i>
    <i>
      <x v="12"/>
    </i>
    <i>
      <x v="1"/>
    </i>
    <i>
      <x v="14"/>
    </i>
    <i>
      <x v="20"/>
    </i>
    <i>
      <x v="3"/>
    </i>
    <i>
      <x v="28"/>
    </i>
    <i>
      <x v="19"/>
    </i>
    <i>
      <x v="22"/>
    </i>
    <i>
      <x v="2"/>
    </i>
    <i>
      <x v="9"/>
    </i>
    <i>
      <x v="21"/>
    </i>
    <i>
      <x v="17"/>
    </i>
    <i>
      <x/>
    </i>
    <i>
      <x v="13"/>
    </i>
    <i>
      <x v="23"/>
    </i>
    <i>
      <x v="10"/>
    </i>
    <i>
      <x v="24"/>
    </i>
    <i>
      <x v="15"/>
    </i>
    <i>
      <x v="27"/>
    </i>
    <i>
      <x v="4"/>
    </i>
    <i>
      <x v="11"/>
    </i>
    <i>
      <x v="7"/>
    </i>
    <i>
      <x v="8"/>
    </i>
    <i t="grand">
      <x/>
    </i>
  </rowItems>
  <colItems count="1">
    <i/>
  </colItems>
  <pageFields count="1">
    <pageField fld="2" hier="-1"/>
  </pageFields>
  <dataFields count="1">
    <dataField name="Sum of Amount" fld="3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F04884-BC82-4D7F-BAE9-4940D33E3D0F}" name="Table1" displayName="Table1" ref="A1:I3066" totalsRowShown="0" headerRowDxfId="10">
  <autoFilter ref="A1:I3066" xr:uid="{D4F04884-BC82-4D7F-BAE9-4940D33E3D0F}"/>
  <tableColumns count="9">
    <tableColumn id="1" xr3:uid="{2CC977CA-8655-4714-A4C0-A64FE3BB526D}" name="Date" dataDxfId="9"/>
    <tableColumn id="2" xr3:uid="{5A70B7CB-D485-420D-A79F-2A246D7B4767}" name="Customer_ID" dataDxfId="8"/>
    <tableColumn id="3" xr3:uid="{61F46F36-FB79-4FFE-B16E-2CF2D71A78A7}" name="Type" dataDxfId="7"/>
    <tableColumn id="4" xr3:uid="{7991D6FE-FD3B-4C25-8984-7EBF53607A09}" name="Amount" dataDxfId="6"/>
    <tableColumn id="5" xr3:uid="{AD07FC55-21EB-4912-9580-DE27E03B3ED6}" name="Written_Balance" dataDxfId="5"/>
    <tableColumn id="6" xr3:uid="{2A67D19C-A7CC-4F16-812F-E0A0650D284D}" name="Page_No" dataDxfId="4"/>
    <tableColumn id="7" xr3:uid="{25B94945-68F8-4205-BC35-22E3EB82257A}" name="Notes" dataDxfId="3"/>
    <tableColumn id="8" xr3:uid="{143FC138-BF21-4422-979D-48EB7D2BDBC7}" name="Month">
      <calculatedColumnFormula>IF(A2="","",TEXT(A2,"yyyy-mm"))</calculatedColumnFormula>
    </tableColumn>
    <tableColumn id="9" xr3:uid="{FA24EB99-4177-4552-B68E-EDAFA35F10A9}" name="Customer_Type">
      <calculatedColumnFormula>_xlfn.XLOOKUP(Table1[[#This Row],[Customer_ID]],Customers!$A$2:$A$30,Customers!$C$2:$C$30,"Not found")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workbookViewId="0"/>
  </sheetViews>
  <sheetFormatPr defaultRowHeight="14.4"/>
  <cols>
    <col min="1" max="1" width="100" customWidth="1"/>
  </cols>
  <sheetData>
    <row r="1" spans="1:1" ht="17.399999999999999" customHeight="1">
      <c r="A1" s="1" t="s">
        <v>61</v>
      </c>
    </row>
    <row r="2" spans="1:1">
      <c r="A2" t="s">
        <v>62</v>
      </c>
    </row>
    <row r="3" spans="1:1">
      <c r="A3" t="s">
        <v>63</v>
      </c>
    </row>
    <row r="4" spans="1:1">
      <c r="A4" t="s">
        <v>64</v>
      </c>
    </row>
    <row r="5" spans="1:1">
      <c r="A5" t="s">
        <v>65</v>
      </c>
    </row>
    <row r="6" spans="1:1">
      <c r="A6" t="s">
        <v>66</v>
      </c>
    </row>
    <row r="7" spans="1:1">
      <c r="A7" t="s">
        <v>67</v>
      </c>
    </row>
    <row r="8" spans="1:1">
      <c r="A8" t="s">
        <v>68</v>
      </c>
    </row>
    <row r="9" spans="1:1">
      <c r="A9" t="s">
        <v>69</v>
      </c>
    </row>
    <row r="11" spans="1:1">
      <c r="A11" t="s">
        <v>873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1FAAF-CA79-4BCA-988B-4E933A39D37E}">
  <dimension ref="A1:D33"/>
  <sheetViews>
    <sheetView workbookViewId="0">
      <selection activeCell="D5" sqref="D5"/>
    </sheetView>
  </sheetViews>
  <sheetFormatPr defaultRowHeight="14.4"/>
  <cols>
    <col min="1" max="1" width="12.77734375" bestFit="1" customWidth="1"/>
    <col min="2" max="2" width="14.44140625" bestFit="1" customWidth="1"/>
  </cols>
  <sheetData>
    <row r="1" spans="1:4">
      <c r="A1" s="12" t="s">
        <v>2</v>
      </c>
      <c r="B1" t="s">
        <v>8</v>
      </c>
    </row>
    <row r="3" spans="1:4">
      <c r="A3" s="12" t="s">
        <v>672</v>
      </c>
      <c r="B3" t="s">
        <v>674</v>
      </c>
    </row>
    <row r="4" spans="1:4">
      <c r="A4" s="13" t="s">
        <v>590</v>
      </c>
      <c r="B4" s="14">
        <v>0.1999603175712118</v>
      </c>
      <c r="D4" s="14">
        <f>SUM(B4:B8)</f>
        <v>0.45863945160001224</v>
      </c>
    </row>
    <row r="5" spans="1:4">
      <c r="A5" s="13" t="s">
        <v>79</v>
      </c>
      <c r="B5" s="14">
        <v>7.5351902101771451E-2</v>
      </c>
    </row>
    <row r="6" spans="1:4">
      <c r="A6" s="13" t="s">
        <v>92</v>
      </c>
      <c r="B6" s="14">
        <v>7.0032500468084985E-2</v>
      </c>
    </row>
    <row r="7" spans="1:4">
      <c r="A7" s="13" t="s">
        <v>564</v>
      </c>
      <c r="B7" s="14">
        <v>5.6812942060859434E-2</v>
      </c>
    </row>
    <row r="8" spans="1:4">
      <c r="A8" s="13" t="s">
        <v>80</v>
      </c>
      <c r="B8" s="14">
        <v>5.6481789398084625E-2</v>
      </c>
    </row>
    <row r="9" spans="1:4">
      <c r="A9" s="13" t="s">
        <v>90</v>
      </c>
      <c r="B9" s="14">
        <v>4.7822915764264014E-2</v>
      </c>
    </row>
    <row r="10" spans="1:4">
      <c r="A10" s="13" t="s">
        <v>86</v>
      </c>
      <c r="B10" s="14">
        <v>4.5120598254532039E-2</v>
      </c>
    </row>
    <row r="11" spans="1:4">
      <c r="A11" s="13" t="s">
        <v>31</v>
      </c>
      <c r="B11" s="14">
        <v>4.0313994204129767E-2</v>
      </c>
    </row>
    <row r="12" spans="1:4">
      <c r="A12" s="13" t="s">
        <v>88</v>
      </c>
      <c r="B12" s="14">
        <v>3.788833588101978E-2</v>
      </c>
    </row>
    <row r="13" spans="1:4">
      <c r="A13" s="13" t="s">
        <v>446</v>
      </c>
      <c r="B13" s="14">
        <v>3.6549752543727519E-2</v>
      </c>
    </row>
    <row r="14" spans="1:4">
      <c r="A14" s="13" t="s">
        <v>77</v>
      </c>
      <c r="B14" s="14">
        <v>3.3524665982936554E-2</v>
      </c>
    </row>
    <row r="15" spans="1:4">
      <c r="A15" s="13" t="s">
        <v>858</v>
      </c>
      <c r="B15" s="14">
        <v>3.2666743050684524E-2</v>
      </c>
    </row>
    <row r="16" spans="1:4">
      <c r="A16" s="13" t="s">
        <v>93</v>
      </c>
      <c r="B16" s="14">
        <v>2.7699453109062404E-2</v>
      </c>
    </row>
    <row r="17" spans="1:2">
      <c r="A17" s="13" t="s">
        <v>502</v>
      </c>
      <c r="B17" s="14">
        <v>2.7675699542534255E-2</v>
      </c>
    </row>
    <row r="18" spans="1:2">
      <c r="A18" s="13" t="s">
        <v>76</v>
      </c>
      <c r="B18" s="14">
        <v>2.5087958059585122E-2</v>
      </c>
    </row>
    <row r="19" spans="1:2">
      <c r="A19" s="13" t="s">
        <v>83</v>
      </c>
      <c r="B19" s="14">
        <v>2.0564999538901355E-2</v>
      </c>
    </row>
    <row r="20" spans="1:2">
      <c r="A20" s="13" t="s">
        <v>489</v>
      </c>
      <c r="B20" s="14">
        <v>2.046439619831154E-2</v>
      </c>
    </row>
    <row r="21" spans="1:2">
      <c r="A21" s="13" t="s">
        <v>91</v>
      </c>
      <c r="B21" s="14">
        <v>1.9722446561461656E-2</v>
      </c>
    </row>
    <row r="22" spans="1:2">
      <c r="A22" s="13" t="s">
        <v>7</v>
      </c>
      <c r="B22" s="14">
        <v>1.9528226223378541E-2</v>
      </c>
    </row>
    <row r="23" spans="1:2">
      <c r="A23" s="13" t="s">
        <v>87</v>
      </c>
      <c r="B23" s="14">
        <v>1.87136186183249E-2</v>
      </c>
    </row>
    <row r="24" spans="1:2">
      <c r="A24" s="13" t="s">
        <v>521</v>
      </c>
      <c r="B24" s="14">
        <v>1.8283259883579577E-2</v>
      </c>
    </row>
    <row r="25" spans="1:2">
      <c r="A25" s="13" t="s">
        <v>84</v>
      </c>
      <c r="B25" s="14">
        <v>1.6870621309464259E-2</v>
      </c>
    </row>
    <row r="26" spans="1:2">
      <c r="A26" s="13" t="s">
        <v>545</v>
      </c>
      <c r="B26" s="14">
        <v>1.6458427066769879E-2</v>
      </c>
    </row>
    <row r="27" spans="1:2">
      <c r="A27" s="13" t="s">
        <v>89</v>
      </c>
      <c r="B27" s="14">
        <v>1.3677862514356934E-2</v>
      </c>
    </row>
    <row r="28" spans="1:2">
      <c r="A28" s="13" t="s">
        <v>846</v>
      </c>
      <c r="B28" s="14">
        <v>1.0174910085764348E-2</v>
      </c>
    </row>
    <row r="29" spans="1:2">
      <c r="A29" s="13" t="s">
        <v>78</v>
      </c>
      <c r="B29" s="14">
        <v>6.6370259416891862E-3</v>
      </c>
    </row>
    <row r="30" spans="1:2">
      <c r="A30" s="13" t="s">
        <v>85</v>
      </c>
      <c r="B30" s="14">
        <v>2.7456328369303683E-3</v>
      </c>
    </row>
    <row r="31" spans="1:2">
      <c r="A31" s="13" t="s">
        <v>81</v>
      </c>
      <c r="B31" s="14">
        <v>2.2831369239410802E-3</v>
      </c>
    </row>
    <row r="32" spans="1:2">
      <c r="A32" s="13" t="s">
        <v>82</v>
      </c>
      <c r="B32" s="14">
        <v>8.8586830463809345E-4</v>
      </c>
    </row>
    <row r="33" spans="1:2">
      <c r="A33" s="13" t="s">
        <v>673</v>
      </c>
      <c r="B33" s="1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7F5AE-DFD0-4C8F-A148-F3B6D70AC883}">
  <dimension ref="A1:K32"/>
  <sheetViews>
    <sheetView tabSelected="1" workbookViewId="0">
      <selection activeCell="G2" sqref="G2"/>
    </sheetView>
  </sheetViews>
  <sheetFormatPr defaultRowHeight="14.4"/>
  <cols>
    <col min="1" max="1" width="12.109375" bestFit="1" customWidth="1"/>
    <col min="2" max="2" width="12.77734375" bestFit="1" customWidth="1"/>
    <col min="3" max="3" width="10" bestFit="1" customWidth="1"/>
    <col min="4" max="4" width="11.6640625" bestFit="1" customWidth="1"/>
    <col min="5" max="5" width="11.88671875" bestFit="1" customWidth="1"/>
    <col min="6" max="6" width="10.77734375" bestFit="1" customWidth="1"/>
    <col min="7" max="7" width="8.33203125" bestFit="1" customWidth="1"/>
    <col min="8" max="8" width="14.109375" bestFit="1" customWidth="1"/>
    <col min="9" max="9" width="15.77734375" bestFit="1" customWidth="1"/>
    <col min="10" max="10" width="13.21875" bestFit="1" customWidth="1"/>
    <col min="11" max="11" width="14.5546875" bestFit="1" customWidth="1"/>
  </cols>
  <sheetData>
    <row r="1" spans="1:11">
      <c r="A1" s="25" t="s">
        <v>1</v>
      </c>
      <c r="B1" s="26" t="s">
        <v>689</v>
      </c>
      <c r="C1" s="25" t="s">
        <v>691</v>
      </c>
      <c r="D1" s="25" t="s">
        <v>28</v>
      </c>
      <c r="E1" s="25" t="s">
        <v>692</v>
      </c>
      <c r="F1" s="25" t="s">
        <v>693</v>
      </c>
      <c r="G1" s="25" t="s">
        <v>694</v>
      </c>
      <c r="H1" s="25" t="s">
        <v>695</v>
      </c>
      <c r="I1" s="25" t="s">
        <v>696</v>
      </c>
      <c r="J1" s="25" t="s">
        <v>697</v>
      </c>
      <c r="K1" s="25" t="s">
        <v>698</v>
      </c>
    </row>
    <row r="2" spans="1:11">
      <c r="A2" t="s">
        <v>7</v>
      </c>
      <c r="B2" s="16">
        <f>SUMIFS(Table1[Amount],Table1[Customer_ID],A2,Table1[Type],"Purchase")</f>
        <v>13976</v>
      </c>
      <c r="C2" s="16">
        <f>SUMIFS(Table1[Amount],Table1[Customer_ID],A2,Table1[Type],"Payment")</f>
        <v>7500</v>
      </c>
      <c r="D2" s="16">
        <f>SUMIFS(Table1[Amount],Table1[Customer_ID],A2,Table1[Type],"Old_Balance")</f>
        <v>3894</v>
      </c>
      <c r="E2" s="16">
        <f>SUMIFS(Table1[Amount],Table1[Customer_ID],A2,Table1[Type],"Adjustment")</f>
        <v>-69</v>
      </c>
      <c r="F2" s="16">
        <f t="shared" ref="F2:F28" si="0">D2+B2+E2-C2</f>
        <v>10301</v>
      </c>
      <c r="G2" s="17">
        <f t="shared" ref="G2:G28" si="1">IFERROR(C2/(B2+D2+E2),0)</f>
        <v>0.421324644682883</v>
      </c>
      <c r="H2" s="17">
        <f t="shared" ref="H2:H30" si="2">B2/SUM($B$2:$B$30)</f>
        <v>1.9528226223378541E-2</v>
      </c>
      <c r="I2">
        <f>COUNTIFS(Table1[Customer_ID],A2,Table1[Type],"Purchase")</f>
        <v>60</v>
      </c>
      <c r="J2" s="9">
        <f>_xlfn.MAXIFS(Table1[Date],Table1[Customer_ID],A2,Table1[Type],"Purchase")</f>
        <v>45743</v>
      </c>
      <c r="K2" t="str">
        <f>_xlfn.XLOOKUP(A2,Customers!$A$2:$A$30,Customers!$C$2:$C$30,"Not found")</f>
        <v>Carries forward</v>
      </c>
    </row>
    <row r="3" spans="1:11">
      <c r="A3" t="s">
        <v>31</v>
      </c>
      <c r="B3" s="16">
        <f>SUMIFS(Table1[Amount],Table1[Customer_ID],A3,Table1[Type],"Purchase")</f>
        <v>28852</v>
      </c>
      <c r="C3" s="16">
        <f>SUMIFS(Table1[Amount],Table1[Customer_ID],A3,Table1[Type],"Payment")</f>
        <v>34982</v>
      </c>
      <c r="D3" s="16">
        <f>SUMIFS(Table1[Amount],Table1[Customer_ID],A3,Table1[Type],"Old_Balance")</f>
        <v>5689</v>
      </c>
      <c r="E3" s="16">
        <f>SUMIFS(Table1[Amount],Table1[Customer_ID],A3,Table1[Type],"Adjustment")</f>
        <v>441</v>
      </c>
      <c r="F3" s="16">
        <f t="shared" si="0"/>
        <v>0</v>
      </c>
      <c r="G3" s="17">
        <f t="shared" si="1"/>
        <v>1</v>
      </c>
      <c r="H3" s="17">
        <f t="shared" si="2"/>
        <v>4.0313994204129767E-2</v>
      </c>
      <c r="I3">
        <f>COUNTIFS(Table1[Customer_ID],A3,Table1[Type],"Purchase")</f>
        <v>164</v>
      </c>
      <c r="J3" s="9">
        <f>_xlfn.MAXIFS(Table1[Date],Table1[Customer_ID],A3,Table1[Type],"Purchase")</f>
        <v>45759</v>
      </c>
      <c r="K3" t="str">
        <f>_xlfn.XLOOKUP(A3,Customers!$A$2:$A$30,Customers!$C$2:$C$30,"Not found")</f>
        <v>Pays full</v>
      </c>
    </row>
    <row r="4" spans="1:11">
      <c r="A4" t="s">
        <v>76</v>
      </c>
      <c r="B4" s="16">
        <f>SUMIFS(Table1[Amount],Table1[Customer_ID],A4,Table1[Type],"Purchase")</f>
        <v>17955</v>
      </c>
      <c r="C4" s="16">
        <f>SUMIFS(Table1[Amount],Table1[Customer_ID],A4,Table1[Type],"Payment")</f>
        <v>18000</v>
      </c>
      <c r="D4" s="16">
        <f>SUMIFS(Table1[Amount],Table1[Customer_ID],A4,Table1[Type],"Old_Balance")</f>
        <v>0</v>
      </c>
      <c r="E4" s="16">
        <f>SUMIFS(Table1[Amount],Table1[Customer_ID],A4,Table1[Type],"Adjustment")</f>
        <v>178</v>
      </c>
      <c r="F4" s="16">
        <f t="shared" si="0"/>
        <v>133</v>
      </c>
      <c r="G4" s="17">
        <f t="shared" si="1"/>
        <v>0.99266530634754313</v>
      </c>
      <c r="H4" s="17">
        <f t="shared" si="2"/>
        <v>2.5087958059585122E-2</v>
      </c>
      <c r="I4">
        <f>COUNTIFS(Table1[Customer_ID],A4,Table1[Type],"Purchase")</f>
        <v>151</v>
      </c>
      <c r="J4" s="9">
        <f>_xlfn.MAXIFS(Table1[Date],Table1[Customer_ID],A4,Table1[Type],"Purchase")</f>
        <v>44907</v>
      </c>
      <c r="K4" t="str">
        <f>_xlfn.XLOOKUP(A4,Customers!$A$2:$A$30,Customers!$C$2:$C$30,"Not found")</f>
        <v>Carries forward</v>
      </c>
    </row>
    <row r="5" spans="1:11">
      <c r="A5" t="s">
        <v>77</v>
      </c>
      <c r="B5" s="16">
        <f>SUMIFS(Table1[Amount],Table1[Customer_ID],A5,Table1[Type],"Purchase")</f>
        <v>23993</v>
      </c>
      <c r="C5" s="16">
        <f>SUMIFS(Table1[Amount],Table1[Customer_ID],A5,Table1[Type],"Payment")</f>
        <v>18000</v>
      </c>
      <c r="D5" s="16">
        <f>SUMIFS(Table1[Amount],Table1[Customer_ID],A5,Table1[Type],"Old_Balance")</f>
        <v>320</v>
      </c>
      <c r="E5" s="16">
        <f>SUMIFS(Table1[Amount],Table1[Customer_ID],A5,Table1[Type],"Adjustment")</f>
        <v>-255</v>
      </c>
      <c r="F5" s="16">
        <f t="shared" si="0"/>
        <v>6058</v>
      </c>
      <c r="G5" s="17">
        <f t="shared" si="1"/>
        <v>0.74819186964834983</v>
      </c>
      <c r="H5" s="17">
        <f t="shared" si="2"/>
        <v>3.3524665982936554E-2</v>
      </c>
      <c r="I5">
        <f>COUNTIFS(Table1[Customer_ID],A5,Table1[Type],"Purchase")</f>
        <v>167</v>
      </c>
      <c r="J5" s="9">
        <f>_xlfn.MAXIFS(Table1[Date],Table1[Customer_ID],A5,Table1[Type],"Purchase")</f>
        <v>44997</v>
      </c>
      <c r="K5" t="str">
        <f>_xlfn.XLOOKUP(A5,Customers!$A$2:$A$30,Customers!$C$2:$C$30,"Not found")</f>
        <v>Carries forward</v>
      </c>
    </row>
    <row r="6" spans="1:11">
      <c r="A6" t="s">
        <v>78</v>
      </c>
      <c r="B6" s="16">
        <f>SUMIFS(Table1[Amount],Table1[Customer_ID],A6,Table1[Type],"Purchase")</f>
        <v>4750</v>
      </c>
      <c r="C6" s="16">
        <f>SUMIFS(Table1[Amount],Table1[Customer_ID],A6,Table1[Type],"Payment")</f>
        <v>3400</v>
      </c>
      <c r="D6" s="16">
        <f>SUMIFS(Table1[Amount],Table1[Customer_ID],A6,Table1[Type],"Old_Balance")</f>
        <v>653</v>
      </c>
      <c r="E6" s="16">
        <f>SUMIFS(Table1[Amount],Table1[Customer_ID],A6,Table1[Type],"Adjustment")</f>
        <v>9</v>
      </c>
      <c r="F6" s="16">
        <f t="shared" si="0"/>
        <v>2012</v>
      </c>
      <c r="G6" s="17">
        <f t="shared" si="1"/>
        <v>0.6282335550628233</v>
      </c>
      <c r="H6" s="17">
        <f t="shared" si="2"/>
        <v>6.6370259416891862E-3</v>
      </c>
      <c r="I6">
        <f>COUNTIFS(Table1[Customer_ID],A6,Table1[Type],"Purchase")</f>
        <v>186</v>
      </c>
      <c r="J6" s="9">
        <f>_xlfn.MAXIFS(Table1[Date],Table1[Customer_ID],A6,Table1[Type],"Purchase")</f>
        <v>45026</v>
      </c>
      <c r="K6" t="str">
        <f>_xlfn.XLOOKUP(A6,Customers!$A$2:$A$30,Customers!$C$2:$C$30,"Not found")</f>
        <v>Carries forward</v>
      </c>
    </row>
    <row r="7" spans="1:11">
      <c r="A7" t="s">
        <v>79</v>
      </c>
      <c r="B7" s="16">
        <f>SUMIFS(Table1[Amount],Table1[Customer_ID],A7,Table1[Type],"Purchase")</f>
        <v>53928</v>
      </c>
      <c r="C7" s="16">
        <f>SUMIFS(Table1[Amount],Table1[Customer_ID],A7,Table1[Type],"Payment")</f>
        <v>48750</v>
      </c>
      <c r="D7" s="16">
        <f>SUMIFS(Table1[Amount],Table1[Customer_ID],A7,Table1[Type],"Old_Balance")</f>
        <v>6954</v>
      </c>
      <c r="E7" s="16">
        <f>SUMIFS(Table1[Amount],Table1[Customer_ID],A7,Table1[Type],"Adjustment")</f>
        <v>-2563</v>
      </c>
      <c r="F7" s="16">
        <f t="shared" si="0"/>
        <v>9569</v>
      </c>
      <c r="G7" s="17">
        <f t="shared" si="1"/>
        <v>0.8359196831221386</v>
      </c>
      <c r="H7" s="17">
        <f t="shared" si="2"/>
        <v>7.5351902101771451E-2</v>
      </c>
      <c r="I7">
        <f>COUNTIFS(Table1[Customer_ID],A7,Table1[Type],"Purchase")</f>
        <v>173</v>
      </c>
      <c r="J7" s="9">
        <f>_xlfn.MAXIFS(Table1[Date],Table1[Customer_ID],A7,Table1[Type],"Purchase")</f>
        <v>45049</v>
      </c>
      <c r="K7" t="str">
        <f>_xlfn.XLOOKUP(A7,Customers!$A$2:$A$30,Customers!$C$2:$C$30,"Not found")</f>
        <v>Mixed</v>
      </c>
    </row>
    <row r="8" spans="1:11">
      <c r="A8" t="s">
        <v>80</v>
      </c>
      <c r="B8" s="16">
        <f>SUMIFS(Table1[Amount],Table1[Customer_ID],A8,Table1[Type],"Purchase")</f>
        <v>40423</v>
      </c>
      <c r="C8" s="16">
        <f>SUMIFS(Table1[Amount],Table1[Customer_ID],A8,Table1[Type],"Payment")</f>
        <v>45396</v>
      </c>
      <c r="D8" s="16">
        <f>SUMIFS(Table1[Amount],Table1[Customer_ID],A8,Table1[Type],"Old_Balance")</f>
        <v>14329</v>
      </c>
      <c r="E8" s="16">
        <f>SUMIFS(Table1[Amount],Table1[Customer_ID],A8,Table1[Type],"Adjustment")</f>
        <v>-272</v>
      </c>
      <c r="F8" s="16">
        <f t="shared" si="0"/>
        <v>9084</v>
      </c>
      <c r="G8" s="17">
        <f t="shared" si="1"/>
        <v>0.83325991189427318</v>
      </c>
      <c r="H8" s="17">
        <f t="shared" si="2"/>
        <v>5.6481789398084625E-2</v>
      </c>
      <c r="I8">
        <f>COUNTIFS(Table1[Customer_ID],A8,Table1[Type],"Purchase")</f>
        <v>101</v>
      </c>
      <c r="J8" s="9">
        <f>_xlfn.MAXIFS(Table1[Date],Table1[Customer_ID],A8,Table1[Type],"Purchase")</f>
        <v>44923</v>
      </c>
      <c r="K8" t="str">
        <f>_xlfn.XLOOKUP(A8,Customers!$A$2:$A$30,Customers!$C$2:$C$30,"Not found")</f>
        <v>Pays full</v>
      </c>
    </row>
    <row r="9" spans="1:11">
      <c r="A9" t="s">
        <v>81</v>
      </c>
      <c r="B9" s="16">
        <f>SUMIFS(Table1[Amount],Table1[Customer_ID],A9,Table1[Type],"Purchase")</f>
        <v>1634</v>
      </c>
      <c r="C9" s="16">
        <f>SUMIFS(Table1[Amount],Table1[Customer_ID],A9,Table1[Type],"Payment")</f>
        <v>1888</v>
      </c>
      <c r="D9" s="16">
        <f>SUMIFS(Table1[Amount],Table1[Customer_ID],A9,Table1[Type],"Old_Balance")</f>
        <v>259</v>
      </c>
      <c r="E9" s="16">
        <f>SUMIFS(Table1[Amount],Table1[Customer_ID],A9,Table1[Type],"Adjustment")</f>
        <v>-5</v>
      </c>
      <c r="F9" s="16">
        <f t="shared" si="0"/>
        <v>0</v>
      </c>
      <c r="G9" s="17">
        <f t="shared" si="1"/>
        <v>1</v>
      </c>
      <c r="H9" s="17">
        <f t="shared" si="2"/>
        <v>2.2831369239410802E-3</v>
      </c>
      <c r="I9">
        <f>COUNTIFS(Table1[Customer_ID],A9,Table1[Type],"Purchase")</f>
        <v>95</v>
      </c>
      <c r="J9" s="9">
        <f>_xlfn.MAXIFS(Table1[Date],Table1[Customer_ID],A9,Table1[Type],"Purchase")</f>
        <v>44934</v>
      </c>
      <c r="K9" t="str">
        <f>_xlfn.XLOOKUP(A9,Customers!$A$2:$A$30,Customers!$C$2:$C$30,"Not found")</f>
        <v>Carries forward</v>
      </c>
    </row>
    <row r="10" spans="1:11">
      <c r="A10" t="s">
        <v>82</v>
      </c>
      <c r="B10" s="16">
        <f>SUMIFS(Table1[Amount],Table1[Customer_ID],A10,Table1[Type],"Purchase")</f>
        <v>634</v>
      </c>
      <c r="C10" s="16">
        <f>SUMIFS(Table1[Amount],Table1[Customer_ID],A10,Table1[Type],"Payment")</f>
        <v>0</v>
      </c>
      <c r="D10" s="16">
        <f>SUMIFS(Table1[Amount],Table1[Customer_ID],A10,Table1[Type],"Old_Balance")</f>
        <v>197</v>
      </c>
      <c r="E10" s="16">
        <f>SUMIFS(Table1[Amount],Table1[Customer_ID],A10,Table1[Type],"Adjustment")</f>
        <v>0</v>
      </c>
      <c r="F10" s="16">
        <f t="shared" si="0"/>
        <v>831</v>
      </c>
      <c r="G10" s="17">
        <f t="shared" si="1"/>
        <v>0</v>
      </c>
      <c r="H10" s="17">
        <f t="shared" si="2"/>
        <v>8.8586830463809345E-4</v>
      </c>
      <c r="I10">
        <f>COUNTIFS(Table1[Customer_ID],A10,Table1[Type],"Purchase")</f>
        <v>17</v>
      </c>
      <c r="J10" s="9">
        <f>_xlfn.MAXIFS(Table1[Date],Table1[Customer_ID],A10,Table1[Type],"Purchase")</f>
        <v>44832</v>
      </c>
      <c r="K10" t="str">
        <f>_xlfn.XLOOKUP(A10,Customers!$A$2:$A$30,Customers!$C$2:$C$30,"Not found")</f>
        <v>Carries forward</v>
      </c>
    </row>
    <row r="11" spans="1:11">
      <c r="A11" t="s">
        <v>83</v>
      </c>
      <c r="B11" s="16">
        <f>SUMIFS(Table1[Amount],Table1[Customer_ID],A11,Table1[Type],"Purchase")</f>
        <v>14718</v>
      </c>
      <c r="C11" s="16">
        <f>SUMIFS(Table1[Amount],Table1[Customer_ID],A11,Table1[Type],"Payment")</f>
        <v>17203</v>
      </c>
      <c r="D11" s="16">
        <f>SUMIFS(Table1[Amount],Table1[Customer_ID],A11,Table1[Type],"Old_Balance")</f>
        <v>2631</v>
      </c>
      <c r="E11" s="16">
        <f>SUMIFS(Table1[Amount],Table1[Customer_ID],A11,Table1[Type],"Adjustment")</f>
        <v>-70</v>
      </c>
      <c r="F11" s="16">
        <f t="shared" si="0"/>
        <v>76</v>
      </c>
      <c r="G11" s="17">
        <f t="shared" si="1"/>
        <v>0.99560159731465936</v>
      </c>
      <c r="H11" s="17">
        <f t="shared" si="2"/>
        <v>2.0564999538901355E-2</v>
      </c>
      <c r="I11">
        <f>COUNTIFS(Table1[Customer_ID],A11,Table1[Type],"Purchase")</f>
        <v>47</v>
      </c>
      <c r="J11" s="9">
        <f>_xlfn.MAXIFS(Table1[Date],Table1[Customer_ID],A11,Table1[Type],"Purchase")</f>
        <v>45084</v>
      </c>
      <c r="K11" t="str">
        <f>_xlfn.XLOOKUP(A11,Customers!$A$2:$A$30,Customers!$C$2:$C$30,"Not found")</f>
        <v>Mixed</v>
      </c>
    </row>
    <row r="12" spans="1:11">
      <c r="A12" t="s">
        <v>84</v>
      </c>
      <c r="B12" s="16">
        <f>SUMIFS(Table1[Amount],Table1[Customer_ID],A12,Table1[Type],"Purchase")</f>
        <v>12074</v>
      </c>
      <c r="C12" s="16">
        <f>SUMIFS(Table1[Amount],Table1[Customer_ID],A12,Table1[Type],"Payment")</f>
        <v>14571</v>
      </c>
      <c r="D12" s="16">
        <f>SUMIFS(Table1[Amount],Table1[Customer_ID],A12,Table1[Type],"Old_Balance")</f>
        <v>2508</v>
      </c>
      <c r="E12" s="16">
        <f>SUMIFS(Table1[Amount],Table1[Customer_ID],A12,Table1[Type],"Adjustment")</f>
        <v>-11</v>
      </c>
      <c r="F12" s="16">
        <f t="shared" si="0"/>
        <v>0</v>
      </c>
      <c r="G12" s="17">
        <f t="shared" si="1"/>
        <v>1</v>
      </c>
      <c r="H12" s="17">
        <f t="shared" si="2"/>
        <v>1.6870621309464259E-2</v>
      </c>
      <c r="I12">
        <f>COUNTIFS(Table1[Customer_ID],A12,Table1[Type],"Purchase")</f>
        <v>97</v>
      </c>
      <c r="J12" s="9">
        <f>_xlfn.MAXIFS(Table1[Date],Table1[Customer_ID],A12,Table1[Type],"Purchase")</f>
        <v>45025</v>
      </c>
      <c r="K12" t="str">
        <f>_xlfn.XLOOKUP(A12,Customers!$A$2:$A$30,Customers!$C$2:$C$30,"Not found")</f>
        <v>Pays full</v>
      </c>
    </row>
    <row r="13" spans="1:11">
      <c r="A13" t="s">
        <v>85</v>
      </c>
      <c r="B13" s="16">
        <f>SUMIFS(Table1[Amount],Table1[Customer_ID],A13,Table1[Type],"Purchase")</f>
        <v>1965</v>
      </c>
      <c r="C13" s="16">
        <f>SUMIFS(Table1[Amount],Table1[Customer_ID],A13,Table1[Type],"Payment")</f>
        <v>2500</v>
      </c>
      <c r="D13" s="16">
        <f>SUMIFS(Table1[Amount],Table1[Customer_ID],A13,Table1[Type],"Old_Balance")</f>
        <v>1705</v>
      </c>
      <c r="E13" s="16">
        <f>SUMIFS(Table1[Amount],Table1[Customer_ID],A13,Table1[Type],"Adjustment")</f>
        <v>0</v>
      </c>
      <c r="F13" s="16">
        <f t="shared" si="0"/>
        <v>1170</v>
      </c>
      <c r="G13" s="17">
        <f t="shared" si="1"/>
        <v>0.68119891008174382</v>
      </c>
      <c r="H13" s="17">
        <f t="shared" si="2"/>
        <v>2.7456328369303683E-3</v>
      </c>
      <c r="I13">
        <f>COUNTIFS(Table1[Customer_ID],A13,Table1[Type],"Purchase")</f>
        <v>79</v>
      </c>
      <c r="J13" s="9">
        <f>_xlfn.MAXIFS(Table1[Date],Table1[Customer_ID],A13,Table1[Type],"Purchase")</f>
        <v>45476</v>
      </c>
      <c r="K13" t="str">
        <f>_xlfn.XLOOKUP(A13,Customers!$A$2:$A$30,Customers!$C$2:$C$30,"Not found")</f>
        <v>Carries forward</v>
      </c>
    </row>
    <row r="14" spans="1:11">
      <c r="A14" t="s">
        <v>86</v>
      </c>
      <c r="B14" s="16">
        <f>SUMIFS(Table1[Amount],Table1[Customer_ID],A14,Table1[Type],"Purchase")</f>
        <v>32292</v>
      </c>
      <c r="C14" s="16">
        <f>SUMIFS(Table1[Amount],Table1[Customer_ID],A14,Table1[Type],"Payment")</f>
        <v>20000</v>
      </c>
      <c r="D14" s="16">
        <f>SUMIFS(Table1[Amount],Table1[Customer_ID],A14,Table1[Type],"Old_Balance")</f>
        <v>2918</v>
      </c>
      <c r="E14" s="16">
        <f>SUMIFS(Table1[Amount],Table1[Customer_ID],A14,Table1[Type],"Adjustment")</f>
        <v>1063</v>
      </c>
      <c r="F14" s="16">
        <f t="shared" si="0"/>
        <v>16273</v>
      </c>
      <c r="G14" s="17">
        <f t="shared" si="1"/>
        <v>0.55137430044385627</v>
      </c>
      <c r="H14" s="17">
        <f t="shared" si="2"/>
        <v>4.5120598254532039E-2</v>
      </c>
      <c r="I14">
        <f>COUNTIFS(Table1[Customer_ID],A14,Table1[Type],"Purchase")</f>
        <v>233</v>
      </c>
      <c r="J14" s="9">
        <f>_xlfn.MAXIFS(Table1[Date],Table1[Customer_ID],A14,Table1[Type],"Purchase")</f>
        <v>45419</v>
      </c>
      <c r="K14" t="str">
        <f>_xlfn.XLOOKUP(A14,Customers!$A$2:$A$30,Customers!$C$2:$C$30,"Not found")</f>
        <v>Carries forward</v>
      </c>
    </row>
    <row r="15" spans="1:11">
      <c r="A15" t="s">
        <v>87</v>
      </c>
      <c r="B15" s="16">
        <f>SUMIFS(Table1[Amount],Table1[Customer_ID],A15,Table1[Type],"Purchase")</f>
        <v>13393</v>
      </c>
      <c r="C15" s="16">
        <f>SUMIFS(Table1[Amount],Table1[Customer_ID],A15,Table1[Type],"Payment")</f>
        <v>10400</v>
      </c>
      <c r="D15" s="16">
        <f>SUMIFS(Table1[Amount],Table1[Customer_ID],A15,Table1[Type],"Old_Balance")</f>
        <v>0</v>
      </c>
      <c r="E15" s="16">
        <f>SUMIFS(Table1[Amount],Table1[Customer_ID],A15,Table1[Type],"Adjustment")</f>
        <v>0</v>
      </c>
      <c r="F15" s="16">
        <f t="shared" si="0"/>
        <v>2993</v>
      </c>
      <c r="G15" s="17">
        <f t="shared" si="1"/>
        <v>0.7765250503994624</v>
      </c>
      <c r="H15" s="17">
        <f t="shared" si="2"/>
        <v>1.87136186183249E-2</v>
      </c>
      <c r="I15">
        <f>COUNTIFS(Table1[Customer_ID],A15,Table1[Type],"Purchase")</f>
        <v>33</v>
      </c>
      <c r="J15" s="9">
        <f>_xlfn.MAXIFS(Table1[Date],Table1[Customer_ID],A15,Table1[Type],"Purchase")</f>
        <v>45487</v>
      </c>
      <c r="K15" t="str">
        <f>_xlfn.XLOOKUP(A15,Customers!$A$2:$A$30,Customers!$C$2:$C$30,"Not found")</f>
        <v>Carries forward</v>
      </c>
    </row>
    <row r="16" spans="1:11">
      <c r="A16" t="s">
        <v>88</v>
      </c>
      <c r="B16" s="16">
        <f>SUMIFS(Table1[Amount],Table1[Customer_ID],A16,Table1[Type],"Purchase")</f>
        <v>27116</v>
      </c>
      <c r="C16" s="16">
        <f>SUMIFS(Table1[Amount],Table1[Customer_ID],A16,Table1[Type],"Payment")</f>
        <v>25941</v>
      </c>
      <c r="D16" s="16">
        <f>SUMIFS(Table1[Amount],Table1[Customer_ID],A16,Table1[Type],"Old_Balance")</f>
        <v>2971</v>
      </c>
      <c r="E16" s="16">
        <f>SUMIFS(Table1[Amount],Table1[Customer_ID],A16,Table1[Type],"Adjustment")</f>
        <v>-37</v>
      </c>
      <c r="F16" s="16">
        <f t="shared" si="0"/>
        <v>4109</v>
      </c>
      <c r="G16" s="17">
        <f t="shared" si="1"/>
        <v>0.86326123128119803</v>
      </c>
      <c r="H16" s="17">
        <f t="shared" si="2"/>
        <v>3.788833588101978E-2</v>
      </c>
      <c r="I16">
        <f>COUNTIFS(Table1[Customer_ID],A16,Table1[Type],"Purchase")</f>
        <v>169</v>
      </c>
      <c r="J16" s="9">
        <f>_xlfn.MAXIFS(Table1[Date],Table1[Customer_ID],A16,Table1[Type],"Purchase")</f>
        <v>45482</v>
      </c>
      <c r="K16" t="str">
        <f>_xlfn.XLOOKUP(A16,Customers!$A$2:$A$30,Customers!$C$2:$C$30,"Not found")</f>
        <v>Pays full</v>
      </c>
    </row>
    <row r="17" spans="1:11">
      <c r="A17" t="s">
        <v>89</v>
      </c>
      <c r="B17" s="16">
        <f>SUMIFS(Table1[Amount],Table1[Customer_ID],A17,Table1[Type],"Purchase")</f>
        <v>9789</v>
      </c>
      <c r="C17" s="16">
        <f>SUMIFS(Table1[Amount],Table1[Customer_ID],A17,Table1[Type],"Payment")</f>
        <v>11654</v>
      </c>
      <c r="D17" s="16">
        <f>SUMIFS(Table1[Amount],Table1[Customer_ID],A17,Table1[Type],"Old_Balance")</f>
        <v>1851</v>
      </c>
      <c r="E17" s="16">
        <f>SUMIFS(Table1[Amount],Table1[Customer_ID],A17,Table1[Type],"Adjustment")</f>
        <v>14</v>
      </c>
      <c r="F17" s="16">
        <f t="shared" si="0"/>
        <v>0</v>
      </c>
      <c r="G17" s="17">
        <f t="shared" si="1"/>
        <v>1</v>
      </c>
      <c r="H17" s="17">
        <f t="shared" si="2"/>
        <v>1.3677862514356934E-2</v>
      </c>
      <c r="I17">
        <f>COUNTIFS(Table1[Customer_ID],A17,Table1[Type],"Purchase")</f>
        <v>43</v>
      </c>
      <c r="J17" s="9">
        <f>_xlfn.MAXIFS(Table1[Date],Table1[Customer_ID],A17,Table1[Type],"Purchase")</f>
        <v>44907</v>
      </c>
      <c r="K17" t="str">
        <f>_xlfn.XLOOKUP(A17,Customers!$A$2:$A$30,Customers!$C$2:$C$30,"Not found")</f>
        <v>Mixed</v>
      </c>
    </row>
    <row r="18" spans="1:11">
      <c r="A18" t="s">
        <v>90</v>
      </c>
      <c r="B18" s="16">
        <f>SUMIFS(Table1[Amount],Table1[Customer_ID],A18,Table1[Type],"Purchase")</f>
        <v>34226</v>
      </c>
      <c r="C18" s="16">
        <f>SUMIFS(Table1[Amount],Table1[Customer_ID],A18,Table1[Type],"Payment")</f>
        <v>40076</v>
      </c>
      <c r="D18" s="16">
        <f>SUMIFS(Table1[Amount],Table1[Customer_ID],A18,Table1[Type],"Old_Balance")</f>
        <v>12318</v>
      </c>
      <c r="E18" s="16">
        <f>SUMIFS(Table1[Amount],Table1[Customer_ID],A18,Table1[Type],"Adjustment")</f>
        <v>130</v>
      </c>
      <c r="F18" s="16">
        <f t="shared" si="0"/>
        <v>6598</v>
      </c>
      <c r="G18" s="17">
        <f t="shared" si="1"/>
        <v>0.85863649997857483</v>
      </c>
      <c r="H18" s="17">
        <f t="shared" si="2"/>
        <v>4.7822915764264014E-2</v>
      </c>
      <c r="I18">
        <f>COUNTIFS(Table1[Customer_ID],A18,Table1[Type],"Purchase")</f>
        <v>100</v>
      </c>
      <c r="J18" s="9">
        <f>_xlfn.MAXIFS(Table1[Date],Table1[Customer_ID],A18,Table1[Type],"Purchase")</f>
        <v>44961</v>
      </c>
      <c r="K18" t="str">
        <f>_xlfn.XLOOKUP(A18,Customers!$A$2:$A$30,Customers!$C$2:$C$30,"Not found")</f>
        <v>Carries forward</v>
      </c>
    </row>
    <row r="19" spans="1:11">
      <c r="A19" t="s">
        <v>91</v>
      </c>
      <c r="B19" s="16">
        <f>SUMIFS(Table1[Amount],Table1[Customer_ID],A19,Table1[Type],"Purchase")</f>
        <v>14115</v>
      </c>
      <c r="C19" s="16">
        <f>SUMIFS(Table1[Amount],Table1[Customer_ID],A19,Table1[Type],"Payment")</f>
        <v>11681</v>
      </c>
      <c r="D19" s="16">
        <f>SUMIFS(Table1[Amount],Table1[Customer_ID],A19,Table1[Type],"Old_Balance")</f>
        <v>797</v>
      </c>
      <c r="E19" s="16">
        <f>SUMIFS(Table1[Amount],Table1[Customer_ID],A19,Table1[Type],"Adjustment")</f>
        <v>-59</v>
      </c>
      <c r="F19" s="16">
        <f t="shared" si="0"/>
        <v>3172</v>
      </c>
      <c r="G19" s="17">
        <f t="shared" si="1"/>
        <v>0.78644044974079308</v>
      </c>
      <c r="H19" s="17">
        <f t="shared" si="2"/>
        <v>1.9722446561461656E-2</v>
      </c>
      <c r="I19">
        <f>COUNTIFS(Table1[Customer_ID],A19,Table1[Type],"Purchase")</f>
        <v>41</v>
      </c>
      <c r="J19" s="9">
        <f>_xlfn.MAXIFS(Table1[Date],Table1[Customer_ID],A19,Table1[Type],"Purchase")</f>
        <v>45077</v>
      </c>
      <c r="K19" t="str">
        <f>_xlfn.XLOOKUP(A19,Customers!$A$2:$A$30,Customers!$C$2:$C$30,"Not found")</f>
        <v>Pays full</v>
      </c>
    </row>
    <row r="20" spans="1:11">
      <c r="A20" t="s">
        <v>92</v>
      </c>
      <c r="B20" s="16">
        <f>SUMIFS(Table1[Amount],Table1[Customer_ID],A20,Table1[Type],"Purchase")</f>
        <v>50121</v>
      </c>
      <c r="C20" s="16">
        <f>SUMIFS(Table1[Amount],Table1[Customer_ID],A20,Table1[Type],"Payment")</f>
        <v>48000</v>
      </c>
      <c r="D20" s="16">
        <f>SUMIFS(Table1[Amount],Table1[Customer_ID],A20,Table1[Type],"Old_Balance")</f>
        <v>10988</v>
      </c>
      <c r="E20" s="16">
        <f>SUMIFS(Table1[Amount],Table1[Customer_ID],A20,Table1[Type],"Adjustment")</f>
        <v>-102</v>
      </c>
      <c r="F20" s="16">
        <f t="shared" si="0"/>
        <v>13007</v>
      </c>
      <c r="G20" s="17">
        <f t="shared" si="1"/>
        <v>0.78679495795564447</v>
      </c>
      <c r="H20" s="17">
        <f t="shared" si="2"/>
        <v>7.0032500468084985E-2</v>
      </c>
      <c r="I20">
        <f>COUNTIFS(Table1[Customer_ID],A20,Table1[Type],"Purchase")</f>
        <v>81</v>
      </c>
      <c r="J20" s="9">
        <f>_xlfn.MAXIFS(Table1[Date],Table1[Customer_ID],A20,Table1[Type],"Purchase")</f>
        <v>45083</v>
      </c>
      <c r="K20" t="str">
        <f>_xlfn.XLOOKUP(A20,Customers!$A$2:$A$30,Customers!$C$2:$C$30,"Not found")</f>
        <v>Carries forward</v>
      </c>
    </row>
    <row r="21" spans="1:11">
      <c r="A21" t="s">
        <v>93</v>
      </c>
      <c r="B21" s="16">
        <f>SUMIFS(Table1[Amount],Table1[Customer_ID],A21,Table1[Type],"Purchase")</f>
        <v>19824</v>
      </c>
      <c r="C21" s="16">
        <f>SUMIFS(Table1[Amount],Table1[Customer_ID],A21,Table1[Type],"Payment")</f>
        <v>24546</v>
      </c>
      <c r="D21" s="16">
        <f>SUMIFS(Table1[Amount],Table1[Customer_ID],A21,Table1[Type],"Old_Balance")</f>
        <v>7233</v>
      </c>
      <c r="E21" s="16">
        <f>SUMIFS(Table1[Amount],Table1[Customer_ID],A21,Table1[Type],"Adjustment")</f>
        <v>-330</v>
      </c>
      <c r="F21" s="16">
        <f t="shared" si="0"/>
        <v>2181</v>
      </c>
      <c r="G21" s="17">
        <f t="shared" si="1"/>
        <v>0.91839712650129079</v>
      </c>
      <c r="H21" s="17">
        <f t="shared" si="2"/>
        <v>2.7699453109062404E-2</v>
      </c>
      <c r="I21">
        <f>COUNTIFS(Table1[Customer_ID],A21,Table1[Type],"Purchase")</f>
        <v>93</v>
      </c>
      <c r="J21" s="9">
        <f>_xlfn.MAXIFS(Table1[Date],Table1[Customer_ID],A21,Table1[Type],"Purchase")</f>
        <v>44911</v>
      </c>
      <c r="K21" t="str">
        <f>_xlfn.XLOOKUP(A21,Customers!$A$2:$A$30,Customers!$C$2:$C$30,"Not found")</f>
        <v>Carries forward</v>
      </c>
    </row>
    <row r="22" spans="1:11">
      <c r="A22" t="s">
        <v>446</v>
      </c>
      <c r="B22" s="16">
        <f>SUMIFS(Table1[Amount],Table1[Customer_ID],A22,Table1[Type],"Purchase")</f>
        <v>26158</v>
      </c>
      <c r="C22" s="16">
        <f>SUMIFS(Table1[Amount],Table1[Customer_ID],A22,Table1[Type],"Payment")</f>
        <v>29300</v>
      </c>
      <c r="D22" s="16">
        <f>SUMIFS(Table1[Amount],Table1[Customer_ID],A22,Table1[Type],"Old_Balance")</f>
        <v>3462</v>
      </c>
      <c r="E22" s="16">
        <f>SUMIFS(Table1[Amount],Table1[Customer_ID],A22,Table1[Type],"Adjustment")</f>
        <v>-281</v>
      </c>
      <c r="F22" s="16">
        <f t="shared" si="0"/>
        <v>39</v>
      </c>
      <c r="G22" s="17">
        <f t="shared" si="1"/>
        <v>0.99867071133985486</v>
      </c>
      <c r="H22" s="17">
        <f t="shared" si="2"/>
        <v>3.6549752543727519E-2</v>
      </c>
      <c r="I22">
        <f>COUNTIFS(Table1[Customer_ID],A22,Table1[Type],"Purchase")</f>
        <v>76</v>
      </c>
      <c r="J22" s="9">
        <f>_xlfn.MAXIFS(Table1[Date],Table1[Customer_ID],A22,Table1[Type],"Purchase")</f>
        <v>44965</v>
      </c>
      <c r="K22" t="str">
        <f>_xlfn.XLOOKUP(A22,Customers!$A$2:$A$30,Customers!$C$2:$C$30,"Not found")</f>
        <v>Carries forward</v>
      </c>
    </row>
    <row r="23" spans="1:11">
      <c r="A23" t="s">
        <v>489</v>
      </c>
      <c r="B23" s="16">
        <f>SUMIFS(Table1[Amount],Table1[Customer_ID],A23,Table1[Type],"Purchase")</f>
        <v>14646</v>
      </c>
      <c r="C23" s="16">
        <f>SUMIFS(Table1[Amount],Table1[Customer_ID],A23,Table1[Type],"Payment")</f>
        <v>8000</v>
      </c>
      <c r="D23" s="16">
        <f>SUMIFS(Table1[Amount],Table1[Customer_ID],A23,Table1[Type],"Old_Balance")</f>
        <v>0</v>
      </c>
      <c r="E23" s="16">
        <f>SUMIFS(Table1[Amount],Table1[Customer_ID],A23,Table1[Type],"Adjustment")</f>
        <v>26</v>
      </c>
      <c r="F23" s="16">
        <f t="shared" si="0"/>
        <v>6672</v>
      </c>
      <c r="G23" s="17">
        <f t="shared" si="1"/>
        <v>0.54525627044711011</v>
      </c>
      <c r="H23" s="17">
        <f t="shared" si="2"/>
        <v>2.046439619831154E-2</v>
      </c>
      <c r="I23">
        <f>COUNTIFS(Table1[Customer_ID],A23,Table1[Type],"Purchase")</f>
        <v>38</v>
      </c>
      <c r="J23" s="9">
        <f>_xlfn.MAXIFS(Table1[Date],Table1[Customer_ID],A23,Table1[Type],"Purchase")</f>
        <v>44933</v>
      </c>
      <c r="K23" t="str">
        <f>_xlfn.XLOOKUP(A23,Customers!$A$2:$A$30,Customers!$C$2:$C$30,"Not found")</f>
        <v>Carries forward</v>
      </c>
    </row>
    <row r="24" spans="1:11">
      <c r="A24" t="s">
        <v>502</v>
      </c>
      <c r="B24" s="16">
        <f>SUMIFS(Table1[Amount],Table1[Customer_ID],A24,Table1[Type],"Purchase")</f>
        <v>19807</v>
      </c>
      <c r="C24" s="16">
        <f>SUMIFS(Table1[Amount],Table1[Customer_ID],A24,Table1[Type],"Payment")</f>
        <v>16405</v>
      </c>
      <c r="D24" s="16">
        <f>SUMIFS(Table1[Amount],Table1[Customer_ID],A24,Table1[Type],"Old_Balance")</f>
        <v>0</v>
      </c>
      <c r="E24" s="16">
        <f>SUMIFS(Table1[Amount],Table1[Customer_ID],A24,Table1[Type],"Adjustment")</f>
        <v>-3</v>
      </c>
      <c r="F24" s="16">
        <f t="shared" si="0"/>
        <v>3399</v>
      </c>
      <c r="G24" s="17">
        <f t="shared" si="1"/>
        <v>0.82836800646334074</v>
      </c>
      <c r="H24" s="17">
        <f t="shared" si="2"/>
        <v>2.7675699542534255E-2</v>
      </c>
      <c r="I24">
        <f>COUNTIFS(Table1[Customer_ID],A24,Table1[Type],"Purchase")</f>
        <v>20</v>
      </c>
      <c r="J24" s="9">
        <f>_xlfn.MAXIFS(Table1[Date],Table1[Customer_ID],A24,Table1[Type],"Purchase")</f>
        <v>45055</v>
      </c>
      <c r="K24" t="str">
        <f>_xlfn.XLOOKUP(A24,Customers!$A$2:$A$30,Customers!$C$2:$C$30,"Not found")</f>
        <v>Mixed</v>
      </c>
    </row>
    <row r="25" spans="1:11">
      <c r="A25" t="s">
        <v>521</v>
      </c>
      <c r="B25" s="16">
        <f>SUMIFS(Table1[Amount],Table1[Customer_ID],A25,Table1[Type],"Purchase")</f>
        <v>13085</v>
      </c>
      <c r="C25" s="16">
        <f>SUMIFS(Table1[Amount],Table1[Customer_ID],A25,Table1[Type],"Payment")</f>
        <v>13565</v>
      </c>
      <c r="D25" s="16">
        <f>SUMIFS(Table1[Amount],Table1[Customer_ID],A25,Table1[Type],"Old_Balance")</f>
        <v>1465</v>
      </c>
      <c r="E25" s="16">
        <f>SUMIFS(Table1[Amount],Table1[Customer_ID],A25,Table1[Type],"Adjustment")</f>
        <v>0</v>
      </c>
      <c r="F25" s="16">
        <f t="shared" si="0"/>
        <v>985</v>
      </c>
      <c r="G25" s="17">
        <f t="shared" si="1"/>
        <v>0.93230240549828181</v>
      </c>
      <c r="H25" s="17">
        <f t="shared" si="2"/>
        <v>1.8283259883579577E-2</v>
      </c>
      <c r="I25">
        <f>COUNTIFS(Table1[Customer_ID],A25,Table1[Type],"Purchase")</f>
        <v>19</v>
      </c>
      <c r="J25" s="9">
        <f>_xlfn.MAXIFS(Table1[Date],Table1[Customer_ID],A25,Table1[Type],"Purchase")</f>
        <v>44716</v>
      </c>
      <c r="K25" t="str">
        <f>_xlfn.XLOOKUP(A25,Customers!$A$2:$A$30,Customers!$C$2:$C$30,"Not found")</f>
        <v>Mixed</v>
      </c>
    </row>
    <row r="26" spans="1:11">
      <c r="A26" t="s">
        <v>545</v>
      </c>
      <c r="B26" s="16">
        <f>SUMIFS(Table1[Amount],Table1[Customer_ID],A26,Table1[Type],"Purchase")</f>
        <v>11779</v>
      </c>
      <c r="C26" s="16">
        <f>SUMIFS(Table1[Amount],Table1[Customer_ID],A26,Table1[Type],"Payment")</f>
        <v>7000</v>
      </c>
      <c r="D26" s="16">
        <f>SUMIFS(Table1[Amount],Table1[Customer_ID],A26,Table1[Type],"Old_Balance")</f>
        <v>2051</v>
      </c>
      <c r="E26" s="16">
        <f>SUMIFS(Table1[Amount],Table1[Customer_ID],A26,Table1[Type],"Adjustment")</f>
        <v>0</v>
      </c>
      <c r="F26" s="16">
        <f t="shared" si="0"/>
        <v>6830</v>
      </c>
      <c r="G26" s="17">
        <f t="shared" si="1"/>
        <v>0.50614605929139556</v>
      </c>
      <c r="H26" s="17">
        <f t="shared" si="2"/>
        <v>1.6458427066769879E-2</v>
      </c>
      <c r="I26">
        <f>COUNTIFS(Table1[Customer_ID],A26,Table1[Type],"Purchase")</f>
        <v>33</v>
      </c>
      <c r="J26" s="9">
        <f>_xlfn.MAXIFS(Table1[Date],Table1[Customer_ID],A26,Table1[Type],"Purchase")</f>
        <v>45022</v>
      </c>
      <c r="K26" t="str">
        <f>_xlfn.XLOOKUP(A26,Customers!$A$2:$A$30,Customers!$C$2:$C$30,"Not found")</f>
        <v>Carries forward</v>
      </c>
    </row>
    <row r="27" spans="1:11">
      <c r="A27" t="s">
        <v>564</v>
      </c>
      <c r="B27" s="16">
        <f>SUMIFS(Table1[Amount],Table1[Customer_ID],A27,Table1[Type],"Purchase")</f>
        <v>40660</v>
      </c>
      <c r="C27" s="16">
        <f>SUMIFS(Table1[Amount],Table1[Customer_ID],A27,Table1[Type],"Payment")</f>
        <v>42027</v>
      </c>
      <c r="D27" s="16">
        <f>SUMIFS(Table1[Amount],Table1[Customer_ID],A27,Table1[Type],"Old_Balance")</f>
        <v>4427</v>
      </c>
      <c r="E27" s="16">
        <f>SUMIFS(Table1[Amount],Table1[Customer_ID],A27,Table1[Type],"Adjustment")</f>
        <v>-118</v>
      </c>
      <c r="F27" s="16">
        <f t="shared" si="0"/>
        <v>2942</v>
      </c>
      <c r="G27" s="17">
        <f t="shared" si="1"/>
        <v>0.93457715314994771</v>
      </c>
      <c r="H27" s="17">
        <f t="shared" si="2"/>
        <v>5.6812942060859434E-2</v>
      </c>
      <c r="I27">
        <f>COUNTIFS(Table1[Customer_ID],A27,Table1[Type],"Purchase")</f>
        <v>71</v>
      </c>
      <c r="J27" s="9">
        <f>_xlfn.MAXIFS(Table1[Date],Table1[Customer_ID],A27,Table1[Type],"Purchase")</f>
        <v>45078</v>
      </c>
      <c r="K27" t="str">
        <f>_xlfn.XLOOKUP(A27,Customers!$A$2:$A$30,Customers!$C$2:$C$30,"Not found")</f>
        <v>Mixed</v>
      </c>
    </row>
    <row r="28" spans="1:11">
      <c r="A28" t="s">
        <v>590</v>
      </c>
      <c r="B28" s="16">
        <f>SUMIFS(Table1[Amount],Table1[Customer_ID],A28,Table1[Type],"Purchase")</f>
        <v>143108</v>
      </c>
      <c r="C28" s="16">
        <f>SUMIFS(Table1[Amount],Table1[Customer_ID],A28,Table1[Type],"Payment")</f>
        <v>149888</v>
      </c>
      <c r="D28" s="16">
        <f>SUMIFS(Table1[Amount],Table1[Customer_ID],A28,Table1[Type],"Old_Balance")</f>
        <v>14212</v>
      </c>
      <c r="E28" s="16">
        <f>SUMIFS(Table1[Amount],Table1[Customer_ID],A28,Table1[Type],"Adjustment")</f>
        <v>-40</v>
      </c>
      <c r="F28" s="16">
        <f t="shared" si="0"/>
        <v>7392</v>
      </c>
      <c r="G28" s="17">
        <f t="shared" si="1"/>
        <v>0.953001017293998</v>
      </c>
      <c r="H28" s="17">
        <f t="shared" si="2"/>
        <v>0.1999603175712118</v>
      </c>
      <c r="I28">
        <f>COUNTIFS(Table1[Customer_ID],A28,Table1[Type],"Purchase")</f>
        <v>198</v>
      </c>
      <c r="J28" s="9">
        <f>_xlfn.MAXIFS(Table1[Date],Table1[Customer_ID],A28,Table1[Type],"Purchase")</f>
        <v>45492</v>
      </c>
      <c r="K28" t="str">
        <f>_xlfn.XLOOKUP(A28,Customers!$A$2:$A$30,Customers!$C$2:$C$30,"Not found")</f>
        <v>Mixed</v>
      </c>
    </row>
    <row r="29" spans="1:11">
      <c r="A29" t="s">
        <v>846</v>
      </c>
      <c r="B29" s="16">
        <f>SUMIFS(Table1[Amount],Table1[Customer_ID],A29,Table1[Type],"Purchase")</f>
        <v>7282</v>
      </c>
      <c r="C29" s="16">
        <f>SUMIFS(Table1[Amount],Table1[Customer_ID],A29,Table1[Type],"Payment")</f>
        <v>7700</v>
      </c>
      <c r="D29" s="16">
        <f>SUMIFS(Table1[Amount],Table1[Customer_ID],A29,Table1[Type],"Old_Balance")</f>
        <v>2858</v>
      </c>
      <c r="E29" s="16">
        <f>SUMIFS(Table1[Amount],Table1[Customer_ID],A29,Table1[Type],"Adjustment")</f>
        <v>0</v>
      </c>
      <c r="F29" s="16">
        <f t="shared" ref="F29:F30" si="3">D29+B29+E29-C29</f>
        <v>2440</v>
      </c>
      <c r="G29" s="17">
        <f t="shared" ref="G29:G30" si="4">IFERROR(C29/(B29+D29+E29),0)</f>
        <v>0.75936883629191321</v>
      </c>
      <c r="H29" s="17">
        <f t="shared" si="2"/>
        <v>1.0174910085764348E-2</v>
      </c>
      <c r="I29">
        <f>COUNTIFS(Table1[Customer_ID],A29,Table1[Type],"Purchase")</f>
        <v>85</v>
      </c>
      <c r="J29" s="9">
        <f>_xlfn.MAXIFS(Table1[Date],Table1[Customer_ID],A29,Table1[Type],"Purchase")</f>
        <v>45681</v>
      </c>
      <c r="K29" t="str">
        <f>_xlfn.XLOOKUP(A29,Customers!$A$2:$A$30,Customers!$C$2:$C$30,"Not found")</f>
        <v>Pays full</v>
      </c>
    </row>
    <row r="30" spans="1:11">
      <c r="A30" t="s">
        <v>858</v>
      </c>
      <c r="B30" s="16">
        <f>SUMIFS(Table1[Amount],Table1[Customer_ID],A30,Table1[Type],"Purchase")</f>
        <v>23379</v>
      </c>
      <c r="C30" s="16">
        <f>SUMIFS(Table1[Amount],Table1[Customer_ID],A30,Table1[Type],"Payment")</f>
        <v>16331</v>
      </c>
      <c r="D30" s="16">
        <f>SUMIFS(Table1[Amount],Table1[Customer_ID],A30,Table1[Type],"Old_Balance")</f>
        <v>0</v>
      </c>
      <c r="E30" s="16">
        <f>SUMIFS(Table1[Amount],Table1[Customer_ID],A30,Table1[Type],"Adjustment")</f>
        <v>7</v>
      </c>
      <c r="F30" s="16">
        <f t="shared" si="3"/>
        <v>7055</v>
      </c>
      <c r="G30" s="17">
        <f t="shared" si="4"/>
        <v>0.69832378346018986</v>
      </c>
      <c r="H30" s="17">
        <f t="shared" si="2"/>
        <v>3.2666743050684524E-2</v>
      </c>
      <c r="I30">
        <f>COUNTIFS(Table1[Customer_ID],A30,Table1[Type],"Purchase")</f>
        <v>85</v>
      </c>
      <c r="J30" s="9">
        <f>_xlfn.MAXIFS(Table1[Date],Table1[Customer_ID],A30,Table1[Type],"Purchase")</f>
        <v>45705</v>
      </c>
      <c r="K30" t="str">
        <f>_xlfn.XLOOKUP(A30,Customers!$A$2:$A$30,Customers!$C$2:$C$30,"Not found")</f>
        <v>Pays full</v>
      </c>
    </row>
    <row r="32" spans="1:11">
      <c r="A32" s="21" t="s">
        <v>699</v>
      </c>
      <c r="B32" s="22">
        <f>SUM(B2:B30)</f>
        <v>715682</v>
      </c>
      <c r="C32" s="22">
        <f>SUM(C2:C30)</f>
        <v>694704</v>
      </c>
      <c r="D32" s="22">
        <f>SUM(D2:D30)</f>
        <v>106690</v>
      </c>
      <c r="E32" s="22">
        <f>SUM(E2:E30)</f>
        <v>-2347</v>
      </c>
      <c r="F32" s="22">
        <f>SUM(F2:F30)</f>
        <v>125321</v>
      </c>
      <c r="G32" s="23">
        <f>C32/(B32+D32+E32)</f>
        <v>0.84717417151916097</v>
      </c>
      <c r="H32" s="23">
        <f>SUM(H2:H30)</f>
        <v>0.99999999999999978</v>
      </c>
      <c r="I32" s="24">
        <f>SUM(I2:I30)</f>
        <v>2755</v>
      </c>
      <c r="J32" s="21"/>
      <c r="K32" s="21"/>
    </row>
  </sheetData>
  <conditionalFormatting sqref="G2:G30">
    <cfRule type="cellIs" dxfId="2" priority="1" stopIfTrue="1" operator="lessThan">
      <formula>0.7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DABEB-EA2A-4542-8B53-D8124B71545F}">
  <dimension ref="A1:AE4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4.4"/>
  <cols>
    <col min="1" max="1" width="7.6640625" bestFit="1" customWidth="1"/>
    <col min="2" max="28" width="9.44140625" bestFit="1" customWidth="1"/>
    <col min="29" max="30" width="9.44140625" customWidth="1"/>
    <col min="31" max="31" width="13.5546875" style="15" bestFit="1" customWidth="1"/>
  </cols>
  <sheetData>
    <row r="1" spans="1:31" s="15" customFormat="1">
      <c r="A1" s="25" t="s">
        <v>690</v>
      </c>
      <c r="B1" s="25" t="s">
        <v>7</v>
      </c>
      <c r="C1" s="25" t="s">
        <v>31</v>
      </c>
      <c r="D1" s="25" t="s">
        <v>76</v>
      </c>
      <c r="E1" s="25" t="s">
        <v>77</v>
      </c>
      <c r="F1" s="25" t="s">
        <v>78</v>
      </c>
      <c r="G1" s="25" t="s">
        <v>79</v>
      </c>
      <c r="H1" s="25" t="s">
        <v>80</v>
      </c>
      <c r="I1" s="25" t="s">
        <v>81</v>
      </c>
      <c r="J1" s="25" t="s">
        <v>82</v>
      </c>
      <c r="K1" s="25" t="s">
        <v>83</v>
      </c>
      <c r="L1" s="25" t="s">
        <v>84</v>
      </c>
      <c r="M1" s="25" t="s">
        <v>85</v>
      </c>
      <c r="N1" s="25" t="s">
        <v>86</v>
      </c>
      <c r="O1" s="25" t="s">
        <v>87</v>
      </c>
      <c r="P1" s="25" t="s">
        <v>88</v>
      </c>
      <c r="Q1" s="25" t="s">
        <v>89</v>
      </c>
      <c r="R1" s="25" t="s">
        <v>90</v>
      </c>
      <c r="S1" s="25" t="s">
        <v>91</v>
      </c>
      <c r="T1" s="25" t="s">
        <v>92</v>
      </c>
      <c r="U1" s="25" t="s">
        <v>93</v>
      </c>
      <c r="V1" s="25" t="s">
        <v>446</v>
      </c>
      <c r="W1" s="25" t="s">
        <v>489</v>
      </c>
      <c r="X1" s="25" t="s">
        <v>502</v>
      </c>
      <c r="Y1" s="25" t="s">
        <v>521</v>
      </c>
      <c r="Z1" s="25" t="s">
        <v>545</v>
      </c>
      <c r="AA1" s="25" t="s">
        <v>564</v>
      </c>
      <c r="AB1" s="25" t="s">
        <v>590</v>
      </c>
      <c r="AC1" s="25" t="s">
        <v>846</v>
      </c>
      <c r="AD1" s="25" t="s">
        <v>858</v>
      </c>
      <c r="AE1" s="25" t="s">
        <v>728</v>
      </c>
    </row>
    <row r="2" spans="1:31">
      <c r="A2" s="27" t="s">
        <v>700</v>
      </c>
      <c r="B2" s="18">
        <f>COUNTIFS(Table1[Customer_ID],B$1,Table1[Month],$A2,Table1[Type],"Purchase")</f>
        <v>0</v>
      </c>
      <c r="C2" s="18">
        <f>COUNTIFS(Table1[Customer_ID],C$1,Table1[Month],$A2,Table1[Type],"Purchase")</f>
        <v>0</v>
      </c>
      <c r="D2" s="18">
        <f>COUNTIFS(Table1[Customer_ID],D$1,Table1[Month],$A2,Table1[Type],"Purchase")</f>
        <v>0</v>
      </c>
      <c r="E2" s="18">
        <f>COUNTIFS(Table1[Customer_ID],E$1,Table1[Month],$A2,Table1[Type],"Purchase")</f>
        <v>0</v>
      </c>
      <c r="F2" s="18">
        <f>COUNTIFS(Table1[Customer_ID],F$1,Table1[Month],$A2,Table1[Type],"Purchase")</f>
        <v>0</v>
      </c>
      <c r="G2" s="18">
        <f>COUNTIFS(Table1[Customer_ID],G$1,Table1[Month],$A2,Table1[Type],"Purchase")</f>
        <v>0</v>
      </c>
      <c r="H2" s="18">
        <f>COUNTIFS(Table1[Customer_ID],H$1,Table1[Month],$A2,Table1[Type],"Purchase")</f>
        <v>0</v>
      </c>
      <c r="I2" s="18">
        <f>COUNTIFS(Table1[Customer_ID],I$1,Table1[Month],$A2,Table1[Type],"Purchase")</f>
        <v>0</v>
      </c>
      <c r="J2" s="18">
        <f>COUNTIFS(Table1[Customer_ID],J$1,Table1[Month],$A2,Table1[Type],"Purchase")</f>
        <v>0</v>
      </c>
      <c r="K2" s="18">
        <f>COUNTIFS(Table1[Customer_ID],K$1,Table1[Month],$A2,Table1[Type],"Purchase")</f>
        <v>0</v>
      </c>
      <c r="L2" s="18">
        <f>COUNTIFS(Table1[Customer_ID],L$1,Table1[Month],$A2,Table1[Type],"Purchase")</f>
        <v>0</v>
      </c>
      <c r="M2" s="18">
        <f>COUNTIFS(Table1[Customer_ID],M$1,Table1[Month],$A2,Table1[Type],"Purchase")</f>
        <v>0</v>
      </c>
      <c r="N2" s="18">
        <f>COUNTIFS(Table1[Customer_ID],N$1,Table1[Month],$A2,Table1[Type],"Purchase")</f>
        <v>0</v>
      </c>
      <c r="O2" s="18">
        <f>COUNTIFS(Table1[Customer_ID],O$1,Table1[Month],$A2,Table1[Type],"Purchase")</f>
        <v>0</v>
      </c>
      <c r="P2" s="18">
        <f>COUNTIFS(Table1[Customer_ID],P$1,Table1[Month],$A2,Table1[Type],"Purchase")</f>
        <v>0</v>
      </c>
      <c r="Q2" s="18">
        <f>COUNTIFS(Table1[Customer_ID],Q$1,Table1[Month],$A2,Table1[Type],"Purchase")</f>
        <v>0</v>
      </c>
      <c r="R2" s="18">
        <f>COUNTIFS(Table1[Customer_ID],R$1,Table1[Month],$A2,Table1[Type],"Purchase")</f>
        <v>0</v>
      </c>
      <c r="S2" s="18">
        <f>COUNTIFS(Table1[Customer_ID],S$1,Table1[Month],$A2,Table1[Type],"Purchase")</f>
        <v>0</v>
      </c>
      <c r="T2" s="18">
        <f>COUNTIFS(Table1[Customer_ID],T$1,Table1[Month],$A2,Table1[Type],"Purchase")</f>
        <v>0</v>
      </c>
      <c r="U2" s="18">
        <f>COUNTIFS(Table1[Customer_ID],U$1,Table1[Month],$A2,Table1[Type],"Purchase")</f>
        <v>0</v>
      </c>
      <c r="V2" s="18">
        <f>COUNTIFS(Table1[Customer_ID],V$1,Table1[Month],$A2,Table1[Type],"Purchase")</f>
        <v>0</v>
      </c>
      <c r="W2" s="18">
        <f>COUNTIFS(Table1[Customer_ID],W$1,Table1[Month],$A2,Table1[Type],"Purchase")</f>
        <v>0</v>
      </c>
      <c r="X2" s="18">
        <f>COUNTIFS(Table1[Customer_ID],X$1,Table1[Month],$A2,Table1[Type],"Purchase")</f>
        <v>0</v>
      </c>
      <c r="Y2" s="18">
        <f>COUNTIFS(Table1[Customer_ID],Y$1,Table1[Month],$A2,Table1[Type],"Purchase")</f>
        <v>2</v>
      </c>
      <c r="Z2" s="18">
        <f>COUNTIFS(Table1[Customer_ID],Z$1,Table1[Month],$A2,Table1[Type],"Purchase")</f>
        <v>0</v>
      </c>
      <c r="AA2" s="18">
        <f>COUNTIFS(Table1[Customer_ID],AA$1,Table1[Month],$A2,Table1[Type],"Purchase")</f>
        <v>0</v>
      </c>
      <c r="AB2" s="18">
        <f>COUNTIFS(Table1[Customer_ID],AB$1,Table1[Month],$A2,Table1[Type],"Purchase")</f>
        <v>0</v>
      </c>
      <c r="AC2" s="18">
        <f>COUNTIFS(Table1[Customer_ID],AC$1,Table1[Month],$A2,Table1[Type],"Purchase")</f>
        <v>0</v>
      </c>
      <c r="AD2" s="18">
        <f>COUNTIFS(Table1[Customer_ID],AD$1,Table1[Month],$A2,Table1[Type],"Purchase")</f>
        <v>0</v>
      </c>
      <c r="AE2" s="20">
        <f t="shared" ref="AE2:AE44" si="0">SUM(B2:AD2)</f>
        <v>2</v>
      </c>
    </row>
    <row r="3" spans="1:31">
      <c r="A3" s="27" t="s">
        <v>701</v>
      </c>
      <c r="B3" s="18">
        <f>COUNTIFS(Table1[Customer_ID],B$1,Table1[Month],$A3,Table1[Type],"Purchase")</f>
        <v>0</v>
      </c>
      <c r="C3" s="18">
        <f>COUNTIFS(Table1[Customer_ID],C$1,Table1[Month],$A3,Table1[Type],"Purchase")</f>
        <v>0</v>
      </c>
      <c r="D3" s="18">
        <f>COUNTIFS(Table1[Customer_ID],D$1,Table1[Month],$A3,Table1[Type],"Purchase")</f>
        <v>0</v>
      </c>
      <c r="E3" s="18">
        <f>COUNTIFS(Table1[Customer_ID],E$1,Table1[Month],$A3,Table1[Type],"Purchase")</f>
        <v>0</v>
      </c>
      <c r="F3" s="18">
        <f>COUNTIFS(Table1[Customer_ID],F$1,Table1[Month],$A3,Table1[Type],"Purchase")</f>
        <v>0</v>
      </c>
      <c r="G3" s="18">
        <f>COUNTIFS(Table1[Customer_ID],G$1,Table1[Month],$A3,Table1[Type],"Purchase")</f>
        <v>0</v>
      </c>
      <c r="H3" s="18">
        <f>COUNTIFS(Table1[Customer_ID],H$1,Table1[Month],$A3,Table1[Type],"Purchase")</f>
        <v>0</v>
      </c>
      <c r="I3" s="18">
        <f>COUNTIFS(Table1[Customer_ID],I$1,Table1[Month],$A3,Table1[Type],"Purchase")</f>
        <v>0</v>
      </c>
      <c r="J3" s="18">
        <f>COUNTIFS(Table1[Customer_ID],J$1,Table1[Month],$A3,Table1[Type],"Purchase")</f>
        <v>0</v>
      </c>
      <c r="K3" s="18">
        <f>COUNTIFS(Table1[Customer_ID],K$1,Table1[Month],$A3,Table1[Type],"Purchase")</f>
        <v>0</v>
      </c>
      <c r="L3" s="18">
        <f>COUNTIFS(Table1[Customer_ID],L$1,Table1[Month],$A3,Table1[Type],"Purchase")</f>
        <v>0</v>
      </c>
      <c r="M3" s="18">
        <f>COUNTIFS(Table1[Customer_ID],M$1,Table1[Month],$A3,Table1[Type],"Purchase")</f>
        <v>0</v>
      </c>
      <c r="N3" s="18">
        <f>COUNTIFS(Table1[Customer_ID],N$1,Table1[Month],$A3,Table1[Type],"Purchase")</f>
        <v>0</v>
      </c>
      <c r="O3" s="18">
        <f>COUNTIFS(Table1[Customer_ID],O$1,Table1[Month],$A3,Table1[Type],"Purchase")</f>
        <v>0</v>
      </c>
      <c r="P3" s="18">
        <f>COUNTIFS(Table1[Customer_ID],P$1,Table1[Month],$A3,Table1[Type],"Purchase")</f>
        <v>0</v>
      </c>
      <c r="Q3" s="18">
        <f>COUNTIFS(Table1[Customer_ID],Q$1,Table1[Month],$A3,Table1[Type],"Purchase")</f>
        <v>0</v>
      </c>
      <c r="R3" s="18">
        <f>COUNTIFS(Table1[Customer_ID],R$1,Table1[Month],$A3,Table1[Type],"Purchase")</f>
        <v>0</v>
      </c>
      <c r="S3" s="18">
        <f>COUNTIFS(Table1[Customer_ID],S$1,Table1[Month],$A3,Table1[Type],"Purchase")</f>
        <v>0</v>
      </c>
      <c r="T3" s="18">
        <f>COUNTIFS(Table1[Customer_ID],T$1,Table1[Month],$A3,Table1[Type],"Purchase")</f>
        <v>0</v>
      </c>
      <c r="U3" s="18">
        <f>COUNTIFS(Table1[Customer_ID],U$1,Table1[Month],$A3,Table1[Type],"Purchase")</f>
        <v>0</v>
      </c>
      <c r="V3" s="18">
        <f>COUNTIFS(Table1[Customer_ID],V$1,Table1[Month],$A3,Table1[Type],"Purchase")</f>
        <v>0</v>
      </c>
      <c r="W3" s="18">
        <f>COUNTIFS(Table1[Customer_ID],W$1,Table1[Month],$A3,Table1[Type],"Purchase")</f>
        <v>0</v>
      </c>
      <c r="X3" s="18">
        <f>COUNTIFS(Table1[Customer_ID],X$1,Table1[Month],$A3,Table1[Type],"Purchase")</f>
        <v>0</v>
      </c>
      <c r="Y3" s="18">
        <f>COUNTIFS(Table1[Customer_ID],Y$1,Table1[Month],$A3,Table1[Type],"Purchase")</f>
        <v>1</v>
      </c>
      <c r="Z3" s="18">
        <f>COUNTIFS(Table1[Customer_ID],Z$1,Table1[Month],$A3,Table1[Type],"Purchase")</f>
        <v>0</v>
      </c>
      <c r="AA3" s="18">
        <f>COUNTIFS(Table1[Customer_ID],AA$1,Table1[Month],$A3,Table1[Type],"Purchase")</f>
        <v>0</v>
      </c>
      <c r="AB3" s="18">
        <f>COUNTIFS(Table1[Customer_ID],AB$1,Table1[Month],$A3,Table1[Type],"Purchase")</f>
        <v>0</v>
      </c>
      <c r="AC3" s="18">
        <f>COUNTIFS(Table1[Customer_ID],AC$1,Table1[Month],$A3,Table1[Type],"Purchase")</f>
        <v>0</v>
      </c>
      <c r="AD3" s="18">
        <f>COUNTIFS(Table1[Customer_ID],AD$1,Table1[Month],$A3,Table1[Type],"Purchase")</f>
        <v>0</v>
      </c>
      <c r="AE3" s="20">
        <f t="shared" si="0"/>
        <v>1</v>
      </c>
    </row>
    <row r="4" spans="1:31">
      <c r="A4" s="27" t="s">
        <v>702</v>
      </c>
      <c r="B4" s="18">
        <f>COUNTIFS(Table1[Customer_ID],B$1,Table1[Month],$A4,Table1[Type],"Purchase")</f>
        <v>0</v>
      </c>
      <c r="C4" s="18">
        <f>COUNTIFS(Table1[Customer_ID],C$1,Table1[Month],$A4,Table1[Type],"Purchase")</f>
        <v>0</v>
      </c>
      <c r="D4" s="18">
        <f>COUNTIFS(Table1[Customer_ID],D$1,Table1[Month],$A4,Table1[Type],"Purchase")</f>
        <v>0</v>
      </c>
      <c r="E4" s="18">
        <f>COUNTIFS(Table1[Customer_ID],E$1,Table1[Month],$A4,Table1[Type],"Purchase")</f>
        <v>0</v>
      </c>
      <c r="F4" s="18">
        <f>COUNTIFS(Table1[Customer_ID],F$1,Table1[Month],$A4,Table1[Type],"Purchase")</f>
        <v>0</v>
      </c>
      <c r="G4" s="18">
        <f>COUNTIFS(Table1[Customer_ID],G$1,Table1[Month],$A4,Table1[Type],"Purchase")</f>
        <v>0</v>
      </c>
      <c r="H4" s="18">
        <f>COUNTIFS(Table1[Customer_ID],H$1,Table1[Month],$A4,Table1[Type],"Purchase")</f>
        <v>0</v>
      </c>
      <c r="I4" s="18">
        <f>COUNTIFS(Table1[Customer_ID],I$1,Table1[Month],$A4,Table1[Type],"Purchase")</f>
        <v>0</v>
      </c>
      <c r="J4" s="18">
        <f>COUNTIFS(Table1[Customer_ID],J$1,Table1[Month],$A4,Table1[Type],"Purchase")</f>
        <v>0</v>
      </c>
      <c r="K4" s="18">
        <f>COUNTIFS(Table1[Customer_ID],K$1,Table1[Month],$A4,Table1[Type],"Purchase")</f>
        <v>0</v>
      </c>
      <c r="L4" s="18">
        <f>COUNTIFS(Table1[Customer_ID],L$1,Table1[Month],$A4,Table1[Type],"Purchase")</f>
        <v>0</v>
      </c>
      <c r="M4" s="18">
        <f>COUNTIFS(Table1[Customer_ID],M$1,Table1[Month],$A4,Table1[Type],"Purchase")</f>
        <v>0</v>
      </c>
      <c r="N4" s="18">
        <f>COUNTIFS(Table1[Customer_ID],N$1,Table1[Month],$A4,Table1[Type],"Purchase")</f>
        <v>0</v>
      </c>
      <c r="O4" s="18">
        <f>COUNTIFS(Table1[Customer_ID],O$1,Table1[Month],$A4,Table1[Type],"Purchase")</f>
        <v>0</v>
      </c>
      <c r="P4" s="18">
        <f>COUNTIFS(Table1[Customer_ID],P$1,Table1[Month],$A4,Table1[Type],"Purchase")</f>
        <v>0</v>
      </c>
      <c r="Q4" s="18">
        <f>COUNTIFS(Table1[Customer_ID],Q$1,Table1[Month],$A4,Table1[Type],"Purchase")</f>
        <v>0</v>
      </c>
      <c r="R4" s="18">
        <f>COUNTIFS(Table1[Customer_ID],R$1,Table1[Month],$A4,Table1[Type],"Purchase")</f>
        <v>0</v>
      </c>
      <c r="S4" s="18">
        <f>COUNTIFS(Table1[Customer_ID],S$1,Table1[Month],$A4,Table1[Type],"Purchase")</f>
        <v>0</v>
      </c>
      <c r="T4" s="18">
        <f>COUNTIFS(Table1[Customer_ID],T$1,Table1[Month],$A4,Table1[Type],"Purchase")</f>
        <v>0</v>
      </c>
      <c r="U4" s="18">
        <f>COUNTIFS(Table1[Customer_ID],U$1,Table1[Month],$A4,Table1[Type],"Purchase")</f>
        <v>0</v>
      </c>
      <c r="V4" s="18">
        <f>COUNTIFS(Table1[Customer_ID],V$1,Table1[Month],$A4,Table1[Type],"Purchase")</f>
        <v>0</v>
      </c>
      <c r="W4" s="18">
        <f>COUNTIFS(Table1[Customer_ID],W$1,Table1[Month],$A4,Table1[Type],"Purchase")</f>
        <v>0</v>
      </c>
      <c r="X4" s="18">
        <f>COUNTIFS(Table1[Customer_ID],X$1,Table1[Month],$A4,Table1[Type],"Purchase")</f>
        <v>0</v>
      </c>
      <c r="Y4" s="18">
        <f>COUNTIFS(Table1[Customer_ID],Y$1,Table1[Month],$A4,Table1[Type],"Purchase")</f>
        <v>3</v>
      </c>
      <c r="Z4" s="18">
        <f>COUNTIFS(Table1[Customer_ID],Z$1,Table1[Month],$A4,Table1[Type],"Purchase")</f>
        <v>0</v>
      </c>
      <c r="AA4" s="18">
        <f>COUNTIFS(Table1[Customer_ID],AA$1,Table1[Month],$A4,Table1[Type],"Purchase")</f>
        <v>0</v>
      </c>
      <c r="AB4" s="18">
        <f>COUNTIFS(Table1[Customer_ID],AB$1,Table1[Month],$A4,Table1[Type],"Purchase")</f>
        <v>0</v>
      </c>
      <c r="AC4" s="18">
        <f>COUNTIFS(Table1[Customer_ID],AC$1,Table1[Month],$A4,Table1[Type],"Purchase")</f>
        <v>0</v>
      </c>
      <c r="AD4" s="18">
        <f>COUNTIFS(Table1[Customer_ID],AD$1,Table1[Month],$A4,Table1[Type],"Purchase")</f>
        <v>0</v>
      </c>
      <c r="AE4" s="20">
        <f t="shared" si="0"/>
        <v>3</v>
      </c>
    </row>
    <row r="5" spans="1:31">
      <c r="A5" s="27" t="s">
        <v>703</v>
      </c>
      <c r="B5" s="18">
        <f>COUNTIFS(Table1[Customer_ID],B$1,Table1[Month],$A5,Table1[Type],"Purchase")</f>
        <v>0</v>
      </c>
      <c r="C5" s="18">
        <f>COUNTIFS(Table1[Customer_ID],C$1,Table1[Month],$A5,Table1[Type],"Purchase")</f>
        <v>0</v>
      </c>
      <c r="D5" s="18">
        <f>COUNTIFS(Table1[Customer_ID],D$1,Table1[Month],$A5,Table1[Type],"Purchase")</f>
        <v>0</v>
      </c>
      <c r="E5" s="18">
        <f>COUNTIFS(Table1[Customer_ID],E$1,Table1[Month],$A5,Table1[Type],"Purchase")</f>
        <v>0</v>
      </c>
      <c r="F5" s="18">
        <f>COUNTIFS(Table1[Customer_ID],F$1,Table1[Month],$A5,Table1[Type],"Purchase")</f>
        <v>0</v>
      </c>
      <c r="G5" s="18">
        <f>COUNTIFS(Table1[Customer_ID],G$1,Table1[Month],$A5,Table1[Type],"Purchase")</f>
        <v>0</v>
      </c>
      <c r="H5" s="18">
        <f>COUNTIFS(Table1[Customer_ID],H$1,Table1[Month],$A5,Table1[Type],"Purchase")</f>
        <v>0</v>
      </c>
      <c r="I5" s="18">
        <f>COUNTIFS(Table1[Customer_ID],I$1,Table1[Month],$A5,Table1[Type],"Purchase")</f>
        <v>0</v>
      </c>
      <c r="J5" s="18">
        <f>COUNTIFS(Table1[Customer_ID],J$1,Table1[Month],$A5,Table1[Type],"Purchase")</f>
        <v>0</v>
      </c>
      <c r="K5" s="18">
        <f>COUNTIFS(Table1[Customer_ID],K$1,Table1[Month],$A5,Table1[Type],"Purchase")</f>
        <v>0</v>
      </c>
      <c r="L5" s="18">
        <f>COUNTIFS(Table1[Customer_ID],L$1,Table1[Month],$A5,Table1[Type],"Purchase")</f>
        <v>0</v>
      </c>
      <c r="M5" s="18">
        <f>COUNTIFS(Table1[Customer_ID],M$1,Table1[Month],$A5,Table1[Type],"Purchase")</f>
        <v>0</v>
      </c>
      <c r="N5" s="18">
        <f>COUNTIFS(Table1[Customer_ID],N$1,Table1[Month],$A5,Table1[Type],"Purchase")</f>
        <v>0</v>
      </c>
      <c r="O5" s="18">
        <f>COUNTIFS(Table1[Customer_ID],O$1,Table1[Month],$A5,Table1[Type],"Purchase")</f>
        <v>0</v>
      </c>
      <c r="P5" s="18">
        <f>COUNTIFS(Table1[Customer_ID],P$1,Table1[Month],$A5,Table1[Type],"Purchase")</f>
        <v>0</v>
      </c>
      <c r="Q5" s="18">
        <f>COUNTIFS(Table1[Customer_ID],Q$1,Table1[Month],$A5,Table1[Type],"Purchase")</f>
        <v>0</v>
      </c>
      <c r="R5" s="18">
        <f>COUNTIFS(Table1[Customer_ID],R$1,Table1[Month],$A5,Table1[Type],"Purchase")</f>
        <v>0</v>
      </c>
      <c r="S5" s="18">
        <f>COUNTIFS(Table1[Customer_ID],S$1,Table1[Month],$A5,Table1[Type],"Purchase")</f>
        <v>0</v>
      </c>
      <c r="T5" s="18">
        <f>COUNTIFS(Table1[Customer_ID],T$1,Table1[Month],$A5,Table1[Type],"Purchase")</f>
        <v>0</v>
      </c>
      <c r="U5" s="18">
        <f>COUNTIFS(Table1[Customer_ID],U$1,Table1[Month],$A5,Table1[Type],"Purchase")</f>
        <v>0</v>
      </c>
      <c r="V5" s="18">
        <f>COUNTIFS(Table1[Customer_ID],V$1,Table1[Month],$A5,Table1[Type],"Purchase")</f>
        <v>0</v>
      </c>
      <c r="W5" s="18">
        <f>COUNTIFS(Table1[Customer_ID],W$1,Table1[Month],$A5,Table1[Type],"Purchase")</f>
        <v>0</v>
      </c>
      <c r="X5" s="18">
        <f>COUNTIFS(Table1[Customer_ID],X$1,Table1[Month],$A5,Table1[Type],"Purchase")</f>
        <v>0</v>
      </c>
      <c r="Y5" s="18">
        <f>COUNTIFS(Table1[Customer_ID],Y$1,Table1[Month],$A5,Table1[Type],"Purchase")</f>
        <v>0</v>
      </c>
      <c r="Z5" s="18">
        <f>COUNTIFS(Table1[Customer_ID],Z$1,Table1[Month],$A5,Table1[Type],"Purchase")</f>
        <v>0</v>
      </c>
      <c r="AA5" s="18">
        <f>COUNTIFS(Table1[Customer_ID],AA$1,Table1[Month],$A5,Table1[Type],"Purchase")</f>
        <v>0</v>
      </c>
      <c r="AB5" s="18">
        <f>COUNTIFS(Table1[Customer_ID],AB$1,Table1[Month],$A5,Table1[Type],"Purchase")</f>
        <v>0</v>
      </c>
      <c r="AC5" s="18">
        <f>COUNTIFS(Table1[Customer_ID],AC$1,Table1[Month],$A5,Table1[Type],"Purchase")</f>
        <v>0</v>
      </c>
      <c r="AD5" s="18">
        <f>COUNTIFS(Table1[Customer_ID],AD$1,Table1[Month],$A5,Table1[Type],"Purchase")</f>
        <v>0</v>
      </c>
      <c r="AE5" s="20">
        <f t="shared" si="0"/>
        <v>0</v>
      </c>
    </row>
    <row r="6" spans="1:31">
      <c r="A6" s="27" t="s">
        <v>704</v>
      </c>
      <c r="B6" s="18">
        <f>COUNTIFS(Table1[Customer_ID],B$1,Table1[Month],$A6,Table1[Type],"Purchase")</f>
        <v>0</v>
      </c>
      <c r="C6" s="18">
        <f>COUNTIFS(Table1[Customer_ID],C$1,Table1[Month],$A6,Table1[Type],"Purchase")</f>
        <v>0</v>
      </c>
      <c r="D6" s="18">
        <f>COUNTIFS(Table1[Customer_ID],D$1,Table1[Month],$A6,Table1[Type],"Purchase")</f>
        <v>0</v>
      </c>
      <c r="E6" s="18">
        <f>COUNTIFS(Table1[Customer_ID],E$1,Table1[Month],$A6,Table1[Type],"Purchase")</f>
        <v>0</v>
      </c>
      <c r="F6" s="18">
        <f>COUNTIFS(Table1[Customer_ID],F$1,Table1[Month],$A6,Table1[Type],"Purchase")</f>
        <v>0</v>
      </c>
      <c r="G6" s="18">
        <f>COUNTIFS(Table1[Customer_ID],G$1,Table1[Month],$A6,Table1[Type],"Purchase")</f>
        <v>0</v>
      </c>
      <c r="H6" s="18">
        <f>COUNTIFS(Table1[Customer_ID],H$1,Table1[Month],$A6,Table1[Type],"Purchase")</f>
        <v>0</v>
      </c>
      <c r="I6" s="18">
        <f>COUNTIFS(Table1[Customer_ID],I$1,Table1[Month],$A6,Table1[Type],"Purchase")</f>
        <v>0</v>
      </c>
      <c r="J6" s="18">
        <f>COUNTIFS(Table1[Customer_ID],J$1,Table1[Month],$A6,Table1[Type],"Purchase")</f>
        <v>0</v>
      </c>
      <c r="K6" s="18">
        <f>COUNTIFS(Table1[Customer_ID],K$1,Table1[Month],$A6,Table1[Type],"Purchase")</f>
        <v>0</v>
      </c>
      <c r="L6" s="18">
        <f>COUNTIFS(Table1[Customer_ID],L$1,Table1[Month],$A6,Table1[Type],"Purchase")</f>
        <v>0</v>
      </c>
      <c r="M6" s="18">
        <f>COUNTIFS(Table1[Customer_ID],M$1,Table1[Month],$A6,Table1[Type],"Purchase")</f>
        <v>0</v>
      </c>
      <c r="N6" s="18">
        <f>COUNTIFS(Table1[Customer_ID],N$1,Table1[Month],$A6,Table1[Type],"Purchase")</f>
        <v>0</v>
      </c>
      <c r="O6" s="18">
        <f>COUNTIFS(Table1[Customer_ID],O$1,Table1[Month],$A6,Table1[Type],"Purchase")</f>
        <v>0</v>
      </c>
      <c r="P6" s="18">
        <f>COUNTIFS(Table1[Customer_ID],P$1,Table1[Month],$A6,Table1[Type],"Purchase")</f>
        <v>0</v>
      </c>
      <c r="Q6" s="18">
        <f>COUNTIFS(Table1[Customer_ID],Q$1,Table1[Month],$A6,Table1[Type],"Purchase")</f>
        <v>0</v>
      </c>
      <c r="R6" s="18">
        <f>COUNTIFS(Table1[Customer_ID],R$1,Table1[Month],$A6,Table1[Type],"Purchase")</f>
        <v>0</v>
      </c>
      <c r="S6" s="18">
        <f>COUNTIFS(Table1[Customer_ID],S$1,Table1[Month],$A6,Table1[Type],"Purchase")</f>
        <v>0</v>
      </c>
      <c r="T6" s="18">
        <f>COUNTIFS(Table1[Customer_ID],T$1,Table1[Month],$A6,Table1[Type],"Purchase")</f>
        <v>0</v>
      </c>
      <c r="U6" s="18">
        <f>COUNTIFS(Table1[Customer_ID],U$1,Table1[Month],$A6,Table1[Type],"Purchase")</f>
        <v>0</v>
      </c>
      <c r="V6" s="18">
        <f>COUNTIFS(Table1[Customer_ID],V$1,Table1[Month],$A6,Table1[Type],"Purchase")</f>
        <v>0</v>
      </c>
      <c r="W6" s="18">
        <f>COUNTIFS(Table1[Customer_ID],W$1,Table1[Month],$A6,Table1[Type],"Purchase")</f>
        <v>0</v>
      </c>
      <c r="X6" s="18">
        <f>COUNTIFS(Table1[Customer_ID],X$1,Table1[Month],$A6,Table1[Type],"Purchase")</f>
        <v>0</v>
      </c>
      <c r="Y6" s="18">
        <f>COUNTIFS(Table1[Customer_ID],Y$1,Table1[Month],$A6,Table1[Type],"Purchase")</f>
        <v>5</v>
      </c>
      <c r="Z6" s="18">
        <f>COUNTIFS(Table1[Customer_ID],Z$1,Table1[Month],$A6,Table1[Type],"Purchase")</f>
        <v>0</v>
      </c>
      <c r="AA6" s="18">
        <f>COUNTIFS(Table1[Customer_ID],AA$1,Table1[Month],$A6,Table1[Type],"Purchase")</f>
        <v>0</v>
      </c>
      <c r="AB6" s="18">
        <f>COUNTIFS(Table1[Customer_ID],AB$1,Table1[Month],$A6,Table1[Type],"Purchase")</f>
        <v>0</v>
      </c>
      <c r="AC6" s="18">
        <f>COUNTIFS(Table1[Customer_ID],AC$1,Table1[Month],$A6,Table1[Type],"Purchase")</f>
        <v>0</v>
      </c>
      <c r="AD6" s="18">
        <f>COUNTIFS(Table1[Customer_ID],AD$1,Table1[Month],$A6,Table1[Type],"Purchase")</f>
        <v>0</v>
      </c>
      <c r="AE6" s="20">
        <f t="shared" si="0"/>
        <v>5</v>
      </c>
    </row>
    <row r="7" spans="1:31">
      <c r="A7" s="27" t="s">
        <v>705</v>
      </c>
      <c r="B7" s="18">
        <f>COUNTIFS(Table1[Customer_ID],B$1,Table1[Month],$A7,Table1[Type],"Purchase")</f>
        <v>0</v>
      </c>
      <c r="C7" s="18">
        <f>COUNTIFS(Table1[Customer_ID],C$1,Table1[Month],$A7,Table1[Type],"Purchase")</f>
        <v>0</v>
      </c>
      <c r="D7" s="18">
        <f>COUNTIFS(Table1[Customer_ID],D$1,Table1[Month],$A7,Table1[Type],"Purchase")</f>
        <v>0</v>
      </c>
      <c r="E7" s="18">
        <f>COUNTIFS(Table1[Customer_ID],E$1,Table1[Month],$A7,Table1[Type],"Purchase")</f>
        <v>0</v>
      </c>
      <c r="F7" s="18">
        <f>COUNTIFS(Table1[Customer_ID],F$1,Table1[Month],$A7,Table1[Type],"Purchase")</f>
        <v>0</v>
      </c>
      <c r="G7" s="18">
        <f>COUNTIFS(Table1[Customer_ID],G$1,Table1[Month],$A7,Table1[Type],"Purchase")</f>
        <v>0</v>
      </c>
      <c r="H7" s="18">
        <f>COUNTIFS(Table1[Customer_ID],H$1,Table1[Month],$A7,Table1[Type],"Purchase")</f>
        <v>0</v>
      </c>
      <c r="I7" s="18">
        <f>COUNTIFS(Table1[Customer_ID],I$1,Table1[Month],$A7,Table1[Type],"Purchase")</f>
        <v>0</v>
      </c>
      <c r="J7" s="18">
        <f>COUNTIFS(Table1[Customer_ID],J$1,Table1[Month],$A7,Table1[Type],"Purchase")</f>
        <v>0</v>
      </c>
      <c r="K7" s="18">
        <f>COUNTIFS(Table1[Customer_ID],K$1,Table1[Month],$A7,Table1[Type],"Purchase")</f>
        <v>0</v>
      </c>
      <c r="L7" s="18">
        <f>COUNTIFS(Table1[Customer_ID],L$1,Table1[Month],$A7,Table1[Type],"Purchase")</f>
        <v>0</v>
      </c>
      <c r="M7" s="18">
        <f>COUNTIFS(Table1[Customer_ID],M$1,Table1[Month],$A7,Table1[Type],"Purchase")</f>
        <v>0</v>
      </c>
      <c r="N7" s="18">
        <f>COUNTIFS(Table1[Customer_ID],N$1,Table1[Month],$A7,Table1[Type],"Purchase")</f>
        <v>0</v>
      </c>
      <c r="O7" s="18">
        <f>COUNTIFS(Table1[Customer_ID],O$1,Table1[Month],$A7,Table1[Type],"Purchase")</f>
        <v>0</v>
      </c>
      <c r="P7" s="18">
        <f>COUNTIFS(Table1[Customer_ID],P$1,Table1[Month],$A7,Table1[Type],"Purchase")</f>
        <v>0</v>
      </c>
      <c r="Q7" s="18">
        <f>COUNTIFS(Table1[Customer_ID],Q$1,Table1[Month],$A7,Table1[Type],"Purchase")</f>
        <v>0</v>
      </c>
      <c r="R7" s="18">
        <f>COUNTIFS(Table1[Customer_ID],R$1,Table1[Month],$A7,Table1[Type],"Purchase")</f>
        <v>0</v>
      </c>
      <c r="S7" s="18">
        <f>COUNTIFS(Table1[Customer_ID],S$1,Table1[Month],$A7,Table1[Type],"Purchase")</f>
        <v>0</v>
      </c>
      <c r="T7" s="18">
        <f>COUNTIFS(Table1[Customer_ID],T$1,Table1[Month],$A7,Table1[Type],"Purchase")</f>
        <v>0</v>
      </c>
      <c r="U7" s="18">
        <f>COUNTIFS(Table1[Customer_ID],U$1,Table1[Month],$A7,Table1[Type],"Purchase")</f>
        <v>0</v>
      </c>
      <c r="V7" s="18">
        <f>COUNTIFS(Table1[Customer_ID],V$1,Table1[Month],$A7,Table1[Type],"Purchase")</f>
        <v>0</v>
      </c>
      <c r="W7" s="18">
        <f>COUNTIFS(Table1[Customer_ID],W$1,Table1[Month],$A7,Table1[Type],"Purchase")</f>
        <v>0</v>
      </c>
      <c r="X7" s="18">
        <f>COUNTIFS(Table1[Customer_ID],X$1,Table1[Month],$A7,Table1[Type],"Purchase")</f>
        <v>0</v>
      </c>
      <c r="Y7" s="18">
        <f>COUNTIFS(Table1[Customer_ID],Y$1,Table1[Month],$A7,Table1[Type],"Purchase")</f>
        <v>2</v>
      </c>
      <c r="Z7" s="18">
        <f>COUNTIFS(Table1[Customer_ID],Z$1,Table1[Month],$A7,Table1[Type],"Purchase")</f>
        <v>0</v>
      </c>
      <c r="AA7" s="18">
        <f>COUNTIFS(Table1[Customer_ID],AA$1,Table1[Month],$A7,Table1[Type],"Purchase")</f>
        <v>0</v>
      </c>
      <c r="AB7" s="18">
        <f>COUNTIFS(Table1[Customer_ID],AB$1,Table1[Month],$A7,Table1[Type],"Purchase")</f>
        <v>0</v>
      </c>
      <c r="AC7" s="18">
        <f>COUNTIFS(Table1[Customer_ID],AC$1,Table1[Month],$A7,Table1[Type],"Purchase")</f>
        <v>0</v>
      </c>
      <c r="AD7" s="18">
        <f>COUNTIFS(Table1[Customer_ID],AD$1,Table1[Month],$A7,Table1[Type],"Purchase")</f>
        <v>0</v>
      </c>
      <c r="AE7" s="20">
        <f t="shared" si="0"/>
        <v>2</v>
      </c>
    </row>
    <row r="8" spans="1:31">
      <c r="A8" s="27" t="s">
        <v>706</v>
      </c>
      <c r="B8" s="18">
        <f>COUNTIFS(Table1[Customer_ID],B$1,Table1[Month],$A8,Table1[Type],"Purchase")</f>
        <v>0</v>
      </c>
      <c r="C8" s="18">
        <f>COUNTIFS(Table1[Customer_ID],C$1,Table1[Month],$A8,Table1[Type],"Purchase")</f>
        <v>0</v>
      </c>
      <c r="D8" s="18">
        <f>COUNTIFS(Table1[Customer_ID],D$1,Table1[Month],$A8,Table1[Type],"Purchase")</f>
        <v>0</v>
      </c>
      <c r="E8" s="18">
        <f>COUNTIFS(Table1[Customer_ID],E$1,Table1[Month],$A8,Table1[Type],"Purchase")</f>
        <v>0</v>
      </c>
      <c r="F8" s="18">
        <f>COUNTIFS(Table1[Customer_ID],F$1,Table1[Month],$A8,Table1[Type],"Purchase")</f>
        <v>0</v>
      </c>
      <c r="G8" s="18">
        <f>COUNTIFS(Table1[Customer_ID],G$1,Table1[Month],$A8,Table1[Type],"Purchase")</f>
        <v>0</v>
      </c>
      <c r="H8" s="18">
        <f>COUNTIFS(Table1[Customer_ID],H$1,Table1[Month],$A8,Table1[Type],"Purchase")</f>
        <v>0</v>
      </c>
      <c r="I8" s="18">
        <f>COUNTIFS(Table1[Customer_ID],I$1,Table1[Month],$A8,Table1[Type],"Purchase")</f>
        <v>0</v>
      </c>
      <c r="J8" s="18">
        <f>COUNTIFS(Table1[Customer_ID],J$1,Table1[Month],$A8,Table1[Type],"Purchase")</f>
        <v>0</v>
      </c>
      <c r="K8" s="18">
        <f>COUNTIFS(Table1[Customer_ID],K$1,Table1[Month],$A8,Table1[Type],"Purchase")</f>
        <v>0</v>
      </c>
      <c r="L8" s="18">
        <f>COUNTIFS(Table1[Customer_ID],L$1,Table1[Month],$A8,Table1[Type],"Purchase")</f>
        <v>0</v>
      </c>
      <c r="M8" s="18">
        <f>COUNTIFS(Table1[Customer_ID],M$1,Table1[Month],$A8,Table1[Type],"Purchase")</f>
        <v>0</v>
      </c>
      <c r="N8" s="18">
        <f>COUNTIFS(Table1[Customer_ID],N$1,Table1[Month],$A8,Table1[Type],"Purchase")</f>
        <v>0</v>
      </c>
      <c r="O8" s="18">
        <f>COUNTIFS(Table1[Customer_ID],O$1,Table1[Month],$A8,Table1[Type],"Purchase")</f>
        <v>0</v>
      </c>
      <c r="P8" s="18">
        <f>COUNTIFS(Table1[Customer_ID],P$1,Table1[Month],$A8,Table1[Type],"Purchase")</f>
        <v>0</v>
      </c>
      <c r="Q8" s="18">
        <f>COUNTIFS(Table1[Customer_ID],Q$1,Table1[Month],$A8,Table1[Type],"Purchase")</f>
        <v>0</v>
      </c>
      <c r="R8" s="18">
        <f>COUNTIFS(Table1[Customer_ID],R$1,Table1[Month],$A8,Table1[Type],"Purchase")</f>
        <v>0</v>
      </c>
      <c r="S8" s="18">
        <f>COUNTIFS(Table1[Customer_ID],S$1,Table1[Month],$A8,Table1[Type],"Purchase")</f>
        <v>0</v>
      </c>
      <c r="T8" s="18">
        <f>COUNTIFS(Table1[Customer_ID],T$1,Table1[Month],$A8,Table1[Type],"Purchase")</f>
        <v>0</v>
      </c>
      <c r="U8" s="18">
        <f>COUNTIFS(Table1[Customer_ID],U$1,Table1[Month],$A8,Table1[Type],"Purchase")</f>
        <v>0</v>
      </c>
      <c r="V8" s="18">
        <f>COUNTIFS(Table1[Customer_ID],V$1,Table1[Month],$A8,Table1[Type],"Purchase")</f>
        <v>0</v>
      </c>
      <c r="W8" s="18">
        <f>COUNTIFS(Table1[Customer_ID],W$1,Table1[Month],$A8,Table1[Type],"Purchase")</f>
        <v>0</v>
      </c>
      <c r="X8" s="18">
        <f>COUNTIFS(Table1[Customer_ID],X$1,Table1[Month],$A8,Table1[Type],"Purchase")</f>
        <v>0</v>
      </c>
      <c r="Y8" s="18">
        <f>COUNTIFS(Table1[Customer_ID],Y$1,Table1[Month],$A8,Table1[Type],"Purchase")</f>
        <v>5</v>
      </c>
      <c r="Z8" s="18">
        <f>COUNTIFS(Table1[Customer_ID],Z$1,Table1[Month],$A8,Table1[Type],"Purchase")</f>
        <v>0</v>
      </c>
      <c r="AA8" s="18">
        <f>COUNTIFS(Table1[Customer_ID],AA$1,Table1[Month],$A8,Table1[Type],"Purchase")</f>
        <v>0</v>
      </c>
      <c r="AB8" s="18">
        <f>COUNTIFS(Table1[Customer_ID],AB$1,Table1[Month],$A8,Table1[Type],"Purchase")</f>
        <v>0</v>
      </c>
      <c r="AC8" s="18">
        <f>COUNTIFS(Table1[Customer_ID],AC$1,Table1[Month],$A8,Table1[Type],"Purchase")</f>
        <v>0</v>
      </c>
      <c r="AD8" s="18">
        <f>COUNTIFS(Table1[Customer_ID],AD$1,Table1[Month],$A8,Table1[Type],"Purchase")</f>
        <v>0</v>
      </c>
      <c r="AE8" s="20">
        <f t="shared" si="0"/>
        <v>5</v>
      </c>
    </row>
    <row r="9" spans="1:31">
      <c r="A9" s="27" t="s">
        <v>707</v>
      </c>
      <c r="B9" s="18">
        <f>COUNTIFS(Table1[Customer_ID],B$1,Table1[Month],$A9,Table1[Type],"Purchase")</f>
        <v>0</v>
      </c>
      <c r="C9" s="18">
        <f>COUNTIFS(Table1[Customer_ID],C$1,Table1[Month],$A9,Table1[Type],"Purchase")</f>
        <v>0</v>
      </c>
      <c r="D9" s="18">
        <f>COUNTIFS(Table1[Customer_ID],D$1,Table1[Month],$A9,Table1[Type],"Purchase")</f>
        <v>0</v>
      </c>
      <c r="E9" s="18">
        <f>COUNTIFS(Table1[Customer_ID],E$1,Table1[Month],$A9,Table1[Type],"Purchase")</f>
        <v>0</v>
      </c>
      <c r="F9" s="18">
        <f>COUNTIFS(Table1[Customer_ID],F$1,Table1[Month],$A9,Table1[Type],"Purchase")</f>
        <v>0</v>
      </c>
      <c r="G9" s="18">
        <f>COUNTIFS(Table1[Customer_ID],G$1,Table1[Month],$A9,Table1[Type],"Purchase")</f>
        <v>0</v>
      </c>
      <c r="H9" s="18">
        <f>COUNTIFS(Table1[Customer_ID],H$1,Table1[Month],$A9,Table1[Type],"Purchase")</f>
        <v>0</v>
      </c>
      <c r="I9" s="18">
        <f>COUNTIFS(Table1[Customer_ID],I$1,Table1[Month],$A9,Table1[Type],"Purchase")</f>
        <v>0</v>
      </c>
      <c r="J9" s="18">
        <f>COUNTIFS(Table1[Customer_ID],J$1,Table1[Month],$A9,Table1[Type],"Purchase")</f>
        <v>0</v>
      </c>
      <c r="K9" s="18">
        <f>COUNTIFS(Table1[Customer_ID],K$1,Table1[Month],$A9,Table1[Type],"Purchase")</f>
        <v>0</v>
      </c>
      <c r="L9" s="18">
        <f>COUNTIFS(Table1[Customer_ID],L$1,Table1[Month],$A9,Table1[Type],"Purchase")</f>
        <v>0</v>
      </c>
      <c r="M9" s="18">
        <f>COUNTIFS(Table1[Customer_ID],M$1,Table1[Month],$A9,Table1[Type],"Purchase")</f>
        <v>0</v>
      </c>
      <c r="N9" s="18">
        <f>COUNTIFS(Table1[Customer_ID],N$1,Table1[Month],$A9,Table1[Type],"Purchase")</f>
        <v>0</v>
      </c>
      <c r="O9" s="18">
        <f>COUNTIFS(Table1[Customer_ID],O$1,Table1[Month],$A9,Table1[Type],"Purchase")</f>
        <v>0</v>
      </c>
      <c r="P9" s="18">
        <f>COUNTIFS(Table1[Customer_ID],P$1,Table1[Month],$A9,Table1[Type],"Purchase")</f>
        <v>0</v>
      </c>
      <c r="Q9" s="18">
        <f>COUNTIFS(Table1[Customer_ID],Q$1,Table1[Month],$A9,Table1[Type],"Purchase")</f>
        <v>0</v>
      </c>
      <c r="R9" s="18">
        <f>COUNTIFS(Table1[Customer_ID],R$1,Table1[Month],$A9,Table1[Type],"Purchase")</f>
        <v>0</v>
      </c>
      <c r="S9" s="18">
        <f>COUNTIFS(Table1[Customer_ID],S$1,Table1[Month],$A9,Table1[Type],"Purchase")</f>
        <v>0</v>
      </c>
      <c r="T9" s="18">
        <f>COUNTIFS(Table1[Customer_ID],T$1,Table1[Month],$A9,Table1[Type],"Purchase")</f>
        <v>0</v>
      </c>
      <c r="U9" s="18">
        <f>COUNTIFS(Table1[Customer_ID],U$1,Table1[Month],$A9,Table1[Type],"Purchase")</f>
        <v>0</v>
      </c>
      <c r="V9" s="18">
        <f>COUNTIFS(Table1[Customer_ID],V$1,Table1[Month],$A9,Table1[Type],"Purchase")</f>
        <v>0</v>
      </c>
      <c r="W9" s="18">
        <f>COUNTIFS(Table1[Customer_ID],W$1,Table1[Month],$A9,Table1[Type],"Purchase")</f>
        <v>0</v>
      </c>
      <c r="X9" s="18">
        <f>COUNTIFS(Table1[Customer_ID],X$1,Table1[Month],$A9,Table1[Type],"Purchase")</f>
        <v>0</v>
      </c>
      <c r="Y9" s="18">
        <f>COUNTIFS(Table1[Customer_ID],Y$1,Table1[Month],$A9,Table1[Type],"Purchase")</f>
        <v>1</v>
      </c>
      <c r="Z9" s="18">
        <f>COUNTIFS(Table1[Customer_ID],Z$1,Table1[Month],$A9,Table1[Type],"Purchase")</f>
        <v>0</v>
      </c>
      <c r="AA9" s="18">
        <f>COUNTIFS(Table1[Customer_ID],AA$1,Table1[Month],$A9,Table1[Type],"Purchase")</f>
        <v>0</v>
      </c>
      <c r="AB9" s="18">
        <f>COUNTIFS(Table1[Customer_ID],AB$1,Table1[Month],$A9,Table1[Type],"Purchase")</f>
        <v>0</v>
      </c>
      <c r="AC9" s="18">
        <f>COUNTIFS(Table1[Customer_ID],AC$1,Table1[Month],$A9,Table1[Type],"Purchase")</f>
        <v>0</v>
      </c>
      <c r="AD9" s="18">
        <f>COUNTIFS(Table1[Customer_ID],AD$1,Table1[Month],$A9,Table1[Type],"Purchase")</f>
        <v>0</v>
      </c>
      <c r="AE9" s="20">
        <f t="shared" si="0"/>
        <v>1</v>
      </c>
    </row>
    <row r="10" spans="1:31">
      <c r="A10" s="27" t="s">
        <v>708</v>
      </c>
      <c r="B10" s="18">
        <f>COUNTIFS(Table1[Customer_ID],B$1,Table1[Month],$A10,Table1[Type],"Purchase")</f>
        <v>0</v>
      </c>
      <c r="C10" s="18">
        <f>COUNTIFS(Table1[Customer_ID],C$1,Table1[Month],$A10,Table1[Type],"Purchase")</f>
        <v>0</v>
      </c>
      <c r="D10" s="18">
        <f>COUNTIFS(Table1[Customer_ID],D$1,Table1[Month],$A10,Table1[Type],"Purchase")</f>
        <v>0</v>
      </c>
      <c r="E10" s="18">
        <f>COUNTIFS(Table1[Customer_ID],E$1,Table1[Month],$A10,Table1[Type],"Purchase")</f>
        <v>0</v>
      </c>
      <c r="F10" s="18">
        <f>COUNTIFS(Table1[Customer_ID],F$1,Table1[Month],$A10,Table1[Type],"Purchase")</f>
        <v>0</v>
      </c>
      <c r="G10" s="18">
        <f>COUNTIFS(Table1[Customer_ID],G$1,Table1[Month],$A10,Table1[Type],"Purchase")</f>
        <v>0</v>
      </c>
      <c r="H10" s="18">
        <f>COUNTIFS(Table1[Customer_ID],H$1,Table1[Month],$A10,Table1[Type],"Purchase")</f>
        <v>0</v>
      </c>
      <c r="I10" s="18">
        <f>COUNTIFS(Table1[Customer_ID],I$1,Table1[Month],$A10,Table1[Type],"Purchase")</f>
        <v>0</v>
      </c>
      <c r="J10" s="18">
        <f>COUNTIFS(Table1[Customer_ID],J$1,Table1[Month],$A10,Table1[Type],"Purchase")</f>
        <v>0</v>
      </c>
      <c r="K10" s="18">
        <f>COUNTIFS(Table1[Customer_ID],K$1,Table1[Month],$A10,Table1[Type],"Purchase")</f>
        <v>0</v>
      </c>
      <c r="L10" s="18">
        <f>COUNTIFS(Table1[Customer_ID],L$1,Table1[Month],$A10,Table1[Type],"Purchase")</f>
        <v>0</v>
      </c>
      <c r="M10" s="18">
        <f>COUNTIFS(Table1[Customer_ID],M$1,Table1[Month],$A10,Table1[Type],"Purchase")</f>
        <v>0</v>
      </c>
      <c r="N10" s="18">
        <f>COUNTIFS(Table1[Customer_ID],N$1,Table1[Month],$A10,Table1[Type],"Purchase")</f>
        <v>0</v>
      </c>
      <c r="O10" s="18">
        <f>COUNTIFS(Table1[Customer_ID],O$1,Table1[Month],$A10,Table1[Type],"Purchase")</f>
        <v>0</v>
      </c>
      <c r="P10" s="18">
        <f>COUNTIFS(Table1[Customer_ID],P$1,Table1[Month],$A10,Table1[Type],"Purchase")</f>
        <v>0</v>
      </c>
      <c r="Q10" s="18">
        <f>COUNTIFS(Table1[Customer_ID],Q$1,Table1[Month],$A10,Table1[Type],"Purchase")</f>
        <v>0</v>
      </c>
      <c r="R10" s="18">
        <f>COUNTIFS(Table1[Customer_ID],R$1,Table1[Month],$A10,Table1[Type],"Purchase")</f>
        <v>0</v>
      </c>
      <c r="S10" s="18">
        <f>COUNTIFS(Table1[Customer_ID],S$1,Table1[Month],$A10,Table1[Type],"Purchase")</f>
        <v>0</v>
      </c>
      <c r="T10" s="18">
        <f>COUNTIFS(Table1[Customer_ID],T$1,Table1[Month],$A10,Table1[Type],"Purchase")</f>
        <v>0</v>
      </c>
      <c r="U10" s="18">
        <f>COUNTIFS(Table1[Customer_ID],U$1,Table1[Month],$A10,Table1[Type],"Purchase")</f>
        <v>0</v>
      </c>
      <c r="V10" s="18">
        <f>COUNTIFS(Table1[Customer_ID],V$1,Table1[Month],$A10,Table1[Type],"Purchase")</f>
        <v>0</v>
      </c>
      <c r="W10" s="18">
        <f>COUNTIFS(Table1[Customer_ID],W$1,Table1[Month],$A10,Table1[Type],"Purchase")</f>
        <v>0</v>
      </c>
      <c r="X10" s="18">
        <f>COUNTIFS(Table1[Customer_ID],X$1,Table1[Month],$A10,Table1[Type],"Purchase")</f>
        <v>0</v>
      </c>
      <c r="Y10" s="18">
        <f>COUNTIFS(Table1[Customer_ID],Y$1,Table1[Month],$A10,Table1[Type],"Purchase")</f>
        <v>0</v>
      </c>
      <c r="Z10" s="18">
        <f>COUNTIFS(Table1[Customer_ID],Z$1,Table1[Month],$A10,Table1[Type],"Purchase")</f>
        <v>0</v>
      </c>
      <c r="AA10" s="18">
        <f>COUNTIFS(Table1[Customer_ID],AA$1,Table1[Month],$A10,Table1[Type],"Purchase")</f>
        <v>0</v>
      </c>
      <c r="AB10" s="18">
        <f>COUNTIFS(Table1[Customer_ID],AB$1,Table1[Month],$A10,Table1[Type],"Purchase")</f>
        <v>0</v>
      </c>
      <c r="AC10" s="18">
        <f>COUNTIFS(Table1[Customer_ID],AC$1,Table1[Month],$A10,Table1[Type],"Purchase")</f>
        <v>0</v>
      </c>
      <c r="AD10" s="18">
        <f>COUNTIFS(Table1[Customer_ID],AD$1,Table1[Month],$A10,Table1[Type],"Purchase")</f>
        <v>0</v>
      </c>
      <c r="AE10" s="20">
        <f t="shared" si="0"/>
        <v>0</v>
      </c>
    </row>
    <row r="11" spans="1:31">
      <c r="A11" s="27" t="s">
        <v>709</v>
      </c>
      <c r="B11" s="18">
        <f>COUNTIFS(Table1[Customer_ID],B$1,Table1[Month],$A11,Table1[Type],"Purchase")</f>
        <v>0</v>
      </c>
      <c r="C11" s="18">
        <f>COUNTIFS(Table1[Customer_ID],C$1,Table1[Month],$A11,Table1[Type],"Purchase")</f>
        <v>0</v>
      </c>
      <c r="D11" s="18">
        <f>COUNTIFS(Table1[Customer_ID],D$1,Table1[Month],$A11,Table1[Type],"Purchase")</f>
        <v>0</v>
      </c>
      <c r="E11" s="18">
        <f>COUNTIFS(Table1[Customer_ID],E$1,Table1[Month],$A11,Table1[Type],"Purchase")</f>
        <v>0</v>
      </c>
      <c r="F11" s="18">
        <f>COUNTIFS(Table1[Customer_ID],F$1,Table1[Month],$A11,Table1[Type],"Purchase")</f>
        <v>0</v>
      </c>
      <c r="G11" s="18">
        <f>COUNTIFS(Table1[Customer_ID],G$1,Table1[Month],$A11,Table1[Type],"Purchase")</f>
        <v>0</v>
      </c>
      <c r="H11" s="18">
        <f>COUNTIFS(Table1[Customer_ID],H$1,Table1[Month],$A11,Table1[Type],"Purchase")</f>
        <v>0</v>
      </c>
      <c r="I11" s="18">
        <f>COUNTIFS(Table1[Customer_ID],I$1,Table1[Month],$A11,Table1[Type],"Purchase")</f>
        <v>0</v>
      </c>
      <c r="J11" s="18">
        <f>COUNTIFS(Table1[Customer_ID],J$1,Table1[Month],$A11,Table1[Type],"Purchase")</f>
        <v>0</v>
      </c>
      <c r="K11" s="18">
        <f>COUNTIFS(Table1[Customer_ID],K$1,Table1[Month],$A11,Table1[Type],"Purchase")</f>
        <v>0</v>
      </c>
      <c r="L11" s="18">
        <f>COUNTIFS(Table1[Customer_ID],L$1,Table1[Month],$A11,Table1[Type],"Purchase")</f>
        <v>0</v>
      </c>
      <c r="M11" s="18">
        <f>COUNTIFS(Table1[Customer_ID],M$1,Table1[Month],$A11,Table1[Type],"Purchase")</f>
        <v>0</v>
      </c>
      <c r="N11" s="18">
        <f>COUNTIFS(Table1[Customer_ID],N$1,Table1[Month],$A11,Table1[Type],"Purchase")</f>
        <v>0</v>
      </c>
      <c r="O11" s="18">
        <f>COUNTIFS(Table1[Customer_ID],O$1,Table1[Month],$A11,Table1[Type],"Purchase")</f>
        <v>0</v>
      </c>
      <c r="P11" s="18">
        <f>COUNTIFS(Table1[Customer_ID],P$1,Table1[Month],$A11,Table1[Type],"Purchase")</f>
        <v>0</v>
      </c>
      <c r="Q11" s="18">
        <f>COUNTIFS(Table1[Customer_ID],Q$1,Table1[Month],$A11,Table1[Type],"Purchase")</f>
        <v>0</v>
      </c>
      <c r="R11" s="18">
        <f>COUNTIFS(Table1[Customer_ID],R$1,Table1[Month],$A11,Table1[Type],"Purchase")</f>
        <v>0</v>
      </c>
      <c r="S11" s="18">
        <f>COUNTIFS(Table1[Customer_ID],S$1,Table1[Month],$A11,Table1[Type],"Purchase")</f>
        <v>0</v>
      </c>
      <c r="T11" s="18">
        <f>COUNTIFS(Table1[Customer_ID],T$1,Table1[Month],$A11,Table1[Type],"Purchase")</f>
        <v>0</v>
      </c>
      <c r="U11" s="18">
        <f>COUNTIFS(Table1[Customer_ID],U$1,Table1[Month],$A11,Table1[Type],"Purchase")</f>
        <v>0</v>
      </c>
      <c r="V11" s="18">
        <f>COUNTIFS(Table1[Customer_ID],V$1,Table1[Month],$A11,Table1[Type],"Purchase")</f>
        <v>0</v>
      </c>
      <c r="W11" s="18">
        <f>COUNTIFS(Table1[Customer_ID],W$1,Table1[Month],$A11,Table1[Type],"Purchase")</f>
        <v>0</v>
      </c>
      <c r="X11" s="18">
        <f>COUNTIFS(Table1[Customer_ID],X$1,Table1[Month],$A11,Table1[Type],"Purchase")</f>
        <v>0</v>
      </c>
      <c r="Y11" s="18">
        <f>COUNTIFS(Table1[Customer_ID],Y$1,Table1[Month],$A11,Table1[Type],"Purchase")</f>
        <v>0</v>
      </c>
      <c r="Z11" s="18">
        <f>COUNTIFS(Table1[Customer_ID],Z$1,Table1[Month],$A11,Table1[Type],"Purchase")</f>
        <v>0</v>
      </c>
      <c r="AA11" s="18">
        <f>COUNTIFS(Table1[Customer_ID],AA$1,Table1[Month],$A11,Table1[Type],"Purchase")</f>
        <v>0</v>
      </c>
      <c r="AB11" s="18">
        <f>COUNTIFS(Table1[Customer_ID],AB$1,Table1[Month],$A11,Table1[Type],"Purchase")</f>
        <v>0</v>
      </c>
      <c r="AC11" s="18">
        <f>COUNTIFS(Table1[Customer_ID],AC$1,Table1[Month],$A11,Table1[Type],"Purchase")</f>
        <v>0</v>
      </c>
      <c r="AD11" s="18">
        <f>COUNTIFS(Table1[Customer_ID],AD$1,Table1[Month],$A11,Table1[Type],"Purchase")</f>
        <v>0</v>
      </c>
      <c r="AE11" s="20">
        <f t="shared" si="0"/>
        <v>0</v>
      </c>
    </row>
    <row r="12" spans="1:31">
      <c r="A12" s="27" t="s">
        <v>688</v>
      </c>
      <c r="B12" s="18">
        <f>COUNTIFS(Table1[Customer_ID],B$1,Table1[Month],$A12,Table1[Type],"Purchase")</f>
        <v>0</v>
      </c>
      <c r="C12" s="18">
        <f>COUNTIFS(Table1[Customer_ID],C$1,Table1[Month],$A12,Table1[Type],"Purchase")</f>
        <v>0</v>
      </c>
      <c r="D12" s="18">
        <f>COUNTIFS(Table1[Customer_ID],D$1,Table1[Month],$A12,Table1[Type],"Purchase")</f>
        <v>11</v>
      </c>
      <c r="E12" s="18">
        <f>COUNTIFS(Table1[Customer_ID],E$1,Table1[Month],$A12,Table1[Type],"Purchase")</f>
        <v>8</v>
      </c>
      <c r="F12" s="18">
        <f>COUNTIFS(Table1[Customer_ID],F$1,Table1[Month],$A12,Table1[Type],"Purchase")</f>
        <v>0</v>
      </c>
      <c r="G12" s="18">
        <f>COUNTIFS(Table1[Customer_ID],G$1,Table1[Month],$A12,Table1[Type],"Purchase")</f>
        <v>13</v>
      </c>
      <c r="H12" s="18">
        <f>COUNTIFS(Table1[Customer_ID],H$1,Table1[Month],$A12,Table1[Type],"Purchase")</f>
        <v>18</v>
      </c>
      <c r="I12" s="18">
        <f>COUNTIFS(Table1[Customer_ID],I$1,Table1[Month],$A12,Table1[Type],"Purchase")</f>
        <v>14</v>
      </c>
      <c r="J12" s="18">
        <f>COUNTIFS(Table1[Customer_ID],J$1,Table1[Month],$A12,Table1[Type],"Purchase")</f>
        <v>17</v>
      </c>
      <c r="K12" s="18">
        <f>COUNTIFS(Table1[Customer_ID],K$1,Table1[Month],$A12,Table1[Type],"Purchase")</f>
        <v>3</v>
      </c>
      <c r="L12" s="18">
        <f>COUNTIFS(Table1[Customer_ID],L$1,Table1[Month],$A12,Table1[Type],"Purchase")</f>
        <v>20</v>
      </c>
      <c r="M12" s="18">
        <f>COUNTIFS(Table1[Customer_ID],M$1,Table1[Month],$A12,Table1[Type],"Purchase")</f>
        <v>0</v>
      </c>
      <c r="N12" s="18">
        <f>COUNTIFS(Table1[Customer_ID],N$1,Table1[Month],$A12,Table1[Type],"Purchase")</f>
        <v>0</v>
      </c>
      <c r="O12" s="18">
        <f>COUNTIFS(Table1[Customer_ID],O$1,Table1[Month],$A12,Table1[Type],"Purchase")</f>
        <v>0</v>
      </c>
      <c r="P12" s="18">
        <f>COUNTIFS(Table1[Customer_ID],P$1,Table1[Month],$A12,Table1[Type],"Purchase")</f>
        <v>0</v>
      </c>
      <c r="Q12" s="18">
        <f>COUNTIFS(Table1[Customer_ID],Q$1,Table1[Month],$A12,Table1[Type],"Purchase")</f>
        <v>15</v>
      </c>
      <c r="R12" s="18">
        <f>COUNTIFS(Table1[Customer_ID],R$1,Table1[Month],$A12,Table1[Type],"Purchase")</f>
        <v>10</v>
      </c>
      <c r="S12" s="18">
        <f>COUNTIFS(Table1[Customer_ID],S$1,Table1[Month],$A12,Table1[Type],"Purchase")</f>
        <v>4</v>
      </c>
      <c r="T12" s="18">
        <f>COUNTIFS(Table1[Customer_ID],T$1,Table1[Month],$A12,Table1[Type],"Purchase")</f>
        <v>10</v>
      </c>
      <c r="U12" s="18">
        <f>COUNTIFS(Table1[Customer_ID],U$1,Table1[Month],$A12,Table1[Type],"Purchase")</f>
        <v>28</v>
      </c>
      <c r="V12" s="18">
        <f>COUNTIFS(Table1[Customer_ID],V$1,Table1[Month],$A12,Table1[Type],"Purchase")</f>
        <v>14</v>
      </c>
      <c r="W12" s="18">
        <f>COUNTIFS(Table1[Customer_ID],W$1,Table1[Month],$A12,Table1[Type],"Purchase")</f>
        <v>5</v>
      </c>
      <c r="X12" s="18">
        <f>COUNTIFS(Table1[Customer_ID],X$1,Table1[Month],$A12,Table1[Type],"Purchase")</f>
        <v>2</v>
      </c>
      <c r="Y12" s="18">
        <f>COUNTIFS(Table1[Customer_ID],Y$1,Table1[Month],$A12,Table1[Type],"Purchase")</f>
        <v>0</v>
      </c>
      <c r="Z12" s="18">
        <f>COUNTIFS(Table1[Customer_ID],Z$1,Table1[Month],$A12,Table1[Type],"Purchase")</f>
        <v>1</v>
      </c>
      <c r="AA12" s="18">
        <f>COUNTIFS(Table1[Customer_ID],AA$1,Table1[Month],$A12,Table1[Type],"Purchase")</f>
        <v>3</v>
      </c>
      <c r="AB12" s="18">
        <f>COUNTIFS(Table1[Customer_ID],AB$1,Table1[Month],$A12,Table1[Type],"Purchase")</f>
        <v>17</v>
      </c>
      <c r="AC12" s="18">
        <f>COUNTIFS(Table1[Customer_ID],AC$1,Table1[Month],$A12,Table1[Type],"Purchase")</f>
        <v>0</v>
      </c>
      <c r="AD12" s="18">
        <f>COUNTIFS(Table1[Customer_ID],AD$1,Table1[Month],$A12,Table1[Type],"Purchase")</f>
        <v>0</v>
      </c>
      <c r="AE12" s="20">
        <f t="shared" si="0"/>
        <v>213</v>
      </c>
    </row>
    <row r="13" spans="1:31">
      <c r="A13" s="27" t="s">
        <v>687</v>
      </c>
      <c r="B13" s="18">
        <f>COUNTIFS(Table1[Customer_ID],B$1,Table1[Month],$A13,Table1[Type],"Purchase")</f>
        <v>0</v>
      </c>
      <c r="C13" s="18">
        <f>COUNTIFS(Table1[Customer_ID],C$1,Table1[Month],$A13,Table1[Type],"Purchase")</f>
        <v>0</v>
      </c>
      <c r="D13" s="18">
        <f>COUNTIFS(Table1[Customer_ID],D$1,Table1[Month],$A13,Table1[Type],"Purchase")</f>
        <v>70</v>
      </c>
      <c r="E13" s="18">
        <f>COUNTIFS(Table1[Customer_ID],E$1,Table1[Month],$A13,Table1[Type],"Purchase")</f>
        <v>23</v>
      </c>
      <c r="F13" s="18">
        <f>COUNTIFS(Table1[Customer_ID],F$1,Table1[Month],$A13,Table1[Type],"Purchase")</f>
        <v>9</v>
      </c>
      <c r="G13" s="18">
        <f>COUNTIFS(Table1[Customer_ID],G$1,Table1[Month],$A13,Table1[Type],"Purchase")</f>
        <v>16</v>
      </c>
      <c r="H13" s="18">
        <f>COUNTIFS(Table1[Customer_ID],H$1,Table1[Month],$A13,Table1[Type],"Purchase")</f>
        <v>31</v>
      </c>
      <c r="I13" s="18">
        <f>COUNTIFS(Table1[Customer_ID],I$1,Table1[Month],$A13,Table1[Type],"Purchase")</f>
        <v>26</v>
      </c>
      <c r="J13" s="18">
        <f>COUNTIFS(Table1[Customer_ID],J$1,Table1[Month],$A13,Table1[Type],"Purchase")</f>
        <v>0</v>
      </c>
      <c r="K13" s="18">
        <f>COUNTIFS(Table1[Customer_ID],K$1,Table1[Month],$A13,Table1[Type],"Purchase")</f>
        <v>4</v>
      </c>
      <c r="L13" s="18">
        <f>COUNTIFS(Table1[Customer_ID],L$1,Table1[Month],$A13,Table1[Type],"Purchase")</f>
        <v>18</v>
      </c>
      <c r="M13" s="18">
        <f>COUNTIFS(Table1[Customer_ID],M$1,Table1[Month],$A13,Table1[Type],"Purchase")</f>
        <v>0</v>
      </c>
      <c r="N13" s="18">
        <f>COUNTIFS(Table1[Customer_ID],N$1,Table1[Month],$A13,Table1[Type],"Purchase")</f>
        <v>0</v>
      </c>
      <c r="O13" s="18">
        <f>COUNTIFS(Table1[Customer_ID],O$1,Table1[Month],$A13,Table1[Type],"Purchase")</f>
        <v>0</v>
      </c>
      <c r="P13" s="18">
        <f>COUNTIFS(Table1[Customer_ID],P$1,Table1[Month],$A13,Table1[Type],"Purchase")</f>
        <v>0</v>
      </c>
      <c r="Q13" s="18">
        <f>COUNTIFS(Table1[Customer_ID],Q$1,Table1[Month],$A13,Table1[Type],"Purchase")</f>
        <v>14</v>
      </c>
      <c r="R13" s="18">
        <f>COUNTIFS(Table1[Customer_ID],R$1,Table1[Month],$A13,Table1[Type],"Purchase")</f>
        <v>19</v>
      </c>
      <c r="S13" s="18">
        <f>COUNTIFS(Table1[Customer_ID],S$1,Table1[Month],$A13,Table1[Type],"Purchase")</f>
        <v>8</v>
      </c>
      <c r="T13" s="18">
        <f>COUNTIFS(Table1[Customer_ID],T$1,Table1[Month],$A13,Table1[Type],"Purchase")</f>
        <v>11</v>
      </c>
      <c r="U13" s="18">
        <f>COUNTIFS(Table1[Customer_ID],U$1,Table1[Month],$A13,Table1[Type],"Purchase")</f>
        <v>20</v>
      </c>
      <c r="V13" s="18">
        <f>COUNTIFS(Table1[Customer_ID],V$1,Table1[Month],$A13,Table1[Type],"Purchase")</f>
        <v>21</v>
      </c>
      <c r="W13" s="18">
        <f>COUNTIFS(Table1[Customer_ID],W$1,Table1[Month],$A13,Table1[Type],"Purchase")</f>
        <v>14</v>
      </c>
      <c r="X13" s="18">
        <f>COUNTIFS(Table1[Customer_ID],X$1,Table1[Month],$A13,Table1[Type],"Purchase")</f>
        <v>2</v>
      </c>
      <c r="Y13" s="18">
        <f>COUNTIFS(Table1[Customer_ID],Y$1,Table1[Month],$A13,Table1[Type],"Purchase")</f>
        <v>0</v>
      </c>
      <c r="Z13" s="18">
        <f>COUNTIFS(Table1[Customer_ID],Z$1,Table1[Month],$A13,Table1[Type],"Purchase")</f>
        <v>1</v>
      </c>
      <c r="AA13" s="18">
        <f>COUNTIFS(Table1[Customer_ID],AA$1,Table1[Month],$A13,Table1[Type],"Purchase")</f>
        <v>12</v>
      </c>
      <c r="AB13" s="18">
        <f>COUNTIFS(Table1[Customer_ID],AB$1,Table1[Month],$A13,Table1[Type],"Purchase")</f>
        <v>18</v>
      </c>
      <c r="AC13" s="18">
        <f>COUNTIFS(Table1[Customer_ID],AC$1,Table1[Month],$A13,Table1[Type],"Purchase")</f>
        <v>0</v>
      </c>
      <c r="AD13" s="18">
        <f>COUNTIFS(Table1[Customer_ID],AD$1,Table1[Month],$A13,Table1[Type],"Purchase")</f>
        <v>0</v>
      </c>
      <c r="AE13" s="20">
        <f t="shared" si="0"/>
        <v>337</v>
      </c>
    </row>
    <row r="14" spans="1:31">
      <c r="A14" s="27" t="s">
        <v>686</v>
      </c>
      <c r="B14" s="18">
        <f>COUNTIFS(Table1[Customer_ID],B$1,Table1[Month],$A14,Table1[Type],"Purchase")</f>
        <v>0</v>
      </c>
      <c r="C14" s="18">
        <f>COUNTIFS(Table1[Customer_ID],C$1,Table1[Month],$A14,Table1[Type],"Purchase")</f>
        <v>0</v>
      </c>
      <c r="D14" s="18">
        <f>COUNTIFS(Table1[Customer_ID],D$1,Table1[Month],$A14,Table1[Type],"Purchase")</f>
        <v>56</v>
      </c>
      <c r="E14" s="18">
        <f>COUNTIFS(Table1[Customer_ID],E$1,Table1[Month],$A14,Table1[Type],"Purchase")</f>
        <v>24</v>
      </c>
      <c r="F14" s="18">
        <f>COUNTIFS(Table1[Customer_ID],F$1,Table1[Month],$A14,Table1[Type],"Purchase")</f>
        <v>33</v>
      </c>
      <c r="G14" s="18">
        <f>COUNTIFS(Table1[Customer_ID],G$1,Table1[Month],$A14,Table1[Type],"Purchase")</f>
        <v>14</v>
      </c>
      <c r="H14" s="18">
        <f>COUNTIFS(Table1[Customer_ID],H$1,Table1[Month],$A14,Table1[Type],"Purchase")</f>
        <v>22</v>
      </c>
      <c r="I14" s="18">
        <f>COUNTIFS(Table1[Customer_ID],I$1,Table1[Month],$A14,Table1[Type],"Purchase")</f>
        <v>22</v>
      </c>
      <c r="J14" s="18">
        <f>COUNTIFS(Table1[Customer_ID],J$1,Table1[Month],$A14,Table1[Type],"Purchase")</f>
        <v>0</v>
      </c>
      <c r="K14" s="18">
        <f>COUNTIFS(Table1[Customer_ID],K$1,Table1[Month],$A14,Table1[Type],"Purchase")</f>
        <v>6</v>
      </c>
      <c r="L14" s="18">
        <f>COUNTIFS(Table1[Customer_ID],L$1,Table1[Month],$A14,Table1[Type],"Purchase")</f>
        <v>11</v>
      </c>
      <c r="M14" s="18">
        <f>COUNTIFS(Table1[Customer_ID],M$1,Table1[Month],$A14,Table1[Type],"Purchase")</f>
        <v>0</v>
      </c>
      <c r="N14" s="18">
        <f>COUNTIFS(Table1[Customer_ID],N$1,Table1[Month],$A14,Table1[Type],"Purchase")</f>
        <v>0</v>
      </c>
      <c r="O14" s="18">
        <f>COUNTIFS(Table1[Customer_ID],O$1,Table1[Month],$A14,Table1[Type],"Purchase")</f>
        <v>0</v>
      </c>
      <c r="P14" s="18">
        <f>COUNTIFS(Table1[Customer_ID],P$1,Table1[Month],$A14,Table1[Type],"Purchase")</f>
        <v>0</v>
      </c>
      <c r="Q14" s="18">
        <f>COUNTIFS(Table1[Customer_ID],Q$1,Table1[Month],$A14,Table1[Type],"Purchase")</f>
        <v>9</v>
      </c>
      <c r="R14" s="18">
        <f>COUNTIFS(Table1[Customer_ID],R$1,Table1[Month],$A14,Table1[Type],"Purchase")</f>
        <v>12</v>
      </c>
      <c r="S14" s="18">
        <f>COUNTIFS(Table1[Customer_ID],S$1,Table1[Month],$A14,Table1[Type],"Purchase")</f>
        <v>4</v>
      </c>
      <c r="T14" s="18">
        <f>COUNTIFS(Table1[Customer_ID],T$1,Table1[Month],$A14,Table1[Type],"Purchase")</f>
        <v>9</v>
      </c>
      <c r="U14" s="18">
        <f>COUNTIFS(Table1[Customer_ID],U$1,Table1[Month],$A14,Table1[Type],"Purchase")</f>
        <v>33</v>
      </c>
      <c r="V14" s="18">
        <f>COUNTIFS(Table1[Customer_ID],V$1,Table1[Month],$A14,Table1[Type],"Purchase")</f>
        <v>22</v>
      </c>
      <c r="W14" s="18">
        <f>COUNTIFS(Table1[Customer_ID],W$1,Table1[Month],$A14,Table1[Type],"Purchase")</f>
        <v>8</v>
      </c>
      <c r="X14" s="18">
        <f>COUNTIFS(Table1[Customer_ID],X$1,Table1[Month],$A14,Table1[Type],"Purchase")</f>
        <v>3</v>
      </c>
      <c r="Y14" s="18">
        <f>COUNTIFS(Table1[Customer_ID],Y$1,Table1[Month],$A14,Table1[Type],"Purchase")</f>
        <v>0</v>
      </c>
      <c r="Z14" s="18">
        <f>COUNTIFS(Table1[Customer_ID],Z$1,Table1[Month],$A14,Table1[Type],"Purchase")</f>
        <v>4</v>
      </c>
      <c r="AA14" s="18">
        <f>COUNTIFS(Table1[Customer_ID],AA$1,Table1[Month],$A14,Table1[Type],"Purchase")</f>
        <v>7</v>
      </c>
      <c r="AB14" s="18">
        <f>COUNTIFS(Table1[Customer_ID],AB$1,Table1[Month],$A14,Table1[Type],"Purchase")</f>
        <v>14</v>
      </c>
      <c r="AC14" s="18">
        <f>COUNTIFS(Table1[Customer_ID],AC$1,Table1[Month],$A14,Table1[Type],"Purchase")</f>
        <v>0</v>
      </c>
      <c r="AD14" s="18">
        <f>COUNTIFS(Table1[Customer_ID],AD$1,Table1[Month],$A14,Table1[Type],"Purchase")</f>
        <v>0</v>
      </c>
      <c r="AE14" s="20">
        <f t="shared" si="0"/>
        <v>313</v>
      </c>
    </row>
    <row r="15" spans="1:31">
      <c r="A15" s="27" t="s">
        <v>685</v>
      </c>
      <c r="B15" s="18">
        <f>COUNTIFS(Table1[Customer_ID],B$1,Table1[Month],$A15,Table1[Type],"Purchase")</f>
        <v>0</v>
      </c>
      <c r="C15" s="18">
        <f>COUNTIFS(Table1[Customer_ID],C$1,Table1[Month],$A15,Table1[Type],"Purchase")</f>
        <v>0</v>
      </c>
      <c r="D15" s="18">
        <f>COUNTIFS(Table1[Customer_ID],D$1,Table1[Month],$A15,Table1[Type],"Purchase")</f>
        <v>14</v>
      </c>
      <c r="E15" s="18">
        <f>COUNTIFS(Table1[Customer_ID],E$1,Table1[Month],$A15,Table1[Type],"Purchase")</f>
        <v>33</v>
      </c>
      <c r="F15" s="18">
        <f>COUNTIFS(Table1[Customer_ID],F$1,Table1[Month],$A15,Table1[Type],"Purchase")</f>
        <v>19</v>
      </c>
      <c r="G15" s="18">
        <f>COUNTIFS(Table1[Customer_ID],G$1,Table1[Month],$A15,Table1[Type],"Purchase")</f>
        <v>16</v>
      </c>
      <c r="H15" s="18">
        <f>COUNTIFS(Table1[Customer_ID],H$1,Table1[Month],$A15,Table1[Type],"Purchase")</f>
        <v>30</v>
      </c>
      <c r="I15" s="18">
        <f>COUNTIFS(Table1[Customer_ID],I$1,Table1[Month],$A15,Table1[Type],"Purchase")</f>
        <v>26</v>
      </c>
      <c r="J15" s="18">
        <f>COUNTIFS(Table1[Customer_ID],J$1,Table1[Month],$A15,Table1[Type],"Purchase")</f>
        <v>0</v>
      </c>
      <c r="K15" s="18">
        <f>COUNTIFS(Table1[Customer_ID],K$1,Table1[Month],$A15,Table1[Type],"Purchase")</f>
        <v>4</v>
      </c>
      <c r="L15" s="18">
        <f>COUNTIFS(Table1[Customer_ID],L$1,Table1[Month],$A15,Table1[Type],"Purchase")</f>
        <v>7</v>
      </c>
      <c r="M15" s="18">
        <f>COUNTIFS(Table1[Customer_ID],M$1,Table1[Month],$A15,Table1[Type],"Purchase")</f>
        <v>0</v>
      </c>
      <c r="N15" s="18">
        <f>COUNTIFS(Table1[Customer_ID],N$1,Table1[Month],$A15,Table1[Type],"Purchase")</f>
        <v>0</v>
      </c>
      <c r="O15" s="18">
        <f>COUNTIFS(Table1[Customer_ID],O$1,Table1[Month],$A15,Table1[Type],"Purchase")</f>
        <v>0</v>
      </c>
      <c r="P15" s="18">
        <f>COUNTIFS(Table1[Customer_ID],P$1,Table1[Month],$A15,Table1[Type],"Purchase")</f>
        <v>0</v>
      </c>
      <c r="Q15" s="18">
        <f>COUNTIFS(Table1[Customer_ID],Q$1,Table1[Month],$A15,Table1[Type],"Purchase")</f>
        <v>5</v>
      </c>
      <c r="R15" s="18">
        <f>COUNTIFS(Table1[Customer_ID],R$1,Table1[Month],$A15,Table1[Type],"Purchase")</f>
        <v>27</v>
      </c>
      <c r="S15" s="18">
        <f>COUNTIFS(Table1[Customer_ID],S$1,Table1[Month],$A15,Table1[Type],"Purchase")</f>
        <v>8</v>
      </c>
      <c r="T15" s="18">
        <f>COUNTIFS(Table1[Customer_ID],T$1,Table1[Month],$A15,Table1[Type],"Purchase")</f>
        <v>12</v>
      </c>
      <c r="U15" s="18">
        <f>COUNTIFS(Table1[Customer_ID],U$1,Table1[Month],$A15,Table1[Type],"Purchase")</f>
        <v>12</v>
      </c>
      <c r="V15" s="18">
        <f>COUNTIFS(Table1[Customer_ID],V$1,Table1[Month],$A15,Table1[Type],"Purchase")</f>
        <v>8</v>
      </c>
      <c r="W15" s="18">
        <f>COUNTIFS(Table1[Customer_ID],W$1,Table1[Month],$A15,Table1[Type],"Purchase")</f>
        <v>7</v>
      </c>
      <c r="X15" s="18">
        <f>COUNTIFS(Table1[Customer_ID],X$1,Table1[Month],$A15,Table1[Type],"Purchase")</f>
        <v>1</v>
      </c>
      <c r="Y15" s="18">
        <f>COUNTIFS(Table1[Customer_ID],Y$1,Table1[Month],$A15,Table1[Type],"Purchase")</f>
        <v>0</v>
      </c>
      <c r="Z15" s="18">
        <f>COUNTIFS(Table1[Customer_ID],Z$1,Table1[Month],$A15,Table1[Type],"Purchase")</f>
        <v>3</v>
      </c>
      <c r="AA15" s="18">
        <f>COUNTIFS(Table1[Customer_ID],AA$1,Table1[Month],$A15,Table1[Type],"Purchase")</f>
        <v>5</v>
      </c>
      <c r="AB15" s="18">
        <f>COUNTIFS(Table1[Customer_ID],AB$1,Table1[Month],$A15,Table1[Type],"Purchase")</f>
        <v>23</v>
      </c>
      <c r="AC15" s="18">
        <f>COUNTIFS(Table1[Customer_ID],AC$1,Table1[Month],$A15,Table1[Type],"Purchase")</f>
        <v>0</v>
      </c>
      <c r="AD15" s="18">
        <f>COUNTIFS(Table1[Customer_ID],AD$1,Table1[Month],$A15,Table1[Type],"Purchase")</f>
        <v>0</v>
      </c>
      <c r="AE15" s="20">
        <f t="shared" si="0"/>
        <v>260</v>
      </c>
    </row>
    <row r="16" spans="1:31">
      <c r="A16" s="27" t="s">
        <v>684</v>
      </c>
      <c r="B16" s="18">
        <f>COUNTIFS(Table1[Customer_ID],B$1,Table1[Month],$A16,Table1[Type],"Purchase")</f>
        <v>0</v>
      </c>
      <c r="C16" s="18">
        <f>COUNTIFS(Table1[Customer_ID],C$1,Table1[Month],$A16,Table1[Type],"Purchase")</f>
        <v>0</v>
      </c>
      <c r="D16" s="18">
        <f>COUNTIFS(Table1[Customer_ID],D$1,Table1[Month],$A16,Table1[Type],"Purchase")</f>
        <v>0</v>
      </c>
      <c r="E16" s="18">
        <f>COUNTIFS(Table1[Customer_ID],E$1,Table1[Month],$A16,Table1[Type],"Purchase")</f>
        <v>35</v>
      </c>
      <c r="F16" s="18">
        <f>COUNTIFS(Table1[Customer_ID],F$1,Table1[Month],$A16,Table1[Type],"Purchase")</f>
        <v>37</v>
      </c>
      <c r="G16" s="18">
        <f>COUNTIFS(Table1[Customer_ID],G$1,Table1[Month],$A16,Table1[Type],"Purchase")</f>
        <v>19</v>
      </c>
      <c r="H16" s="18">
        <f>COUNTIFS(Table1[Customer_ID],H$1,Table1[Month],$A16,Table1[Type],"Purchase")</f>
        <v>0</v>
      </c>
      <c r="I16" s="18">
        <f>COUNTIFS(Table1[Customer_ID],I$1,Table1[Month],$A16,Table1[Type],"Purchase")</f>
        <v>7</v>
      </c>
      <c r="J16" s="18">
        <f>COUNTIFS(Table1[Customer_ID],J$1,Table1[Month],$A16,Table1[Type],"Purchase")</f>
        <v>0</v>
      </c>
      <c r="K16" s="18">
        <f>COUNTIFS(Table1[Customer_ID],K$1,Table1[Month],$A16,Table1[Type],"Purchase")</f>
        <v>4</v>
      </c>
      <c r="L16" s="18">
        <f>COUNTIFS(Table1[Customer_ID],L$1,Table1[Month],$A16,Table1[Type],"Purchase")</f>
        <v>11</v>
      </c>
      <c r="M16" s="18">
        <f>COUNTIFS(Table1[Customer_ID],M$1,Table1[Month],$A16,Table1[Type],"Purchase")</f>
        <v>0</v>
      </c>
      <c r="N16" s="18">
        <f>COUNTIFS(Table1[Customer_ID],N$1,Table1[Month],$A16,Table1[Type],"Purchase")</f>
        <v>0</v>
      </c>
      <c r="O16" s="18">
        <f>COUNTIFS(Table1[Customer_ID],O$1,Table1[Month],$A16,Table1[Type],"Purchase")</f>
        <v>0</v>
      </c>
      <c r="P16" s="18">
        <f>COUNTIFS(Table1[Customer_ID],P$1,Table1[Month],$A16,Table1[Type],"Purchase")</f>
        <v>0</v>
      </c>
      <c r="Q16" s="18">
        <f>COUNTIFS(Table1[Customer_ID],Q$1,Table1[Month],$A16,Table1[Type],"Purchase")</f>
        <v>0</v>
      </c>
      <c r="R16" s="18">
        <f>COUNTIFS(Table1[Customer_ID],R$1,Table1[Month],$A16,Table1[Type],"Purchase")</f>
        <v>30</v>
      </c>
      <c r="S16" s="18">
        <f>COUNTIFS(Table1[Customer_ID],S$1,Table1[Month],$A16,Table1[Type],"Purchase")</f>
        <v>4</v>
      </c>
      <c r="T16" s="18">
        <f>COUNTIFS(Table1[Customer_ID],T$1,Table1[Month],$A16,Table1[Type],"Purchase")</f>
        <v>8</v>
      </c>
      <c r="U16" s="18">
        <f>COUNTIFS(Table1[Customer_ID],U$1,Table1[Month],$A16,Table1[Type],"Purchase")</f>
        <v>0</v>
      </c>
      <c r="V16" s="18">
        <f>COUNTIFS(Table1[Customer_ID],V$1,Table1[Month],$A16,Table1[Type],"Purchase")</f>
        <v>8</v>
      </c>
      <c r="W16" s="18">
        <f>COUNTIFS(Table1[Customer_ID],W$1,Table1[Month],$A16,Table1[Type],"Purchase")</f>
        <v>4</v>
      </c>
      <c r="X16" s="18">
        <f>COUNTIFS(Table1[Customer_ID],X$1,Table1[Month],$A16,Table1[Type],"Purchase")</f>
        <v>1</v>
      </c>
      <c r="Y16" s="18">
        <f>COUNTIFS(Table1[Customer_ID],Y$1,Table1[Month],$A16,Table1[Type],"Purchase")</f>
        <v>0</v>
      </c>
      <c r="Z16" s="18">
        <f>COUNTIFS(Table1[Customer_ID],Z$1,Table1[Month],$A16,Table1[Type],"Purchase")</f>
        <v>9</v>
      </c>
      <c r="AA16" s="18">
        <f>COUNTIFS(Table1[Customer_ID],AA$1,Table1[Month],$A16,Table1[Type],"Purchase")</f>
        <v>14</v>
      </c>
      <c r="AB16" s="18">
        <f>COUNTIFS(Table1[Customer_ID],AB$1,Table1[Month],$A16,Table1[Type],"Purchase")</f>
        <v>13</v>
      </c>
      <c r="AC16" s="18">
        <f>COUNTIFS(Table1[Customer_ID],AC$1,Table1[Month],$A16,Table1[Type],"Purchase")</f>
        <v>0</v>
      </c>
      <c r="AD16" s="18">
        <f>COUNTIFS(Table1[Customer_ID],AD$1,Table1[Month],$A16,Table1[Type],"Purchase")</f>
        <v>0</v>
      </c>
      <c r="AE16" s="20">
        <f t="shared" si="0"/>
        <v>204</v>
      </c>
    </row>
    <row r="17" spans="1:31">
      <c r="A17" s="27" t="s">
        <v>683</v>
      </c>
      <c r="B17" s="18">
        <f>COUNTIFS(Table1[Customer_ID],B$1,Table1[Month],$A17,Table1[Type],"Purchase")</f>
        <v>0</v>
      </c>
      <c r="C17" s="18">
        <f>COUNTIFS(Table1[Customer_ID],C$1,Table1[Month],$A17,Table1[Type],"Purchase")</f>
        <v>0</v>
      </c>
      <c r="D17" s="18">
        <f>COUNTIFS(Table1[Customer_ID],D$1,Table1[Month],$A17,Table1[Type],"Purchase")</f>
        <v>0</v>
      </c>
      <c r="E17" s="18">
        <f>COUNTIFS(Table1[Customer_ID],E$1,Table1[Month],$A17,Table1[Type],"Purchase")</f>
        <v>35</v>
      </c>
      <c r="F17" s="18">
        <f>COUNTIFS(Table1[Customer_ID],F$1,Table1[Month],$A17,Table1[Type],"Purchase")</f>
        <v>40</v>
      </c>
      <c r="G17" s="18">
        <f>COUNTIFS(Table1[Customer_ID],G$1,Table1[Month],$A17,Table1[Type],"Purchase")</f>
        <v>30</v>
      </c>
      <c r="H17" s="18">
        <f>COUNTIFS(Table1[Customer_ID],H$1,Table1[Month],$A17,Table1[Type],"Purchase")</f>
        <v>0</v>
      </c>
      <c r="I17" s="18">
        <f>COUNTIFS(Table1[Customer_ID],I$1,Table1[Month],$A17,Table1[Type],"Purchase")</f>
        <v>0</v>
      </c>
      <c r="J17" s="18">
        <f>COUNTIFS(Table1[Customer_ID],J$1,Table1[Month],$A17,Table1[Type],"Purchase")</f>
        <v>0</v>
      </c>
      <c r="K17" s="18">
        <f>COUNTIFS(Table1[Customer_ID],K$1,Table1[Month],$A17,Table1[Type],"Purchase")</f>
        <v>6</v>
      </c>
      <c r="L17" s="18">
        <f>COUNTIFS(Table1[Customer_ID],L$1,Table1[Month],$A17,Table1[Type],"Purchase")</f>
        <v>8</v>
      </c>
      <c r="M17" s="18">
        <f>COUNTIFS(Table1[Customer_ID],M$1,Table1[Month],$A17,Table1[Type],"Purchase")</f>
        <v>0</v>
      </c>
      <c r="N17" s="18">
        <f>COUNTIFS(Table1[Customer_ID],N$1,Table1[Month],$A17,Table1[Type],"Purchase")</f>
        <v>0</v>
      </c>
      <c r="O17" s="18">
        <f>COUNTIFS(Table1[Customer_ID],O$1,Table1[Month],$A17,Table1[Type],"Purchase")</f>
        <v>0</v>
      </c>
      <c r="P17" s="18">
        <f>COUNTIFS(Table1[Customer_ID],P$1,Table1[Month],$A17,Table1[Type],"Purchase")</f>
        <v>0</v>
      </c>
      <c r="Q17" s="18">
        <f>COUNTIFS(Table1[Customer_ID],Q$1,Table1[Month],$A17,Table1[Type],"Purchase")</f>
        <v>0</v>
      </c>
      <c r="R17" s="18">
        <f>COUNTIFS(Table1[Customer_ID],R$1,Table1[Month],$A17,Table1[Type],"Purchase")</f>
        <v>2</v>
      </c>
      <c r="S17" s="18">
        <f>COUNTIFS(Table1[Customer_ID],S$1,Table1[Month],$A17,Table1[Type],"Purchase")</f>
        <v>2</v>
      </c>
      <c r="T17" s="18">
        <f>COUNTIFS(Table1[Customer_ID],T$1,Table1[Month],$A17,Table1[Type],"Purchase")</f>
        <v>8</v>
      </c>
      <c r="U17" s="18">
        <f>COUNTIFS(Table1[Customer_ID],U$1,Table1[Month],$A17,Table1[Type],"Purchase")</f>
        <v>0</v>
      </c>
      <c r="V17" s="18">
        <f>COUNTIFS(Table1[Customer_ID],V$1,Table1[Month],$A17,Table1[Type],"Purchase")</f>
        <v>3</v>
      </c>
      <c r="W17" s="18">
        <f>COUNTIFS(Table1[Customer_ID],W$1,Table1[Month],$A17,Table1[Type],"Purchase")</f>
        <v>0</v>
      </c>
      <c r="X17" s="18">
        <f>COUNTIFS(Table1[Customer_ID],X$1,Table1[Month],$A17,Table1[Type],"Purchase")</f>
        <v>4</v>
      </c>
      <c r="Y17" s="18">
        <f>COUNTIFS(Table1[Customer_ID],Y$1,Table1[Month],$A17,Table1[Type],"Purchase")</f>
        <v>0</v>
      </c>
      <c r="Z17" s="18">
        <f>COUNTIFS(Table1[Customer_ID],Z$1,Table1[Month],$A17,Table1[Type],"Purchase")</f>
        <v>7</v>
      </c>
      <c r="AA17" s="18">
        <f>COUNTIFS(Table1[Customer_ID],AA$1,Table1[Month],$A17,Table1[Type],"Purchase")</f>
        <v>10</v>
      </c>
      <c r="AB17" s="18">
        <f>COUNTIFS(Table1[Customer_ID],AB$1,Table1[Month],$A17,Table1[Type],"Purchase")</f>
        <v>7</v>
      </c>
      <c r="AC17" s="18">
        <f>COUNTIFS(Table1[Customer_ID],AC$1,Table1[Month],$A17,Table1[Type],"Purchase")</f>
        <v>0</v>
      </c>
      <c r="AD17" s="18">
        <f>COUNTIFS(Table1[Customer_ID],AD$1,Table1[Month],$A17,Table1[Type],"Purchase")</f>
        <v>0</v>
      </c>
      <c r="AE17" s="20">
        <f t="shared" si="0"/>
        <v>162</v>
      </c>
    </row>
    <row r="18" spans="1:31">
      <c r="A18" s="27" t="s">
        <v>710</v>
      </c>
      <c r="B18" s="18">
        <f>COUNTIFS(Table1[Customer_ID],B$1,Table1[Month],$A18,Table1[Type],"Purchase")</f>
        <v>0</v>
      </c>
      <c r="C18" s="18">
        <f>COUNTIFS(Table1[Customer_ID],C$1,Table1[Month],$A18,Table1[Type],"Purchase")</f>
        <v>0</v>
      </c>
      <c r="D18" s="18">
        <f>COUNTIFS(Table1[Customer_ID],D$1,Table1[Month],$A18,Table1[Type],"Purchase")</f>
        <v>0</v>
      </c>
      <c r="E18" s="18">
        <f>COUNTIFS(Table1[Customer_ID],E$1,Table1[Month],$A18,Table1[Type],"Purchase")</f>
        <v>9</v>
      </c>
      <c r="F18" s="18">
        <f>COUNTIFS(Table1[Customer_ID],F$1,Table1[Month],$A18,Table1[Type],"Purchase")</f>
        <v>33</v>
      </c>
      <c r="G18" s="18">
        <f>COUNTIFS(Table1[Customer_ID],G$1,Table1[Month],$A18,Table1[Type],"Purchase")</f>
        <v>31</v>
      </c>
      <c r="H18" s="18">
        <f>COUNTIFS(Table1[Customer_ID],H$1,Table1[Month],$A18,Table1[Type],"Purchase")</f>
        <v>0</v>
      </c>
      <c r="I18" s="18">
        <f>COUNTIFS(Table1[Customer_ID],I$1,Table1[Month],$A18,Table1[Type],"Purchase")</f>
        <v>0</v>
      </c>
      <c r="J18" s="18">
        <f>COUNTIFS(Table1[Customer_ID],J$1,Table1[Month],$A18,Table1[Type],"Purchase")</f>
        <v>0</v>
      </c>
      <c r="K18" s="18">
        <f>COUNTIFS(Table1[Customer_ID],K$1,Table1[Month],$A18,Table1[Type],"Purchase")</f>
        <v>4</v>
      </c>
      <c r="L18" s="18">
        <f>COUNTIFS(Table1[Customer_ID],L$1,Table1[Month],$A18,Table1[Type],"Purchase")</f>
        <v>13</v>
      </c>
      <c r="M18" s="18">
        <f>COUNTIFS(Table1[Customer_ID],M$1,Table1[Month],$A18,Table1[Type],"Purchase")</f>
        <v>0</v>
      </c>
      <c r="N18" s="18">
        <f>COUNTIFS(Table1[Customer_ID],N$1,Table1[Month],$A18,Table1[Type],"Purchase")</f>
        <v>0</v>
      </c>
      <c r="O18" s="18">
        <f>COUNTIFS(Table1[Customer_ID],O$1,Table1[Month],$A18,Table1[Type],"Purchase")</f>
        <v>0</v>
      </c>
      <c r="P18" s="18">
        <f>COUNTIFS(Table1[Customer_ID],P$1,Table1[Month],$A18,Table1[Type],"Purchase")</f>
        <v>0</v>
      </c>
      <c r="Q18" s="18">
        <f>COUNTIFS(Table1[Customer_ID],Q$1,Table1[Month],$A18,Table1[Type],"Purchase")</f>
        <v>0</v>
      </c>
      <c r="R18" s="18">
        <f>COUNTIFS(Table1[Customer_ID],R$1,Table1[Month],$A18,Table1[Type],"Purchase")</f>
        <v>0</v>
      </c>
      <c r="S18" s="18">
        <f>COUNTIFS(Table1[Customer_ID],S$1,Table1[Month],$A18,Table1[Type],"Purchase")</f>
        <v>4</v>
      </c>
      <c r="T18" s="18">
        <f>COUNTIFS(Table1[Customer_ID],T$1,Table1[Month],$A18,Table1[Type],"Purchase")</f>
        <v>10</v>
      </c>
      <c r="U18" s="18">
        <f>COUNTIFS(Table1[Customer_ID],U$1,Table1[Month],$A18,Table1[Type],"Purchase")</f>
        <v>0</v>
      </c>
      <c r="V18" s="18">
        <f>COUNTIFS(Table1[Customer_ID],V$1,Table1[Month],$A18,Table1[Type],"Purchase")</f>
        <v>0</v>
      </c>
      <c r="W18" s="18">
        <f>COUNTIFS(Table1[Customer_ID],W$1,Table1[Month],$A18,Table1[Type],"Purchase")</f>
        <v>0</v>
      </c>
      <c r="X18" s="18">
        <f>COUNTIFS(Table1[Customer_ID],X$1,Table1[Month],$A18,Table1[Type],"Purchase")</f>
        <v>3</v>
      </c>
      <c r="Y18" s="18">
        <f>COUNTIFS(Table1[Customer_ID],Y$1,Table1[Month],$A18,Table1[Type],"Purchase")</f>
        <v>0</v>
      </c>
      <c r="Z18" s="18">
        <f>COUNTIFS(Table1[Customer_ID],Z$1,Table1[Month],$A18,Table1[Type],"Purchase")</f>
        <v>7</v>
      </c>
      <c r="AA18" s="18">
        <f>COUNTIFS(Table1[Customer_ID],AA$1,Table1[Month],$A18,Table1[Type],"Purchase")</f>
        <v>6</v>
      </c>
      <c r="AB18" s="18">
        <f>COUNTIFS(Table1[Customer_ID],AB$1,Table1[Month],$A18,Table1[Type],"Purchase")</f>
        <v>0</v>
      </c>
      <c r="AC18" s="18">
        <f>COUNTIFS(Table1[Customer_ID],AC$1,Table1[Month],$A18,Table1[Type],"Purchase")</f>
        <v>0</v>
      </c>
      <c r="AD18" s="18">
        <f>COUNTIFS(Table1[Customer_ID],AD$1,Table1[Month],$A18,Table1[Type],"Purchase")</f>
        <v>0</v>
      </c>
      <c r="AE18" s="20">
        <f t="shared" si="0"/>
        <v>120</v>
      </c>
    </row>
    <row r="19" spans="1:31">
      <c r="A19" s="27" t="s">
        <v>711</v>
      </c>
      <c r="B19" s="18">
        <f>COUNTIFS(Table1[Customer_ID],B$1,Table1[Month],$A19,Table1[Type],"Purchase")</f>
        <v>0</v>
      </c>
      <c r="C19" s="18">
        <f>COUNTIFS(Table1[Customer_ID],C$1,Table1[Month],$A19,Table1[Type],"Purchase")</f>
        <v>0</v>
      </c>
      <c r="D19" s="18">
        <f>COUNTIFS(Table1[Customer_ID],D$1,Table1[Month],$A19,Table1[Type],"Purchase")</f>
        <v>0</v>
      </c>
      <c r="E19" s="18">
        <f>COUNTIFS(Table1[Customer_ID],E$1,Table1[Month],$A19,Table1[Type],"Purchase")</f>
        <v>0</v>
      </c>
      <c r="F19" s="18">
        <f>COUNTIFS(Table1[Customer_ID],F$1,Table1[Month],$A19,Table1[Type],"Purchase")</f>
        <v>15</v>
      </c>
      <c r="G19" s="18">
        <f>COUNTIFS(Table1[Customer_ID],G$1,Table1[Month],$A19,Table1[Type],"Purchase")</f>
        <v>32</v>
      </c>
      <c r="H19" s="18">
        <f>COUNTIFS(Table1[Customer_ID],H$1,Table1[Month],$A19,Table1[Type],"Purchase")</f>
        <v>0</v>
      </c>
      <c r="I19" s="18">
        <f>COUNTIFS(Table1[Customer_ID],I$1,Table1[Month],$A19,Table1[Type],"Purchase")</f>
        <v>0</v>
      </c>
      <c r="J19" s="18">
        <f>COUNTIFS(Table1[Customer_ID],J$1,Table1[Month],$A19,Table1[Type],"Purchase")</f>
        <v>0</v>
      </c>
      <c r="K19" s="18">
        <f>COUNTIFS(Table1[Customer_ID],K$1,Table1[Month],$A19,Table1[Type],"Purchase")</f>
        <v>8</v>
      </c>
      <c r="L19" s="18">
        <f>COUNTIFS(Table1[Customer_ID],L$1,Table1[Month],$A19,Table1[Type],"Purchase")</f>
        <v>9</v>
      </c>
      <c r="M19" s="18">
        <f>COUNTIFS(Table1[Customer_ID],M$1,Table1[Month],$A19,Table1[Type],"Purchase")</f>
        <v>0</v>
      </c>
      <c r="N19" s="18">
        <f>COUNTIFS(Table1[Customer_ID],N$1,Table1[Month],$A19,Table1[Type],"Purchase")</f>
        <v>0</v>
      </c>
      <c r="O19" s="18">
        <f>COUNTIFS(Table1[Customer_ID],O$1,Table1[Month],$A19,Table1[Type],"Purchase")</f>
        <v>0</v>
      </c>
      <c r="P19" s="18">
        <f>COUNTIFS(Table1[Customer_ID],P$1,Table1[Month],$A19,Table1[Type],"Purchase")</f>
        <v>0</v>
      </c>
      <c r="Q19" s="18">
        <f>COUNTIFS(Table1[Customer_ID],Q$1,Table1[Month],$A19,Table1[Type],"Purchase")</f>
        <v>0</v>
      </c>
      <c r="R19" s="18">
        <f>COUNTIFS(Table1[Customer_ID],R$1,Table1[Month],$A19,Table1[Type],"Purchase")</f>
        <v>0</v>
      </c>
      <c r="S19" s="18">
        <f>COUNTIFS(Table1[Customer_ID],S$1,Table1[Month],$A19,Table1[Type],"Purchase")</f>
        <v>3</v>
      </c>
      <c r="T19" s="18">
        <f>COUNTIFS(Table1[Customer_ID],T$1,Table1[Month],$A19,Table1[Type],"Purchase")</f>
        <v>4</v>
      </c>
      <c r="U19" s="18">
        <f>COUNTIFS(Table1[Customer_ID],U$1,Table1[Month],$A19,Table1[Type],"Purchase")</f>
        <v>0</v>
      </c>
      <c r="V19" s="18">
        <f>COUNTIFS(Table1[Customer_ID],V$1,Table1[Month],$A19,Table1[Type],"Purchase")</f>
        <v>0</v>
      </c>
      <c r="W19" s="18">
        <f>COUNTIFS(Table1[Customer_ID],W$1,Table1[Month],$A19,Table1[Type],"Purchase")</f>
        <v>0</v>
      </c>
      <c r="X19" s="18">
        <f>COUNTIFS(Table1[Customer_ID],X$1,Table1[Month],$A19,Table1[Type],"Purchase")</f>
        <v>2</v>
      </c>
      <c r="Y19" s="18">
        <f>COUNTIFS(Table1[Customer_ID],Y$1,Table1[Month],$A19,Table1[Type],"Purchase")</f>
        <v>0</v>
      </c>
      <c r="Z19" s="18">
        <f>COUNTIFS(Table1[Customer_ID],Z$1,Table1[Month],$A19,Table1[Type],"Purchase")</f>
        <v>1</v>
      </c>
      <c r="AA19" s="18">
        <f>COUNTIFS(Table1[Customer_ID],AA$1,Table1[Month],$A19,Table1[Type],"Purchase")</f>
        <v>7</v>
      </c>
      <c r="AB19" s="18">
        <f>COUNTIFS(Table1[Customer_ID],AB$1,Table1[Month],$A19,Table1[Type],"Purchase")</f>
        <v>0</v>
      </c>
      <c r="AC19" s="18">
        <f>COUNTIFS(Table1[Customer_ID],AC$1,Table1[Month],$A19,Table1[Type],"Purchase")</f>
        <v>0</v>
      </c>
      <c r="AD19" s="18">
        <f>COUNTIFS(Table1[Customer_ID],AD$1,Table1[Month],$A19,Table1[Type],"Purchase")</f>
        <v>0</v>
      </c>
      <c r="AE19" s="20">
        <f t="shared" si="0"/>
        <v>81</v>
      </c>
    </row>
    <row r="20" spans="1:31">
      <c r="A20" s="27" t="s">
        <v>712</v>
      </c>
      <c r="B20" s="18">
        <f>COUNTIFS(Table1[Customer_ID],B$1,Table1[Month],$A20,Table1[Type],"Purchase")</f>
        <v>0</v>
      </c>
      <c r="C20" s="18">
        <f>COUNTIFS(Table1[Customer_ID],C$1,Table1[Month],$A20,Table1[Type],"Purchase")</f>
        <v>0</v>
      </c>
      <c r="D20" s="18">
        <f>COUNTIFS(Table1[Customer_ID],D$1,Table1[Month],$A20,Table1[Type],"Purchase")</f>
        <v>0</v>
      </c>
      <c r="E20" s="18">
        <f>COUNTIFS(Table1[Customer_ID],E$1,Table1[Month],$A20,Table1[Type],"Purchase")</f>
        <v>0</v>
      </c>
      <c r="F20" s="18">
        <f>COUNTIFS(Table1[Customer_ID],F$1,Table1[Month],$A20,Table1[Type],"Purchase")</f>
        <v>0</v>
      </c>
      <c r="G20" s="18">
        <f>COUNTIFS(Table1[Customer_ID],G$1,Table1[Month],$A20,Table1[Type],"Purchase")</f>
        <v>2</v>
      </c>
      <c r="H20" s="18">
        <f>COUNTIFS(Table1[Customer_ID],H$1,Table1[Month],$A20,Table1[Type],"Purchase")</f>
        <v>0</v>
      </c>
      <c r="I20" s="18">
        <f>COUNTIFS(Table1[Customer_ID],I$1,Table1[Month],$A20,Table1[Type],"Purchase")</f>
        <v>0</v>
      </c>
      <c r="J20" s="18">
        <f>COUNTIFS(Table1[Customer_ID],J$1,Table1[Month],$A20,Table1[Type],"Purchase")</f>
        <v>0</v>
      </c>
      <c r="K20" s="18">
        <f>COUNTIFS(Table1[Customer_ID],K$1,Table1[Month],$A20,Table1[Type],"Purchase")</f>
        <v>6</v>
      </c>
      <c r="L20" s="18">
        <f>COUNTIFS(Table1[Customer_ID],L$1,Table1[Month],$A20,Table1[Type],"Purchase")</f>
        <v>0</v>
      </c>
      <c r="M20" s="18">
        <f>COUNTIFS(Table1[Customer_ID],M$1,Table1[Month],$A20,Table1[Type],"Purchase")</f>
        <v>0</v>
      </c>
      <c r="N20" s="18">
        <f>COUNTIFS(Table1[Customer_ID],N$1,Table1[Month],$A20,Table1[Type],"Purchase")</f>
        <v>0</v>
      </c>
      <c r="O20" s="18">
        <f>COUNTIFS(Table1[Customer_ID],O$1,Table1[Month],$A20,Table1[Type],"Purchase")</f>
        <v>0</v>
      </c>
      <c r="P20" s="18">
        <f>COUNTIFS(Table1[Customer_ID],P$1,Table1[Month],$A20,Table1[Type],"Purchase")</f>
        <v>0</v>
      </c>
      <c r="Q20" s="18">
        <f>COUNTIFS(Table1[Customer_ID],Q$1,Table1[Month],$A20,Table1[Type],"Purchase")</f>
        <v>0</v>
      </c>
      <c r="R20" s="18">
        <f>COUNTIFS(Table1[Customer_ID],R$1,Table1[Month],$A20,Table1[Type],"Purchase")</f>
        <v>0</v>
      </c>
      <c r="S20" s="18">
        <f>COUNTIFS(Table1[Customer_ID],S$1,Table1[Month],$A20,Table1[Type],"Purchase")</f>
        <v>4</v>
      </c>
      <c r="T20" s="18">
        <f>COUNTIFS(Table1[Customer_ID],T$1,Table1[Month],$A20,Table1[Type],"Purchase")</f>
        <v>6</v>
      </c>
      <c r="U20" s="18">
        <f>COUNTIFS(Table1[Customer_ID],U$1,Table1[Month],$A20,Table1[Type],"Purchase")</f>
        <v>0</v>
      </c>
      <c r="V20" s="18">
        <f>COUNTIFS(Table1[Customer_ID],V$1,Table1[Month],$A20,Table1[Type],"Purchase")</f>
        <v>0</v>
      </c>
      <c r="W20" s="18">
        <f>COUNTIFS(Table1[Customer_ID],W$1,Table1[Month],$A20,Table1[Type],"Purchase")</f>
        <v>0</v>
      </c>
      <c r="X20" s="18">
        <f>COUNTIFS(Table1[Customer_ID],X$1,Table1[Month],$A20,Table1[Type],"Purchase")</f>
        <v>2</v>
      </c>
      <c r="Y20" s="18">
        <f>COUNTIFS(Table1[Customer_ID],Y$1,Table1[Month],$A20,Table1[Type],"Purchase")</f>
        <v>0</v>
      </c>
      <c r="Z20" s="18">
        <f>COUNTIFS(Table1[Customer_ID],Z$1,Table1[Month],$A20,Table1[Type],"Purchase")</f>
        <v>0</v>
      </c>
      <c r="AA20" s="18">
        <f>COUNTIFS(Table1[Customer_ID],AA$1,Table1[Month],$A20,Table1[Type],"Purchase")</f>
        <v>6</v>
      </c>
      <c r="AB20" s="18">
        <f>COUNTIFS(Table1[Customer_ID],AB$1,Table1[Month],$A20,Table1[Type],"Purchase")</f>
        <v>0</v>
      </c>
      <c r="AC20" s="18">
        <f>COUNTIFS(Table1[Customer_ID],AC$1,Table1[Month],$A20,Table1[Type],"Purchase")</f>
        <v>0</v>
      </c>
      <c r="AD20" s="18">
        <f>COUNTIFS(Table1[Customer_ID],AD$1,Table1[Month],$A20,Table1[Type],"Purchase")</f>
        <v>0</v>
      </c>
      <c r="AE20" s="20">
        <f t="shared" si="0"/>
        <v>26</v>
      </c>
    </row>
    <row r="21" spans="1:31">
      <c r="A21" s="27" t="s">
        <v>713</v>
      </c>
      <c r="B21" s="18">
        <f>COUNTIFS(Table1[Customer_ID],B$1,Table1[Month],$A21,Table1[Type],"Purchase")</f>
        <v>0</v>
      </c>
      <c r="C21" s="18">
        <f>COUNTIFS(Table1[Customer_ID],C$1,Table1[Month],$A21,Table1[Type],"Purchase")</f>
        <v>0</v>
      </c>
      <c r="D21" s="18">
        <f>COUNTIFS(Table1[Customer_ID],D$1,Table1[Month],$A21,Table1[Type],"Purchase")</f>
        <v>0</v>
      </c>
      <c r="E21" s="18">
        <f>COUNTIFS(Table1[Customer_ID],E$1,Table1[Month],$A21,Table1[Type],"Purchase")</f>
        <v>0</v>
      </c>
      <c r="F21" s="18">
        <f>COUNTIFS(Table1[Customer_ID],F$1,Table1[Month],$A21,Table1[Type],"Purchase")</f>
        <v>0</v>
      </c>
      <c r="G21" s="18">
        <f>COUNTIFS(Table1[Customer_ID],G$1,Table1[Month],$A21,Table1[Type],"Purchase")</f>
        <v>0</v>
      </c>
      <c r="H21" s="18">
        <f>COUNTIFS(Table1[Customer_ID],H$1,Table1[Month],$A21,Table1[Type],"Purchase")</f>
        <v>0</v>
      </c>
      <c r="I21" s="18">
        <f>COUNTIFS(Table1[Customer_ID],I$1,Table1[Month],$A21,Table1[Type],"Purchase")</f>
        <v>0</v>
      </c>
      <c r="J21" s="18">
        <f>COUNTIFS(Table1[Customer_ID],J$1,Table1[Month],$A21,Table1[Type],"Purchase")</f>
        <v>0</v>
      </c>
      <c r="K21" s="18">
        <f>COUNTIFS(Table1[Customer_ID],K$1,Table1[Month],$A21,Table1[Type],"Purchase")</f>
        <v>2</v>
      </c>
      <c r="L21" s="18">
        <f>COUNTIFS(Table1[Customer_ID],L$1,Table1[Month],$A21,Table1[Type],"Purchase")</f>
        <v>0</v>
      </c>
      <c r="M21" s="18">
        <f>COUNTIFS(Table1[Customer_ID],M$1,Table1[Month],$A21,Table1[Type],"Purchase")</f>
        <v>0</v>
      </c>
      <c r="N21" s="18">
        <f>COUNTIFS(Table1[Customer_ID],N$1,Table1[Month],$A21,Table1[Type],"Purchase")</f>
        <v>0</v>
      </c>
      <c r="O21" s="18">
        <f>COUNTIFS(Table1[Customer_ID],O$1,Table1[Month],$A21,Table1[Type],"Purchase")</f>
        <v>0</v>
      </c>
      <c r="P21" s="18">
        <f>COUNTIFS(Table1[Customer_ID],P$1,Table1[Month],$A21,Table1[Type],"Purchase")</f>
        <v>0</v>
      </c>
      <c r="Q21" s="18">
        <f>COUNTIFS(Table1[Customer_ID],Q$1,Table1[Month],$A21,Table1[Type],"Purchase")</f>
        <v>0</v>
      </c>
      <c r="R21" s="18">
        <f>COUNTIFS(Table1[Customer_ID],R$1,Table1[Month],$A21,Table1[Type],"Purchase")</f>
        <v>0</v>
      </c>
      <c r="S21" s="18">
        <f>COUNTIFS(Table1[Customer_ID],S$1,Table1[Month],$A21,Table1[Type],"Purchase")</f>
        <v>0</v>
      </c>
      <c r="T21" s="18">
        <f>COUNTIFS(Table1[Customer_ID],T$1,Table1[Month],$A21,Table1[Type],"Purchase")</f>
        <v>3</v>
      </c>
      <c r="U21" s="18">
        <f>COUNTIFS(Table1[Customer_ID],U$1,Table1[Month],$A21,Table1[Type],"Purchase")</f>
        <v>0</v>
      </c>
      <c r="V21" s="18">
        <f>COUNTIFS(Table1[Customer_ID],V$1,Table1[Month],$A21,Table1[Type],"Purchase")</f>
        <v>0</v>
      </c>
      <c r="W21" s="18">
        <f>COUNTIFS(Table1[Customer_ID],W$1,Table1[Month],$A21,Table1[Type],"Purchase")</f>
        <v>0</v>
      </c>
      <c r="X21" s="18">
        <f>COUNTIFS(Table1[Customer_ID],X$1,Table1[Month],$A21,Table1[Type],"Purchase")</f>
        <v>0</v>
      </c>
      <c r="Y21" s="18">
        <f>COUNTIFS(Table1[Customer_ID],Y$1,Table1[Month],$A21,Table1[Type],"Purchase")</f>
        <v>0</v>
      </c>
      <c r="Z21" s="18">
        <f>COUNTIFS(Table1[Customer_ID],Z$1,Table1[Month],$A21,Table1[Type],"Purchase")</f>
        <v>0</v>
      </c>
      <c r="AA21" s="18">
        <f>COUNTIFS(Table1[Customer_ID],AA$1,Table1[Month],$A21,Table1[Type],"Purchase")</f>
        <v>1</v>
      </c>
      <c r="AB21" s="18">
        <f>COUNTIFS(Table1[Customer_ID],AB$1,Table1[Month],$A21,Table1[Type],"Purchase")</f>
        <v>0</v>
      </c>
      <c r="AC21" s="18">
        <f>COUNTIFS(Table1[Customer_ID],AC$1,Table1[Month],$A21,Table1[Type],"Purchase")</f>
        <v>0</v>
      </c>
      <c r="AD21" s="18">
        <f>COUNTIFS(Table1[Customer_ID],AD$1,Table1[Month],$A21,Table1[Type],"Purchase")</f>
        <v>0</v>
      </c>
      <c r="AE21" s="20">
        <f t="shared" si="0"/>
        <v>6</v>
      </c>
    </row>
    <row r="22" spans="1:31">
      <c r="A22" s="27" t="s">
        <v>714</v>
      </c>
      <c r="B22" s="18">
        <f>COUNTIFS(Table1[Customer_ID],B$1,Table1[Month],$A22,Table1[Type],"Purchase")</f>
        <v>0</v>
      </c>
      <c r="C22" s="18">
        <f>COUNTIFS(Table1[Customer_ID],C$1,Table1[Month],$A22,Table1[Type],"Purchase")</f>
        <v>0</v>
      </c>
      <c r="D22" s="18">
        <f>COUNTIFS(Table1[Customer_ID],D$1,Table1[Month],$A22,Table1[Type],"Purchase")</f>
        <v>0</v>
      </c>
      <c r="E22" s="18">
        <f>COUNTIFS(Table1[Customer_ID],E$1,Table1[Month],$A22,Table1[Type],"Purchase")</f>
        <v>0</v>
      </c>
      <c r="F22" s="18">
        <f>COUNTIFS(Table1[Customer_ID],F$1,Table1[Month],$A22,Table1[Type],"Purchase")</f>
        <v>0</v>
      </c>
      <c r="G22" s="18">
        <f>COUNTIFS(Table1[Customer_ID],G$1,Table1[Month],$A22,Table1[Type],"Purchase")</f>
        <v>0</v>
      </c>
      <c r="H22" s="18">
        <f>COUNTIFS(Table1[Customer_ID],H$1,Table1[Month],$A22,Table1[Type],"Purchase")</f>
        <v>0</v>
      </c>
      <c r="I22" s="18">
        <f>COUNTIFS(Table1[Customer_ID],I$1,Table1[Month],$A22,Table1[Type],"Purchase")</f>
        <v>0</v>
      </c>
      <c r="J22" s="18">
        <f>COUNTIFS(Table1[Customer_ID],J$1,Table1[Month],$A22,Table1[Type],"Purchase")</f>
        <v>0</v>
      </c>
      <c r="K22" s="18">
        <f>COUNTIFS(Table1[Customer_ID],K$1,Table1[Month],$A22,Table1[Type],"Purchase")</f>
        <v>0</v>
      </c>
      <c r="L22" s="18">
        <f>COUNTIFS(Table1[Customer_ID],L$1,Table1[Month],$A22,Table1[Type],"Purchase")</f>
        <v>0</v>
      </c>
      <c r="M22" s="18">
        <f>COUNTIFS(Table1[Customer_ID],M$1,Table1[Month],$A22,Table1[Type],"Purchase")</f>
        <v>0</v>
      </c>
      <c r="N22" s="18">
        <f>COUNTIFS(Table1[Customer_ID],N$1,Table1[Month],$A22,Table1[Type],"Purchase")</f>
        <v>0</v>
      </c>
      <c r="O22" s="18">
        <f>COUNTIFS(Table1[Customer_ID],O$1,Table1[Month],$A22,Table1[Type],"Purchase")</f>
        <v>0</v>
      </c>
      <c r="P22" s="18">
        <f>COUNTIFS(Table1[Customer_ID],P$1,Table1[Month],$A22,Table1[Type],"Purchase")</f>
        <v>0</v>
      </c>
      <c r="Q22" s="18">
        <f>COUNTIFS(Table1[Customer_ID],Q$1,Table1[Month],$A22,Table1[Type],"Purchase")</f>
        <v>0</v>
      </c>
      <c r="R22" s="18">
        <f>COUNTIFS(Table1[Customer_ID],R$1,Table1[Month],$A22,Table1[Type],"Purchase")</f>
        <v>0</v>
      </c>
      <c r="S22" s="18">
        <f>COUNTIFS(Table1[Customer_ID],S$1,Table1[Month],$A22,Table1[Type],"Purchase")</f>
        <v>0</v>
      </c>
      <c r="T22" s="18">
        <f>COUNTIFS(Table1[Customer_ID],T$1,Table1[Month],$A22,Table1[Type],"Purchase")</f>
        <v>0</v>
      </c>
      <c r="U22" s="18">
        <f>COUNTIFS(Table1[Customer_ID],U$1,Table1[Month],$A22,Table1[Type],"Purchase")</f>
        <v>0</v>
      </c>
      <c r="V22" s="18">
        <f>COUNTIFS(Table1[Customer_ID],V$1,Table1[Month],$A22,Table1[Type],"Purchase")</f>
        <v>0</v>
      </c>
      <c r="W22" s="18">
        <f>COUNTIFS(Table1[Customer_ID],W$1,Table1[Month],$A22,Table1[Type],"Purchase")</f>
        <v>0</v>
      </c>
      <c r="X22" s="18">
        <f>COUNTIFS(Table1[Customer_ID],X$1,Table1[Month],$A22,Table1[Type],"Purchase")</f>
        <v>0</v>
      </c>
      <c r="Y22" s="18">
        <f>COUNTIFS(Table1[Customer_ID],Y$1,Table1[Month],$A22,Table1[Type],"Purchase")</f>
        <v>0</v>
      </c>
      <c r="Z22" s="18">
        <f>COUNTIFS(Table1[Customer_ID],Z$1,Table1[Month],$A22,Table1[Type],"Purchase")</f>
        <v>0</v>
      </c>
      <c r="AA22" s="18">
        <f>COUNTIFS(Table1[Customer_ID],AA$1,Table1[Month],$A22,Table1[Type],"Purchase")</f>
        <v>0</v>
      </c>
      <c r="AB22" s="18">
        <f>COUNTIFS(Table1[Customer_ID],AB$1,Table1[Month],$A22,Table1[Type],"Purchase")</f>
        <v>0</v>
      </c>
      <c r="AC22" s="18">
        <f>COUNTIFS(Table1[Customer_ID],AC$1,Table1[Month],$A22,Table1[Type],"Purchase")</f>
        <v>0</v>
      </c>
      <c r="AD22" s="18">
        <f>COUNTIFS(Table1[Customer_ID],AD$1,Table1[Month],$A22,Table1[Type],"Purchase")</f>
        <v>0</v>
      </c>
      <c r="AE22" s="20">
        <f t="shared" si="0"/>
        <v>0</v>
      </c>
    </row>
    <row r="23" spans="1:31">
      <c r="A23" s="27" t="s">
        <v>715</v>
      </c>
      <c r="B23" s="18">
        <f>COUNTIFS(Table1[Customer_ID],B$1,Table1[Month],$A23,Table1[Type],"Purchase")</f>
        <v>0</v>
      </c>
      <c r="C23" s="18">
        <f>COUNTIFS(Table1[Customer_ID],C$1,Table1[Month],$A23,Table1[Type],"Purchase")</f>
        <v>0</v>
      </c>
      <c r="D23" s="18">
        <f>COUNTIFS(Table1[Customer_ID],D$1,Table1[Month],$A23,Table1[Type],"Purchase")</f>
        <v>0</v>
      </c>
      <c r="E23" s="18">
        <f>COUNTIFS(Table1[Customer_ID],E$1,Table1[Month],$A23,Table1[Type],"Purchase")</f>
        <v>0</v>
      </c>
      <c r="F23" s="18">
        <f>COUNTIFS(Table1[Customer_ID],F$1,Table1[Month],$A23,Table1[Type],"Purchase")</f>
        <v>0</v>
      </c>
      <c r="G23" s="18">
        <f>COUNTIFS(Table1[Customer_ID],G$1,Table1[Month],$A23,Table1[Type],"Purchase")</f>
        <v>0</v>
      </c>
      <c r="H23" s="18">
        <f>COUNTIFS(Table1[Customer_ID],H$1,Table1[Month],$A23,Table1[Type],"Purchase")</f>
        <v>0</v>
      </c>
      <c r="I23" s="18">
        <f>COUNTIFS(Table1[Customer_ID],I$1,Table1[Month],$A23,Table1[Type],"Purchase")</f>
        <v>0</v>
      </c>
      <c r="J23" s="18">
        <f>COUNTIFS(Table1[Customer_ID],J$1,Table1[Month],$A23,Table1[Type],"Purchase")</f>
        <v>0</v>
      </c>
      <c r="K23" s="18">
        <f>COUNTIFS(Table1[Customer_ID],K$1,Table1[Month],$A23,Table1[Type],"Purchase")</f>
        <v>0</v>
      </c>
      <c r="L23" s="18">
        <f>COUNTIFS(Table1[Customer_ID],L$1,Table1[Month],$A23,Table1[Type],"Purchase")</f>
        <v>0</v>
      </c>
      <c r="M23" s="18">
        <f>COUNTIFS(Table1[Customer_ID],M$1,Table1[Month],$A23,Table1[Type],"Purchase")</f>
        <v>0</v>
      </c>
      <c r="N23" s="18">
        <f>COUNTIFS(Table1[Customer_ID],N$1,Table1[Month],$A23,Table1[Type],"Purchase")</f>
        <v>0</v>
      </c>
      <c r="O23" s="18">
        <f>COUNTIFS(Table1[Customer_ID],O$1,Table1[Month],$A23,Table1[Type],"Purchase")</f>
        <v>0</v>
      </c>
      <c r="P23" s="18">
        <f>COUNTIFS(Table1[Customer_ID],P$1,Table1[Month],$A23,Table1[Type],"Purchase")</f>
        <v>0</v>
      </c>
      <c r="Q23" s="18">
        <f>COUNTIFS(Table1[Customer_ID],Q$1,Table1[Month],$A23,Table1[Type],"Purchase")</f>
        <v>0</v>
      </c>
      <c r="R23" s="18">
        <f>COUNTIFS(Table1[Customer_ID],R$1,Table1[Month],$A23,Table1[Type],"Purchase")</f>
        <v>0</v>
      </c>
      <c r="S23" s="18">
        <f>COUNTIFS(Table1[Customer_ID],S$1,Table1[Month],$A23,Table1[Type],"Purchase")</f>
        <v>0</v>
      </c>
      <c r="T23" s="18">
        <f>COUNTIFS(Table1[Customer_ID],T$1,Table1[Month],$A23,Table1[Type],"Purchase")</f>
        <v>0</v>
      </c>
      <c r="U23" s="18">
        <f>COUNTIFS(Table1[Customer_ID],U$1,Table1[Month],$A23,Table1[Type],"Purchase")</f>
        <v>0</v>
      </c>
      <c r="V23" s="18">
        <f>COUNTIFS(Table1[Customer_ID],V$1,Table1[Month],$A23,Table1[Type],"Purchase")</f>
        <v>0</v>
      </c>
      <c r="W23" s="18">
        <f>COUNTIFS(Table1[Customer_ID],W$1,Table1[Month],$A23,Table1[Type],"Purchase")</f>
        <v>0</v>
      </c>
      <c r="X23" s="18">
        <f>COUNTIFS(Table1[Customer_ID],X$1,Table1[Month],$A23,Table1[Type],"Purchase")</f>
        <v>0</v>
      </c>
      <c r="Y23" s="18">
        <f>COUNTIFS(Table1[Customer_ID],Y$1,Table1[Month],$A23,Table1[Type],"Purchase")</f>
        <v>0</v>
      </c>
      <c r="Z23" s="18">
        <f>COUNTIFS(Table1[Customer_ID],Z$1,Table1[Month],$A23,Table1[Type],"Purchase")</f>
        <v>0</v>
      </c>
      <c r="AA23" s="18">
        <f>COUNTIFS(Table1[Customer_ID],AA$1,Table1[Month],$A23,Table1[Type],"Purchase")</f>
        <v>0</v>
      </c>
      <c r="AB23" s="18">
        <f>COUNTIFS(Table1[Customer_ID],AB$1,Table1[Month],$A23,Table1[Type],"Purchase")</f>
        <v>0</v>
      </c>
      <c r="AC23" s="18">
        <f>COUNTIFS(Table1[Customer_ID],AC$1,Table1[Month],$A23,Table1[Type],"Purchase")</f>
        <v>0</v>
      </c>
      <c r="AD23" s="18">
        <f>COUNTIFS(Table1[Customer_ID],AD$1,Table1[Month],$A23,Table1[Type],"Purchase")</f>
        <v>0</v>
      </c>
      <c r="AE23" s="20">
        <f t="shared" si="0"/>
        <v>0</v>
      </c>
    </row>
    <row r="24" spans="1:31">
      <c r="A24" s="27" t="s">
        <v>716</v>
      </c>
      <c r="B24" s="18">
        <f>COUNTIFS(Table1[Customer_ID],B$1,Table1[Month],$A24,Table1[Type],"Purchase")</f>
        <v>0</v>
      </c>
      <c r="C24" s="18">
        <f>COUNTIFS(Table1[Customer_ID],C$1,Table1[Month],$A24,Table1[Type],"Purchase")</f>
        <v>0</v>
      </c>
      <c r="D24" s="18">
        <f>COUNTIFS(Table1[Customer_ID],D$1,Table1[Month],$A24,Table1[Type],"Purchase")</f>
        <v>0</v>
      </c>
      <c r="E24" s="18">
        <f>COUNTIFS(Table1[Customer_ID],E$1,Table1[Month],$A24,Table1[Type],"Purchase")</f>
        <v>0</v>
      </c>
      <c r="F24" s="18">
        <f>COUNTIFS(Table1[Customer_ID],F$1,Table1[Month],$A24,Table1[Type],"Purchase")</f>
        <v>0</v>
      </c>
      <c r="G24" s="18">
        <f>COUNTIFS(Table1[Customer_ID],G$1,Table1[Month],$A24,Table1[Type],"Purchase")</f>
        <v>0</v>
      </c>
      <c r="H24" s="18">
        <f>COUNTIFS(Table1[Customer_ID],H$1,Table1[Month],$A24,Table1[Type],"Purchase")</f>
        <v>0</v>
      </c>
      <c r="I24" s="18">
        <f>COUNTIFS(Table1[Customer_ID],I$1,Table1[Month],$A24,Table1[Type],"Purchase")</f>
        <v>0</v>
      </c>
      <c r="J24" s="18">
        <f>COUNTIFS(Table1[Customer_ID],J$1,Table1[Month],$A24,Table1[Type],"Purchase")</f>
        <v>0</v>
      </c>
      <c r="K24" s="18">
        <f>COUNTIFS(Table1[Customer_ID],K$1,Table1[Month],$A24,Table1[Type],"Purchase")</f>
        <v>0</v>
      </c>
      <c r="L24" s="18">
        <f>COUNTIFS(Table1[Customer_ID],L$1,Table1[Month],$A24,Table1[Type],"Purchase")</f>
        <v>0</v>
      </c>
      <c r="M24" s="18">
        <f>COUNTIFS(Table1[Customer_ID],M$1,Table1[Month],$A24,Table1[Type],"Purchase")</f>
        <v>0</v>
      </c>
      <c r="N24" s="18">
        <f>COUNTIFS(Table1[Customer_ID],N$1,Table1[Month],$A24,Table1[Type],"Purchase")</f>
        <v>0</v>
      </c>
      <c r="O24" s="18">
        <f>COUNTIFS(Table1[Customer_ID],O$1,Table1[Month],$A24,Table1[Type],"Purchase")</f>
        <v>0</v>
      </c>
      <c r="P24" s="18">
        <f>COUNTIFS(Table1[Customer_ID],P$1,Table1[Month],$A24,Table1[Type],"Purchase")</f>
        <v>0</v>
      </c>
      <c r="Q24" s="18">
        <f>COUNTIFS(Table1[Customer_ID],Q$1,Table1[Month],$A24,Table1[Type],"Purchase")</f>
        <v>0</v>
      </c>
      <c r="R24" s="18">
        <f>COUNTIFS(Table1[Customer_ID],R$1,Table1[Month],$A24,Table1[Type],"Purchase")</f>
        <v>0</v>
      </c>
      <c r="S24" s="18">
        <f>COUNTIFS(Table1[Customer_ID],S$1,Table1[Month],$A24,Table1[Type],"Purchase")</f>
        <v>0</v>
      </c>
      <c r="T24" s="18">
        <f>COUNTIFS(Table1[Customer_ID],T$1,Table1[Month],$A24,Table1[Type],"Purchase")</f>
        <v>0</v>
      </c>
      <c r="U24" s="18">
        <f>COUNTIFS(Table1[Customer_ID],U$1,Table1[Month],$A24,Table1[Type],"Purchase")</f>
        <v>0</v>
      </c>
      <c r="V24" s="18">
        <f>COUNTIFS(Table1[Customer_ID],V$1,Table1[Month],$A24,Table1[Type],"Purchase")</f>
        <v>0</v>
      </c>
      <c r="W24" s="18">
        <f>COUNTIFS(Table1[Customer_ID],W$1,Table1[Month],$A24,Table1[Type],"Purchase")</f>
        <v>0</v>
      </c>
      <c r="X24" s="18">
        <f>COUNTIFS(Table1[Customer_ID],X$1,Table1[Month],$A24,Table1[Type],"Purchase")</f>
        <v>0</v>
      </c>
      <c r="Y24" s="18">
        <f>COUNTIFS(Table1[Customer_ID],Y$1,Table1[Month],$A24,Table1[Type],"Purchase")</f>
        <v>0</v>
      </c>
      <c r="Z24" s="18">
        <f>COUNTIFS(Table1[Customer_ID],Z$1,Table1[Month],$A24,Table1[Type],"Purchase")</f>
        <v>0</v>
      </c>
      <c r="AA24" s="18">
        <f>COUNTIFS(Table1[Customer_ID],AA$1,Table1[Month],$A24,Table1[Type],"Purchase")</f>
        <v>0</v>
      </c>
      <c r="AB24" s="18">
        <f>COUNTIFS(Table1[Customer_ID],AB$1,Table1[Month],$A24,Table1[Type],"Purchase")</f>
        <v>0</v>
      </c>
      <c r="AC24" s="18">
        <f>COUNTIFS(Table1[Customer_ID],AC$1,Table1[Month],$A24,Table1[Type],"Purchase")</f>
        <v>0</v>
      </c>
      <c r="AD24" s="18">
        <f>COUNTIFS(Table1[Customer_ID],AD$1,Table1[Month],$A24,Table1[Type],"Purchase")</f>
        <v>0</v>
      </c>
      <c r="AE24" s="20">
        <f t="shared" si="0"/>
        <v>0</v>
      </c>
    </row>
    <row r="25" spans="1:31">
      <c r="A25" s="27" t="s">
        <v>717</v>
      </c>
      <c r="B25" s="18">
        <f>COUNTIFS(Table1[Customer_ID],B$1,Table1[Month],$A25,Table1[Type],"Purchase")</f>
        <v>0</v>
      </c>
      <c r="C25" s="18">
        <f>COUNTIFS(Table1[Customer_ID],C$1,Table1[Month],$A25,Table1[Type],"Purchase")</f>
        <v>0</v>
      </c>
      <c r="D25" s="18">
        <f>COUNTIFS(Table1[Customer_ID],D$1,Table1[Month],$A25,Table1[Type],"Purchase")</f>
        <v>0</v>
      </c>
      <c r="E25" s="18">
        <f>COUNTIFS(Table1[Customer_ID],E$1,Table1[Month],$A25,Table1[Type],"Purchase")</f>
        <v>0</v>
      </c>
      <c r="F25" s="18">
        <f>COUNTIFS(Table1[Customer_ID],F$1,Table1[Month],$A25,Table1[Type],"Purchase")</f>
        <v>0</v>
      </c>
      <c r="G25" s="18">
        <f>COUNTIFS(Table1[Customer_ID],G$1,Table1[Month],$A25,Table1[Type],"Purchase")</f>
        <v>0</v>
      </c>
      <c r="H25" s="18">
        <f>COUNTIFS(Table1[Customer_ID],H$1,Table1[Month],$A25,Table1[Type],"Purchase")</f>
        <v>0</v>
      </c>
      <c r="I25" s="18">
        <f>COUNTIFS(Table1[Customer_ID],I$1,Table1[Month],$A25,Table1[Type],"Purchase")</f>
        <v>0</v>
      </c>
      <c r="J25" s="18">
        <f>COUNTIFS(Table1[Customer_ID],J$1,Table1[Month],$A25,Table1[Type],"Purchase")</f>
        <v>0</v>
      </c>
      <c r="K25" s="18">
        <f>COUNTIFS(Table1[Customer_ID],K$1,Table1[Month],$A25,Table1[Type],"Purchase")</f>
        <v>0</v>
      </c>
      <c r="L25" s="18">
        <f>COUNTIFS(Table1[Customer_ID],L$1,Table1[Month],$A25,Table1[Type],"Purchase")</f>
        <v>0</v>
      </c>
      <c r="M25" s="18">
        <f>COUNTIFS(Table1[Customer_ID],M$1,Table1[Month],$A25,Table1[Type],"Purchase")</f>
        <v>0</v>
      </c>
      <c r="N25" s="18">
        <f>COUNTIFS(Table1[Customer_ID],N$1,Table1[Month],$A25,Table1[Type],"Purchase")</f>
        <v>0</v>
      </c>
      <c r="O25" s="18">
        <f>COUNTIFS(Table1[Customer_ID],O$1,Table1[Month],$A25,Table1[Type],"Purchase")</f>
        <v>0</v>
      </c>
      <c r="P25" s="18">
        <f>COUNTIFS(Table1[Customer_ID],P$1,Table1[Month],$A25,Table1[Type],"Purchase")</f>
        <v>0</v>
      </c>
      <c r="Q25" s="18">
        <f>COUNTIFS(Table1[Customer_ID],Q$1,Table1[Month],$A25,Table1[Type],"Purchase")</f>
        <v>0</v>
      </c>
      <c r="R25" s="18">
        <f>COUNTIFS(Table1[Customer_ID],R$1,Table1[Month],$A25,Table1[Type],"Purchase")</f>
        <v>0</v>
      </c>
      <c r="S25" s="18">
        <f>COUNTIFS(Table1[Customer_ID],S$1,Table1[Month],$A25,Table1[Type],"Purchase")</f>
        <v>0</v>
      </c>
      <c r="T25" s="18">
        <f>COUNTIFS(Table1[Customer_ID],T$1,Table1[Month],$A25,Table1[Type],"Purchase")</f>
        <v>0</v>
      </c>
      <c r="U25" s="18">
        <f>COUNTIFS(Table1[Customer_ID],U$1,Table1[Month],$A25,Table1[Type],"Purchase")</f>
        <v>0</v>
      </c>
      <c r="V25" s="18">
        <f>COUNTIFS(Table1[Customer_ID],V$1,Table1[Month],$A25,Table1[Type],"Purchase")</f>
        <v>0</v>
      </c>
      <c r="W25" s="18">
        <f>COUNTIFS(Table1[Customer_ID],W$1,Table1[Month],$A25,Table1[Type],"Purchase")</f>
        <v>0</v>
      </c>
      <c r="X25" s="18">
        <f>COUNTIFS(Table1[Customer_ID],X$1,Table1[Month],$A25,Table1[Type],"Purchase")</f>
        <v>0</v>
      </c>
      <c r="Y25" s="18">
        <f>COUNTIFS(Table1[Customer_ID],Y$1,Table1[Month],$A25,Table1[Type],"Purchase")</f>
        <v>0</v>
      </c>
      <c r="Z25" s="18">
        <f>COUNTIFS(Table1[Customer_ID],Z$1,Table1[Month],$A25,Table1[Type],"Purchase")</f>
        <v>0</v>
      </c>
      <c r="AA25" s="18">
        <f>COUNTIFS(Table1[Customer_ID],AA$1,Table1[Month],$A25,Table1[Type],"Purchase")</f>
        <v>0</v>
      </c>
      <c r="AB25" s="18">
        <f>COUNTIFS(Table1[Customer_ID],AB$1,Table1[Month],$A25,Table1[Type],"Purchase")</f>
        <v>0</v>
      </c>
      <c r="AC25" s="18">
        <f>COUNTIFS(Table1[Customer_ID],AC$1,Table1[Month],$A25,Table1[Type],"Purchase")</f>
        <v>0</v>
      </c>
      <c r="AD25" s="18">
        <f>COUNTIFS(Table1[Customer_ID],AD$1,Table1[Month],$A25,Table1[Type],"Purchase")</f>
        <v>0</v>
      </c>
      <c r="AE25" s="20">
        <f t="shared" si="0"/>
        <v>0</v>
      </c>
    </row>
    <row r="26" spans="1:31">
      <c r="A26" s="27" t="s">
        <v>718</v>
      </c>
      <c r="B26" s="18">
        <f>COUNTIFS(Table1[Customer_ID],B$1,Table1[Month],$A26,Table1[Type],"Purchase")</f>
        <v>0</v>
      </c>
      <c r="C26" s="18">
        <f>COUNTIFS(Table1[Customer_ID],C$1,Table1[Month],$A26,Table1[Type],"Purchase")</f>
        <v>0</v>
      </c>
      <c r="D26" s="18">
        <f>COUNTIFS(Table1[Customer_ID],D$1,Table1[Month],$A26,Table1[Type],"Purchase")</f>
        <v>0</v>
      </c>
      <c r="E26" s="18">
        <f>COUNTIFS(Table1[Customer_ID],E$1,Table1[Month],$A26,Table1[Type],"Purchase")</f>
        <v>0</v>
      </c>
      <c r="F26" s="18">
        <f>COUNTIFS(Table1[Customer_ID],F$1,Table1[Month],$A26,Table1[Type],"Purchase")</f>
        <v>0</v>
      </c>
      <c r="G26" s="18">
        <f>COUNTIFS(Table1[Customer_ID],G$1,Table1[Month],$A26,Table1[Type],"Purchase")</f>
        <v>0</v>
      </c>
      <c r="H26" s="18">
        <f>COUNTIFS(Table1[Customer_ID],H$1,Table1[Month],$A26,Table1[Type],"Purchase")</f>
        <v>0</v>
      </c>
      <c r="I26" s="18">
        <f>COUNTIFS(Table1[Customer_ID],I$1,Table1[Month],$A26,Table1[Type],"Purchase")</f>
        <v>0</v>
      </c>
      <c r="J26" s="18">
        <f>COUNTIFS(Table1[Customer_ID],J$1,Table1[Month],$A26,Table1[Type],"Purchase")</f>
        <v>0</v>
      </c>
      <c r="K26" s="18">
        <f>COUNTIFS(Table1[Customer_ID],K$1,Table1[Month],$A26,Table1[Type],"Purchase")</f>
        <v>0</v>
      </c>
      <c r="L26" s="18">
        <f>COUNTIFS(Table1[Customer_ID],L$1,Table1[Month],$A26,Table1[Type],"Purchase")</f>
        <v>0</v>
      </c>
      <c r="M26" s="18">
        <f>COUNTIFS(Table1[Customer_ID],M$1,Table1[Month],$A26,Table1[Type],"Purchase")</f>
        <v>0</v>
      </c>
      <c r="N26" s="18">
        <f>COUNTIFS(Table1[Customer_ID],N$1,Table1[Month],$A26,Table1[Type],"Purchase")</f>
        <v>0</v>
      </c>
      <c r="O26" s="18">
        <f>COUNTIFS(Table1[Customer_ID],O$1,Table1[Month],$A26,Table1[Type],"Purchase")</f>
        <v>0</v>
      </c>
      <c r="P26" s="18">
        <f>COUNTIFS(Table1[Customer_ID],P$1,Table1[Month],$A26,Table1[Type],"Purchase")</f>
        <v>0</v>
      </c>
      <c r="Q26" s="18">
        <f>COUNTIFS(Table1[Customer_ID],Q$1,Table1[Month],$A26,Table1[Type],"Purchase")</f>
        <v>0</v>
      </c>
      <c r="R26" s="18">
        <f>COUNTIFS(Table1[Customer_ID],R$1,Table1[Month],$A26,Table1[Type],"Purchase")</f>
        <v>0</v>
      </c>
      <c r="S26" s="18">
        <f>COUNTIFS(Table1[Customer_ID],S$1,Table1[Month],$A26,Table1[Type],"Purchase")</f>
        <v>0</v>
      </c>
      <c r="T26" s="18">
        <f>COUNTIFS(Table1[Customer_ID],T$1,Table1[Month],$A26,Table1[Type],"Purchase")</f>
        <v>0</v>
      </c>
      <c r="U26" s="18">
        <f>COUNTIFS(Table1[Customer_ID],U$1,Table1[Month],$A26,Table1[Type],"Purchase")</f>
        <v>0</v>
      </c>
      <c r="V26" s="18">
        <f>COUNTIFS(Table1[Customer_ID],V$1,Table1[Month],$A26,Table1[Type],"Purchase")</f>
        <v>0</v>
      </c>
      <c r="W26" s="18">
        <f>COUNTIFS(Table1[Customer_ID],W$1,Table1[Month],$A26,Table1[Type],"Purchase")</f>
        <v>0</v>
      </c>
      <c r="X26" s="18">
        <f>COUNTIFS(Table1[Customer_ID],X$1,Table1[Month],$A26,Table1[Type],"Purchase")</f>
        <v>0</v>
      </c>
      <c r="Y26" s="18">
        <f>COUNTIFS(Table1[Customer_ID],Y$1,Table1[Month],$A26,Table1[Type],"Purchase")</f>
        <v>0</v>
      </c>
      <c r="Z26" s="18">
        <f>COUNTIFS(Table1[Customer_ID],Z$1,Table1[Month],$A26,Table1[Type],"Purchase")</f>
        <v>0</v>
      </c>
      <c r="AA26" s="18">
        <f>COUNTIFS(Table1[Customer_ID],AA$1,Table1[Month],$A26,Table1[Type],"Purchase")</f>
        <v>0</v>
      </c>
      <c r="AB26" s="18">
        <f>COUNTIFS(Table1[Customer_ID],AB$1,Table1[Month],$A26,Table1[Type],"Purchase")</f>
        <v>0</v>
      </c>
      <c r="AC26" s="18">
        <f>COUNTIFS(Table1[Customer_ID],AC$1,Table1[Month],$A26,Table1[Type],"Purchase")</f>
        <v>0</v>
      </c>
      <c r="AD26" s="18">
        <f>COUNTIFS(Table1[Customer_ID],AD$1,Table1[Month],$A26,Table1[Type],"Purchase")</f>
        <v>0</v>
      </c>
      <c r="AE26" s="20">
        <f t="shared" si="0"/>
        <v>0</v>
      </c>
    </row>
    <row r="27" spans="1:31">
      <c r="A27" s="27" t="s">
        <v>682</v>
      </c>
      <c r="B27" s="18">
        <f>COUNTIFS(Table1[Customer_ID],B$1,Table1[Month],$A27,Table1[Type],"Purchase")</f>
        <v>0</v>
      </c>
      <c r="C27" s="18">
        <f>COUNTIFS(Table1[Customer_ID],C$1,Table1[Month],$A27,Table1[Type],"Purchase")</f>
        <v>0</v>
      </c>
      <c r="D27" s="18">
        <f>COUNTIFS(Table1[Customer_ID],D$1,Table1[Month],$A27,Table1[Type],"Purchase")</f>
        <v>0</v>
      </c>
      <c r="E27" s="18">
        <f>COUNTIFS(Table1[Customer_ID],E$1,Table1[Month],$A27,Table1[Type],"Purchase")</f>
        <v>0</v>
      </c>
      <c r="F27" s="18">
        <f>COUNTIFS(Table1[Customer_ID],F$1,Table1[Month],$A27,Table1[Type],"Purchase")</f>
        <v>0</v>
      </c>
      <c r="G27" s="18">
        <f>COUNTIFS(Table1[Customer_ID],G$1,Table1[Month],$A27,Table1[Type],"Purchase")</f>
        <v>0</v>
      </c>
      <c r="H27" s="18">
        <f>COUNTIFS(Table1[Customer_ID],H$1,Table1[Month],$A27,Table1[Type],"Purchase")</f>
        <v>0</v>
      </c>
      <c r="I27" s="18">
        <f>COUNTIFS(Table1[Customer_ID],I$1,Table1[Month],$A27,Table1[Type],"Purchase")</f>
        <v>0</v>
      </c>
      <c r="J27" s="18">
        <f>COUNTIFS(Table1[Customer_ID],J$1,Table1[Month],$A27,Table1[Type],"Purchase")</f>
        <v>0</v>
      </c>
      <c r="K27" s="18">
        <f>COUNTIFS(Table1[Customer_ID],K$1,Table1[Month],$A27,Table1[Type],"Purchase")</f>
        <v>0</v>
      </c>
      <c r="L27" s="18">
        <f>COUNTIFS(Table1[Customer_ID],L$1,Table1[Month],$A27,Table1[Type],"Purchase")</f>
        <v>0</v>
      </c>
      <c r="M27" s="18">
        <f>COUNTIFS(Table1[Customer_ID],M$1,Table1[Month],$A27,Table1[Type],"Purchase")</f>
        <v>0</v>
      </c>
      <c r="N27" s="18">
        <f>COUNTIFS(Table1[Customer_ID],N$1,Table1[Month],$A27,Table1[Type],"Purchase")</f>
        <v>0</v>
      </c>
      <c r="O27" s="18">
        <f>COUNTIFS(Table1[Customer_ID],O$1,Table1[Month],$A27,Table1[Type],"Purchase")</f>
        <v>0</v>
      </c>
      <c r="P27" s="18">
        <f>COUNTIFS(Table1[Customer_ID],P$1,Table1[Month],$A27,Table1[Type],"Purchase")</f>
        <v>6</v>
      </c>
      <c r="Q27" s="18">
        <f>COUNTIFS(Table1[Customer_ID],Q$1,Table1[Month],$A27,Table1[Type],"Purchase")</f>
        <v>0</v>
      </c>
      <c r="R27" s="18">
        <f>COUNTIFS(Table1[Customer_ID],R$1,Table1[Month],$A27,Table1[Type],"Purchase")</f>
        <v>0</v>
      </c>
      <c r="S27" s="18">
        <f>COUNTIFS(Table1[Customer_ID],S$1,Table1[Month],$A27,Table1[Type],"Purchase")</f>
        <v>0</v>
      </c>
      <c r="T27" s="18">
        <f>COUNTIFS(Table1[Customer_ID],T$1,Table1[Month],$A27,Table1[Type],"Purchase")</f>
        <v>0</v>
      </c>
      <c r="U27" s="18">
        <f>COUNTIFS(Table1[Customer_ID],U$1,Table1[Month],$A27,Table1[Type],"Purchase")</f>
        <v>0</v>
      </c>
      <c r="V27" s="18">
        <f>COUNTIFS(Table1[Customer_ID],V$1,Table1[Month],$A27,Table1[Type],"Purchase")</f>
        <v>0</v>
      </c>
      <c r="W27" s="18">
        <f>COUNTIFS(Table1[Customer_ID],W$1,Table1[Month],$A27,Table1[Type],"Purchase")</f>
        <v>0</v>
      </c>
      <c r="X27" s="18">
        <f>COUNTIFS(Table1[Customer_ID],X$1,Table1[Month],$A27,Table1[Type],"Purchase")</f>
        <v>0</v>
      </c>
      <c r="Y27" s="18">
        <f>COUNTIFS(Table1[Customer_ID],Y$1,Table1[Month],$A27,Table1[Type],"Purchase")</f>
        <v>0</v>
      </c>
      <c r="Z27" s="18">
        <f>COUNTIFS(Table1[Customer_ID],Z$1,Table1[Month],$A27,Table1[Type],"Purchase")</f>
        <v>0</v>
      </c>
      <c r="AA27" s="18">
        <f>COUNTIFS(Table1[Customer_ID],AA$1,Table1[Month],$A27,Table1[Type],"Purchase")</f>
        <v>0</v>
      </c>
      <c r="AB27" s="18">
        <f>COUNTIFS(Table1[Customer_ID],AB$1,Table1[Month],$A27,Table1[Type],"Purchase")</f>
        <v>8</v>
      </c>
      <c r="AC27" s="18">
        <f>COUNTIFS(Table1[Customer_ID],AC$1,Table1[Month],$A27,Table1[Type],"Purchase")</f>
        <v>0</v>
      </c>
      <c r="AD27" s="18">
        <f>COUNTIFS(Table1[Customer_ID],AD$1,Table1[Month],$A27,Table1[Type],"Purchase")</f>
        <v>0</v>
      </c>
      <c r="AE27" s="20">
        <f t="shared" si="0"/>
        <v>14</v>
      </c>
    </row>
    <row r="28" spans="1:31">
      <c r="A28" s="27" t="s">
        <v>681</v>
      </c>
      <c r="B28" s="18">
        <f>COUNTIFS(Table1[Customer_ID],B$1,Table1[Month],$A28,Table1[Type],"Purchase")</f>
        <v>0</v>
      </c>
      <c r="C28" s="18">
        <f>COUNTIFS(Table1[Customer_ID],C$1,Table1[Month],$A28,Table1[Type],"Purchase")</f>
        <v>0</v>
      </c>
      <c r="D28" s="18">
        <f>COUNTIFS(Table1[Customer_ID],D$1,Table1[Month],$A28,Table1[Type],"Purchase")</f>
        <v>0</v>
      </c>
      <c r="E28" s="18">
        <f>COUNTIFS(Table1[Customer_ID],E$1,Table1[Month],$A28,Table1[Type],"Purchase")</f>
        <v>0</v>
      </c>
      <c r="F28" s="18">
        <f>COUNTIFS(Table1[Customer_ID],F$1,Table1[Month],$A28,Table1[Type],"Purchase")</f>
        <v>0</v>
      </c>
      <c r="G28" s="18">
        <f>COUNTIFS(Table1[Customer_ID],G$1,Table1[Month],$A28,Table1[Type],"Purchase")</f>
        <v>0</v>
      </c>
      <c r="H28" s="18">
        <f>COUNTIFS(Table1[Customer_ID],H$1,Table1[Month],$A28,Table1[Type],"Purchase")</f>
        <v>0</v>
      </c>
      <c r="I28" s="18">
        <f>COUNTIFS(Table1[Customer_ID],I$1,Table1[Month],$A28,Table1[Type],"Purchase")</f>
        <v>0</v>
      </c>
      <c r="J28" s="18">
        <f>COUNTIFS(Table1[Customer_ID],J$1,Table1[Month],$A28,Table1[Type],"Purchase")</f>
        <v>0</v>
      </c>
      <c r="K28" s="18">
        <f>COUNTIFS(Table1[Customer_ID],K$1,Table1[Month],$A28,Table1[Type],"Purchase")</f>
        <v>0</v>
      </c>
      <c r="L28" s="18">
        <f>COUNTIFS(Table1[Customer_ID],L$1,Table1[Month],$A28,Table1[Type],"Purchase")</f>
        <v>0</v>
      </c>
      <c r="M28" s="18">
        <f>COUNTIFS(Table1[Customer_ID],M$1,Table1[Month],$A28,Table1[Type],"Purchase")</f>
        <v>0</v>
      </c>
      <c r="N28" s="18">
        <f>COUNTIFS(Table1[Customer_ID],N$1,Table1[Month],$A28,Table1[Type],"Purchase")</f>
        <v>0</v>
      </c>
      <c r="O28" s="18">
        <f>COUNTIFS(Table1[Customer_ID],O$1,Table1[Month],$A28,Table1[Type],"Purchase")</f>
        <v>0</v>
      </c>
      <c r="P28" s="18">
        <f>COUNTIFS(Table1[Customer_ID],P$1,Table1[Month],$A28,Table1[Type],"Purchase")</f>
        <v>34</v>
      </c>
      <c r="Q28" s="18">
        <f>COUNTIFS(Table1[Customer_ID],Q$1,Table1[Month],$A28,Table1[Type],"Purchase")</f>
        <v>0</v>
      </c>
      <c r="R28" s="18">
        <f>COUNTIFS(Table1[Customer_ID],R$1,Table1[Month],$A28,Table1[Type],"Purchase")</f>
        <v>0</v>
      </c>
      <c r="S28" s="18">
        <f>COUNTIFS(Table1[Customer_ID],S$1,Table1[Month],$A28,Table1[Type],"Purchase")</f>
        <v>0</v>
      </c>
      <c r="T28" s="18">
        <f>COUNTIFS(Table1[Customer_ID],T$1,Table1[Month],$A28,Table1[Type],"Purchase")</f>
        <v>0</v>
      </c>
      <c r="U28" s="18">
        <f>COUNTIFS(Table1[Customer_ID],U$1,Table1[Month],$A28,Table1[Type],"Purchase")</f>
        <v>0</v>
      </c>
      <c r="V28" s="18">
        <f>COUNTIFS(Table1[Customer_ID],V$1,Table1[Month],$A28,Table1[Type],"Purchase")</f>
        <v>0</v>
      </c>
      <c r="W28" s="18">
        <f>COUNTIFS(Table1[Customer_ID],W$1,Table1[Month],$A28,Table1[Type],"Purchase")</f>
        <v>0</v>
      </c>
      <c r="X28" s="18">
        <f>COUNTIFS(Table1[Customer_ID],X$1,Table1[Month],$A28,Table1[Type],"Purchase")</f>
        <v>0</v>
      </c>
      <c r="Y28" s="18">
        <f>COUNTIFS(Table1[Customer_ID],Y$1,Table1[Month],$A28,Table1[Type],"Purchase")</f>
        <v>0</v>
      </c>
      <c r="Z28" s="18">
        <f>COUNTIFS(Table1[Customer_ID],Z$1,Table1[Month],$A28,Table1[Type],"Purchase")</f>
        <v>0</v>
      </c>
      <c r="AA28" s="18">
        <f>COUNTIFS(Table1[Customer_ID],AA$1,Table1[Month],$A28,Table1[Type],"Purchase")</f>
        <v>0</v>
      </c>
      <c r="AB28" s="18">
        <f>COUNTIFS(Table1[Customer_ID],AB$1,Table1[Month],$A28,Table1[Type],"Purchase")</f>
        <v>13</v>
      </c>
      <c r="AC28" s="18">
        <f>COUNTIFS(Table1[Customer_ID],AC$1,Table1[Month],$A28,Table1[Type],"Purchase")</f>
        <v>0</v>
      </c>
      <c r="AD28" s="18">
        <f>COUNTIFS(Table1[Customer_ID],AD$1,Table1[Month],$A28,Table1[Type],"Purchase")</f>
        <v>0</v>
      </c>
      <c r="AE28" s="20">
        <f t="shared" si="0"/>
        <v>47</v>
      </c>
    </row>
    <row r="29" spans="1:31">
      <c r="A29" s="27" t="s">
        <v>680</v>
      </c>
      <c r="B29" s="18">
        <f>COUNTIFS(Table1[Customer_ID],B$1,Table1[Month],$A29,Table1[Type],"Purchase")</f>
        <v>0</v>
      </c>
      <c r="C29" s="18">
        <f>COUNTIFS(Table1[Customer_ID],C$1,Table1[Month],$A29,Table1[Type],"Purchase")</f>
        <v>0</v>
      </c>
      <c r="D29" s="18">
        <f>COUNTIFS(Table1[Customer_ID],D$1,Table1[Month],$A29,Table1[Type],"Purchase")</f>
        <v>0</v>
      </c>
      <c r="E29" s="18">
        <f>COUNTIFS(Table1[Customer_ID],E$1,Table1[Month],$A29,Table1[Type],"Purchase")</f>
        <v>0</v>
      </c>
      <c r="F29" s="18">
        <f>COUNTIFS(Table1[Customer_ID],F$1,Table1[Month],$A29,Table1[Type],"Purchase")</f>
        <v>0</v>
      </c>
      <c r="G29" s="18">
        <f>COUNTIFS(Table1[Customer_ID],G$1,Table1[Month],$A29,Table1[Type],"Purchase")</f>
        <v>0</v>
      </c>
      <c r="H29" s="18">
        <f>COUNTIFS(Table1[Customer_ID],H$1,Table1[Month],$A29,Table1[Type],"Purchase")</f>
        <v>0</v>
      </c>
      <c r="I29" s="18">
        <f>COUNTIFS(Table1[Customer_ID],I$1,Table1[Month],$A29,Table1[Type],"Purchase")</f>
        <v>0</v>
      </c>
      <c r="J29" s="18">
        <f>COUNTIFS(Table1[Customer_ID],J$1,Table1[Month],$A29,Table1[Type],"Purchase")</f>
        <v>0</v>
      </c>
      <c r="K29" s="18">
        <f>COUNTIFS(Table1[Customer_ID],K$1,Table1[Month],$A29,Table1[Type],"Purchase")</f>
        <v>0</v>
      </c>
      <c r="L29" s="18">
        <f>COUNTIFS(Table1[Customer_ID],L$1,Table1[Month],$A29,Table1[Type],"Purchase")</f>
        <v>0</v>
      </c>
      <c r="M29" s="18">
        <f>COUNTIFS(Table1[Customer_ID],M$1,Table1[Month],$A29,Table1[Type],"Purchase")</f>
        <v>0</v>
      </c>
      <c r="N29" s="18">
        <f>COUNTIFS(Table1[Customer_ID],N$1,Table1[Month],$A29,Table1[Type],"Purchase")</f>
        <v>0</v>
      </c>
      <c r="O29" s="18">
        <f>COUNTIFS(Table1[Customer_ID],O$1,Table1[Month],$A29,Table1[Type],"Purchase")</f>
        <v>3</v>
      </c>
      <c r="P29" s="18">
        <f>COUNTIFS(Table1[Customer_ID],P$1,Table1[Month],$A29,Table1[Type],"Purchase")</f>
        <v>33</v>
      </c>
      <c r="Q29" s="18">
        <f>COUNTIFS(Table1[Customer_ID],Q$1,Table1[Month],$A29,Table1[Type],"Purchase")</f>
        <v>0</v>
      </c>
      <c r="R29" s="18">
        <f>COUNTIFS(Table1[Customer_ID],R$1,Table1[Month],$A29,Table1[Type],"Purchase")</f>
        <v>0</v>
      </c>
      <c r="S29" s="18">
        <f>COUNTIFS(Table1[Customer_ID],S$1,Table1[Month],$A29,Table1[Type],"Purchase")</f>
        <v>0</v>
      </c>
      <c r="T29" s="18">
        <f>COUNTIFS(Table1[Customer_ID],T$1,Table1[Month],$A29,Table1[Type],"Purchase")</f>
        <v>0</v>
      </c>
      <c r="U29" s="18">
        <f>COUNTIFS(Table1[Customer_ID],U$1,Table1[Month],$A29,Table1[Type],"Purchase")</f>
        <v>0</v>
      </c>
      <c r="V29" s="18">
        <f>COUNTIFS(Table1[Customer_ID],V$1,Table1[Month],$A29,Table1[Type],"Purchase")</f>
        <v>0</v>
      </c>
      <c r="W29" s="18">
        <f>COUNTIFS(Table1[Customer_ID],W$1,Table1[Month],$A29,Table1[Type],"Purchase")</f>
        <v>0</v>
      </c>
      <c r="X29" s="18">
        <f>COUNTIFS(Table1[Customer_ID],X$1,Table1[Month],$A29,Table1[Type],"Purchase")</f>
        <v>0</v>
      </c>
      <c r="Y29" s="18">
        <f>COUNTIFS(Table1[Customer_ID],Y$1,Table1[Month],$A29,Table1[Type],"Purchase")</f>
        <v>0</v>
      </c>
      <c r="Z29" s="18">
        <f>COUNTIFS(Table1[Customer_ID],Z$1,Table1[Month],$A29,Table1[Type],"Purchase")</f>
        <v>0</v>
      </c>
      <c r="AA29" s="18">
        <f>COUNTIFS(Table1[Customer_ID],AA$1,Table1[Month],$A29,Table1[Type],"Purchase")</f>
        <v>0</v>
      </c>
      <c r="AB29" s="18">
        <f>COUNTIFS(Table1[Customer_ID],AB$1,Table1[Month],$A29,Table1[Type],"Purchase")</f>
        <v>16</v>
      </c>
      <c r="AC29" s="18">
        <f>COUNTIFS(Table1[Customer_ID],AC$1,Table1[Month],$A29,Table1[Type],"Purchase")</f>
        <v>0</v>
      </c>
      <c r="AD29" s="18">
        <f>COUNTIFS(Table1[Customer_ID],AD$1,Table1[Month],$A29,Table1[Type],"Purchase")</f>
        <v>0</v>
      </c>
      <c r="AE29" s="20">
        <f t="shared" si="0"/>
        <v>52</v>
      </c>
    </row>
    <row r="30" spans="1:31">
      <c r="A30" s="27" t="s">
        <v>679</v>
      </c>
      <c r="B30" s="18">
        <f>COUNTIFS(Table1[Customer_ID],B$1,Table1[Month],$A30,Table1[Type],"Purchase")</f>
        <v>0</v>
      </c>
      <c r="C30" s="18">
        <f>COUNTIFS(Table1[Customer_ID],C$1,Table1[Month],$A30,Table1[Type],"Purchase")</f>
        <v>0</v>
      </c>
      <c r="D30" s="18">
        <f>COUNTIFS(Table1[Customer_ID],D$1,Table1[Month],$A30,Table1[Type],"Purchase")</f>
        <v>0</v>
      </c>
      <c r="E30" s="18">
        <f>COUNTIFS(Table1[Customer_ID],E$1,Table1[Month],$A30,Table1[Type],"Purchase")</f>
        <v>0</v>
      </c>
      <c r="F30" s="18">
        <f>COUNTIFS(Table1[Customer_ID],F$1,Table1[Month],$A30,Table1[Type],"Purchase")</f>
        <v>0</v>
      </c>
      <c r="G30" s="18">
        <f>COUNTIFS(Table1[Customer_ID],G$1,Table1[Month],$A30,Table1[Type],"Purchase")</f>
        <v>0</v>
      </c>
      <c r="H30" s="18">
        <f>COUNTIFS(Table1[Customer_ID],H$1,Table1[Month],$A30,Table1[Type],"Purchase")</f>
        <v>0</v>
      </c>
      <c r="I30" s="18">
        <f>COUNTIFS(Table1[Customer_ID],I$1,Table1[Month],$A30,Table1[Type],"Purchase")</f>
        <v>0</v>
      </c>
      <c r="J30" s="18">
        <f>COUNTIFS(Table1[Customer_ID],J$1,Table1[Month],$A30,Table1[Type],"Purchase")</f>
        <v>0</v>
      </c>
      <c r="K30" s="18">
        <f>COUNTIFS(Table1[Customer_ID],K$1,Table1[Month],$A30,Table1[Type],"Purchase")</f>
        <v>0</v>
      </c>
      <c r="L30" s="18">
        <f>COUNTIFS(Table1[Customer_ID],L$1,Table1[Month],$A30,Table1[Type],"Purchase")</f>
        <v>0</v>
      </c>
      <c r="M30" s="18">
        <f>COUNTIFS(Table1[Customer_ID],M$1,Table1[Month],$A30,Table1[Type],"Purchase")</f>
        <v>3</v>
      </c>
      <c r="N30" s="18">
        <f>COUNTIFS(Table1[Customer_ID],N$1,Table1[Month],$A30,Table1[Type],"Purchase")</f>
        <v>142</v>
      </c>
      <c r="O30" s="18">
        <f>COUNTIFS(Table1[Customer_ID],O$1,Table1[Month],$A30,Table1[Type],"Purchase")</f>
        <v>12</v>
      </c>
      <c r="P30" s="18">
        <f>COUNTIFS(Table1[Customer_ID],P$1,Table1[Month],$A30,Table1[Type],"Purchase")</f>
        <v>30</v>
      </c>
      <c r="Q30" s="18">
        <f>COUNTIFS(Table1[Customer_ID],Q$1,Table1[Month],$A30,Table1[Type],"Purchase")</f>
        <v>0</v>
      </c>
      <c r="R30" s="18">
        <f>COUNTIFS(Table1[Customer_ID],R$1,Table1[Month],$A30,Table1[Type],"Purchase")</f>
        <v>0</v>
      </c>
      <c r="S30" s="18">
        <f>COUNTIFS(Table1[Customer_ID],S$1,Table1[Month],$A30,Table1[Type],"Purchase")</f>
        <v>0</v>
      </c>
      <c r="T30" s="18">
        <f>COUNTIFS(Table1[Customer_ID],T$1,Table1[Month],$A30,Table1[Type],"Purchase")</f>
        <v>0</v>
      </c>
      <c r="U30" s="18">
        <f>COUNTIFS(Table1[Customer_ID],U$1,Table1[Month],$A30,Table1[Type],"Purchase")</f>
        <v>0</v>
      </c>
      <c r="V30" s="18">
        <f>COUNTIFS(Table1[Customer_ID],V$1,Table1[Month],$A30,Table1[Type],"Purchase")</f>
        <v>0</v>
      </c>
      <c r="W30" s="18">
        <f>COUNTIFS(Table1[Customer_ID],W$1,Table1[Month],$A30,Table1[Type],"Purchase")</f>
        <v>0</v>
      </c>
      <c r="X30" s="18">
        <f>COUNTIFS(Table1[Customer_ID],X$1,Table1[Month],$A30,Table1[Type],"Purchase")</f>
        <v>0</v>
      </c>
      <c r="Y30" s="18">
        <f>COUNTIFS(Table1[Customer_ID],Y$1,Table1[Month],$A30,Table1[Type],"Purchase")</f>
        <v>0</v>
      </c>
      <c r="Z30" s="18">
        <f>COUNTIFS(Table1[Customer_ID],Z$1,Table1[Month],$A30,Table1[Type],"Purchase")</f>
        <v>0</v>
      </c>
      <c r="AA30" s="18">
        <f>COUNTIFS(Table1[Customer_ID],AA$1,Table1[Month],$A30,Table1[Type],"Purchase")</f>
        <v>0</v>
      </c>
      <c r="AB30" s="18">
        <f>COUNTIFS(Table1[Customer_ID],AB$1,Table1[Month],$A30,Table1[Type],"Purchase")</f>
        <v>13</v>
      </c>
      <c r="AC30" s="18">
        <f>COUNTIFS(Table1[Customer_ID],AC$1,Table1[Month],$A30,Table1[Type],"Purchase")</f>
        <v>0</v>
      </c>
      <c r="AD30" s="18">
        <f>COUNTIFS(Table1[Customer_ID],AD$1,Table1[Month],$A30,Table1[Type],"Purchase")</f>
        <v>0</v>
      </c>
      <c r="AE30" s="20">
        <f t="shared" si="0"/>
        <v>200</v>
      </c>
    </row>
    <row r="31" spans="1:31">
      <c r="A31" s="27" t="s">
        <v>678</v>
      </c>
      <c r="B31" s="18">
        <f>COUNTIFS(Table1[Customer_ID],B$1,Table1[Month],$A31,Table1[Type],"Purchase")</f>
        <v>0</v>
      </c>
      <c r="C31" s="18">
        <f>COUNTIFS(Table1[Customer_ID],C$1,Table1[Month],$A31,Table1[Type],"Purchase")</f>
        <v>0</v>
      </c>
      <c r="D31" s="18">
        <f>COUNTIFS(Table1[Customer_ID],D$1,Table1[Month],$A31,Table1[Type],"Purchase")</f>
        <v>0</v>
      </c>
      <c r="E31" s="18">
        <f>COUNTIFS(Table1[Customer_ID],E$1,Table1[Month],$A31,Table1[Type],"Purchase")</f>
        <v>0</v>
      </c>
      <c r="F31" s="18">
        <f>COUNTIFS(Table1[Customer_ID],F$1,Table1[Month],$A31,Table1[Type],"Purchase")</f>
        <v>0</v>
      </c>
      <c r="G31" s="18">
        <f>COUNTIFS(Table1[Customer_ID],G$1,Table1[Month],$A31,Table1[Type],"Purchase")</f>
        <v>0</v>
      </c>
      <c r="H31" s="18">
        <f>COUNTIFS(Table1[Customer_ID],H$1,Table1[Month],$A31,Table1[Type],"Purchase")</f>
        <v>0</v>
      </c>
      <c r="I31" s="18">
        <f>COUNTIFS(Table1[Customer_ID],I$1,Table1[Month],$A31,Table1[Type],"Purchase")</f>
        <v>0</v>
      </c>
      <c r="J31" s="18">
        <f>COUNTIFS(Table1[Customer_ID],J$1,Table1[Month],$A31,Table1[Type],"Purchase")</f>
        <v>0</v>
      </c>
      <c r="K31" s="18">
        <f>COUNTIFS(Table1[Customer_ID],K$1,Table1[Month],$A31,Table1[Type],"Purchase")</f>
        <v>0</v>
      </c>
      <c r="L31" s="18">
        <f>COUNTIFS(Table1[Customer_ID],L$1,Table1[Month],$A31,Table1[Type],"Purchase")</f>
        <v>0</v>
      </c>
      <c r="M31" s="18">
        <f>COUNTIFS(Table1[Customer_ID],M$1,Table1[Month],$A31,Table1[Type],"Purchase")</f>
        <v>12</v>
      </c>
      <c r="N31" s="18">
        <f>COUNTIFS(Table1[Customer_ID],N$1,Table1[Month],$A31,Table1[Type],"Purchase")</f>
        <v>79</v>
      </c>
      <c r="O31" s="18">
        <f>COUNTIFS(Table1[Customer_ID],O$1,Table1[Month],$A31,Table1[Type],"Purchase")</f>
        <v>5</v>
      </c>
      <c r="P31" s="18">
        <f>COUNTIFS(Table1[Customer_ID],P$1,Table1[Month],$A31,Table1[Type],"Purchase")</f>
        <v>38</v>
      </c>
      <c r="Q31" s="18">
        <f>COUNTIFS(Table1[Customer_ID],Q$1,Table1[Month],$A31,Table1[Type],"Purchase")</f>
        <v>0</v>
      </c>
      <c r="R31" s="18">
        <f>COUNTIFS(Table1[Customer_ID],R$1,Table1[Month],$A31,Table1[Type],"Purchase")</f>
        <v>0</v>
      </c>
      <c r="S31" s="18">
        <f>COUNTIFS(Table1[Customer_ID],S$1,Table1[Month],$A31,Table1[Type],"Purchase")</f>
        <v>0</v>
      </c>
      <c r="T31" s="18">
        <f>COUNTIFS(Table1[Customer_ID],T$1,Table1[Month],$A31,Table1[Type],"Purchase")</f>
        <v>0</v>
      </c>
      <c r="U31" s="18">
        <f>COUNTIFS(Table1[Customer_ID],U$1,Table1[Month],$A31,Table1[Type],"Purchase")</f>
        <v>0</v>
      </c>
      <c r="V31" s="18">
        <f>COUNTIFS(Table1[Customer_ID],V$1,Table1[Month],$A31,Table1[Type],"Purchase")</f>
        <v>0</v>
      </c>
      <c r="W31" s="18">
        <f>COUNTIFS(Table1[Customer_ID],W$1,Table1[Month],$A31,Table1[Type],"Purchase")</f>
        <v>0</v>
      </c>
      <c r="X31" s="18">
        <f>COUNTIFS(Table1[Customer_ID],X$1,Table1[Month],$A31,Table1[Type],"Purchase")</f>
        <v>0</v>
      </c>
      <c r="Y31" s="18">
        <f>COUNTIFS(Table1[Customer_ID],Y$1,Table1[Month],$A31,Table1[Type],"Purchase")</f>
        <v>0</v>
      </c>
      <c r="Z31" s="18">
        <f>COUNTIFS(Table1[Customer_ID],Z$1,Table1[Month],$A31,Table1[Type],"Purchase")</f>
        <v>0</v>
      </c>
      <c r="AA31" s="18">
        <f>COUNTIFS(Table1[Customer_ID],AA$1,Table1[Month],$A31,Table1[Type],"Purchase")</f>
        <v>0</v>
      </c>
      <c r="AB31" s="18">
        <f>COUNTIFS(Table1[Customer_ID],AB$1,Table1[Month],$A31,Table1[Type],"Purchase")</f>
        <v>13</v>
      </c>
      <c r="AC31" s="18">
        <f>COUNTIFS(Table1[Customer_ID],AC$1,Table1[Month],$A31,Table1[Type],"Purchase")</f>
        <v>0</v>
      </c>
      <c r="AD31" s="18">
        <f>COUNTIFS(Table1[Customer_ID],AD$1,Table1[Month],$A31,Table1[Type],"Purchase")</f>
        <v>0</v>
      </c>
      <c r="AE31" s="20">
        <f t="shared" si="0"/>
        <v>147</v>
      </c>
    </row>
    <row r="32" spans="1:31">
      <c r="A32" s="27" t="s">
        <v>677</v>
      </c>
      <c r="B32" s="18">
        <f>COUNTIFS(Table1[Customer_ID],B$1,Table1[Month],$A32,Table1[Type],"Purchase")</f>
        <v>0</v>
      </c>
      <c r="C32" s="18">
        <f>COUNTIFS(Table1[Customer_ID],C$1,Table1[Month],$A32,Table1[Type],"Purchase")</f>
        <v>0</v>
      </c>
      <c r="D32" s="18">
        <f>COUNTIFS(Table1[Customer_ID],D$1,Table1[Month],$A32,Table1[Type],"Purchase")</f>
        <v>0</v>
      </c>
      <c r="E32" s="18">
        <f>COUNTIFS(Table1[Customer_ID],E$1,Table1[Month],$A32,Table1[Type],"Purchase")</f>
        <v>0</v>
      </c>
      <c r="F32" s="18">
        <f>COUNTIFS(Table1[Customer_ID],F$1,Table1[Month],$A32,Table1[Type],"Purchase")</f>
        <v>0</v>
      </c>
      <c r="G32" s="18">
        <f>COUNTIFS(Table1[Customer_ID],G$1,Table1[Month],$A32,Table1[Type],"Purchase")</f>
        <v>0</v>
      </c>
      <c r="H32" s="18">
        <f>COUNTIFS(Table1[Customer_ID],H$1,Table1[Month],$A32,Table1[Type],"Purchase")</f>
        <v>0</v>
      </c>
      <c r="I32" s="18">
        <f>COUNTIFS(Table1[Customer_ID],I$1,Table1[Month],$A32,Table1[Type],"Purchase")</f>
        <v>0</v>
      </c>
      <c r="J32" s="18">
        <f>COUNTIFS(Table1[Customer_ID],J$1,Table1[Month],$A32,Table1[Type],"Purchase")</f>
        <v>0</v>
      </c>
      <c r="K32" s="18">
        <f>COUNTIFS(Table1[Customer_ID],K$1,Table1[Month],$A32,Table1[Type],"Purchase")</f>
        <v>0</v>
      </c>
      <c r="L32" s="18">
        <f>COUNTIFS(Table1[Customer_ID],L$1,Table1[Month],$A32,Table1[Type],"Purchase")</f>
        <v>0</v>
      </c>
      <c r="M32" s="18">
        <f>COUNTIFS(Table1[Customer_ID],M$1,Table1[Month],$A32,Table1[Type],"Purchase")</f>
        <v>33</v>
      </c>
      <c r="N32" s="18">
        <f>COUNTIFS(Table1[Customer_ID],N$1,Table1[Month],$A32,Table1[Type],"Purchase")</f>
        <v>12</v>
      </c>
      <c r="O32" s="18">
        <f>COUNTIFS(Table1[Customer_ID],O$1,Table1[Month],$A32,Table1[Type],"Purchase")</f>
        <v>3</v>
      </c>
      <c r="P32" s="18">
        <f>COUNTIFS(Table1[Customer_ID],P$1,Table1[Month],$A32,Table1[Type],"Purchase")</f>
        <v>11</v>
      </c>
      <c r="Q32" s="18">
        <f>COUNTIFS(Table1[Customer_ID],Q$1,Table1[Month],$A32,Table1[Type],"Purchase")</f>
        <v>0</v>
      </c>
      <c r="R32" s="18">
        <f>COUNTIFS(Table1[Customer_ID],R$1,Table1[Month],$A32,Table1[Type],"Purchase")</f>
        <v>0</v>
      </c>
      <c r="S32" s="18">
        <f>COUNTIFS(Table1[Customer_ID],S$1,Table1[Month],$A32,Table1[Type],"Purchase")</f>
        <v>0</v>
      </c>
      <c r="T32" s="18">
        <f>COUNTIFS(Table1[Customer_ID],T$1,Table1[Month],$A32,Table1[Type],"Purchase")</f>
        <v>0</v>
      </c>
      <c r="U32" s="18">
        <f>COUNTIFS(Table1[Customer_ID],U$1,Table1[Month],$A32,Table1[Type],"Purchase")</f>
        <v>0</v>
      </c>
      <c r="V32" s="18">
        <f>COUNTIFS(Table1[Customer_ID],V$1,Table1[Month],$A32,Table1[Type],"Purchase")</f>
        <v>0</v>
      </c>
      <c r="W32" s="18">
        <f>COUNTIFS(Table1[Customer_ID],W$1,Table1[Month],$A32,Table1[Type],"Purchase")</f>
        <v>0</v>
      </c>
      <c r="X32" s="18">
        <f>COUNTIFS(Table1[Customer_ID],X$1,Table1[Month],$A32,Table1[Type],"Purchase")</f>
        <v>0</v>
      </c>
      <c r="Y32" s="18">
        <f>COUNTIFS(Table1[Customer_ID],Y$1,Table1[Month],$A32,Table1[Type],"Purchase")</f>
        <v>0</v>
      </c>
      <c r="Z32" s="18">
        <f>COUNTIFS(Table1[Customer_ID],Z$1,Table1[Month],$A32,Table1[Type],"Purchase")</f>
        <v>0</v>
      </c>
      <c r="AA32" s="18">
        <f>COUNTIFS(Table1[Customer_ID],AA$1,Table1[Month],$A32,Table1[Type],"Purchase")</f>
        <v>0</v>
      </c>
      <c r="AB32" s="18">
        <f>COUNTIFS(Table1[Customer_ID],AB$1,Table1[Month],$A32,Table1[Type],"Purchase")</f>
        <v>20</v>
      </c>
      <c r="AC32" s="18">
        <f>COUNTIFS(Table1[Customer_ID],AC$1,Table1[Month],$A32,Table1[Type],"Purchase")</f>
        <v>0</v>
      </c>
      <c r="AD32" s="18">
        <f>COUNTIFS(Table1[Customer_ID],AD$1,Table1[Month],$A32,Table1[Type],"Purchase")</f>
        <v>0</v>
      </c>
      <c r="AE32" s="20">
        <f t="shared" si="0"/>
        <v>79</v>
      </c>
    </row>
    <row r="33" spans="1:31">
      <c r="A33" s="27" t="s">
        <v>676</v>
      </c>
      <c r="B33" s="18">
        <f>COUNTIFS(Table1[Customer_ID],B$1,Table1[Month],$A33,Table1[Type],"Purchase")</f>
        <v>0</v>
      </c>
      <c r="C33" s="18">
        <f>COUNTIFS(Table1[Customer_ID],C$1,Table1[Month],$A33,Table1[Type],"Purchase")</f>
        <v>0</v>
      </c>
      <c r="D33" s="18">
        <f>COUNTIFS(Table1[Customer_ID],D$1,Table1[Month],$A33,Table1[Type],"Purchase")</f>
        <v>0</v>
      </c>
      <c r="E33" s="18">
        <f>COUNTIFS(Table1[Customer_ID],E$1,Table1[Month],$A33,Table1[Type],"Purchase")</f>
        <v>0</v>
      </c>
      <c r="F33" s="18">
        <f>COUNTIFS(Table1[Customer_ID],F$1,Table1[Month],$A33,Table1[Type],"Purchase")</f>
        <v>0</v>
      </c>
      <c r="G33" s="18">
        <f>COUNTIFS(Table1[Customer_ID],G$1,Table1[Month],$A33,Table1[Type],"Purchase")</f>
        <v>0</v>
      </c>
      <c r="H33" s="18">
        <f>COUNTIFS(Table1[Customer_ID],H$1,Table1[Month],$A33,Table1[Type],"Purchase")</f>
        <v>0</v>
      </c>
      <c r="I33" s="18">
        <f>COUNTIFS(Table1[Customer_ID],I$1,Table1[Month],$A33,Table1[Type],"Purchase")</f>
        <v>0</v>
      </c>
      <c r="J33" s="18">
        <f>COUNTIFS(Table1[Customer_ID],J$1,Table1[Month],$A33,Table1[Type],"Purchase")</f>
        <v>0</v>
      </c>
      <c r="K33" s="18">
        <f>COUNTIFS(Table1[Customer_ID],K$1,Table1[Month],$A33,Table1[Type],"Purchase")</f>
        <v>0</v>
      </c>
      <c r="L33" s="18">
        <f>COUNTIFS(Table1[Customer_ID],L$1,Table1[Month],$A33,Table1[Type],"Purchase")</f>
        <v>0</v>
      </c>
      <c r="M33" s="18">
        <f>COUNTIFS(Table1[Customer_ID],M$1,Table1[Month],$A33,Table1[Type],"Purchase")</f>
        <v>29</v>
      </c>
      <c r="N33" s="18">
        <f>COUNTIFS(Table1[Customer_ID],N$1,Table1[Month],$A33,Table1[Type],"Purchase")</f>
        <v>0</v>
      </c>
      <c r="O33" s="18">
        <f>COUNTIFS(Table1[Customer_ID],O$1,Table1[Month],$A33,Table1[Type],"Purchase")</f>
        <v>6</v>
      </c>
      <c r="P33" s="18">
        <f>COUNTIFS(Table1[Customer_ID],P$1,Table1[Month],$A33,Table1[Type],"Purchase")</f>
        <v>8</v>
      </c>
      <c r="Q33" s="18">
        <f>COUNTIFS(Table1[Customer_ID],Q$1,Table1[Month],$A33,Table1[Type],"Purchase")</f>
        <v>0</v>
      </c>
      <c r="R33" s="18">
        <f>COUNTIFS(Table1[Customer_ID],R$1,Table1[Month],$A33,Table1[Type],"Purchase")</f>
        <v>0</v>
      </c>
      <c r="S33" s="18">
        <f>COUNTIFS(Table1[Customer_ID],S$1,Table1[Month],$A33,Table1[Type],"Purchase")</f>
        <v>0</v>
      </c>
      <c r="T33" s="18">
        <f>COUNTIFS(Table1[Customer_ID],T$1,Table1[Month],$A33,Table1[Type],"Purchase")</f>
        <v>0</v>
      </c>
      <c r="U33" s="18">
        <f>COUNTIFS(Table1[Customer_ID],U$1,Table1[Month],$A33,Table1[Type],"Purchase")</f>
        <v>0</v>
      </c>
      <c r="V33" s="18">
        <f>COUNTIFS(Table1[Customer_ID],V$1,Table1[Month],$A33,Table1[Type],"Purchase")</f>
        <v>0</v>
      </c>
      <c r="W33" s="18">
        <f>COUNTIFS(Table1[Customer_ID],W$1,Table1[Month],$A33,Table1[Type],"Purchase")</f>
        <v>0</v>
      </c>
      <c r="X33" s="18">
        <f>COUNTIFS(Table1[Customer_ID],X$1,Table1[Month],$A33,Table1[Type],"Purchase")</f>
        <v>0</v>
      </c>
      <c r="Y33" s="18">
        <f>COUNTIFS(Table1[Customer_ID],Y$1,Table1[Month],$A33,Table1[Type],"Purchase")</f>
        <v>0</v>
      </c>
      <c r="Z33" s="18">
        <f>COUNTIFS(Table1[Customer_ID],Z$1,Table1[Month],$A33,Table1[Type],"Purchase")</f>
        <v>0</v>
      </c>
      <c r="AA33" s="18">
        <f>COUNTIFS(Table1[Customer_ID],AA$1,Table1[Month],$A33,Table1[Type],"Purchase")</f>
        <v>0</v>
      </c>
      <c r="AB33" s="18">
        <f>COUNTIFS(Table1[Customer_ID],AB$1,Table1[Month],$A33,Table1[Type],"Purchase")</f>
        <v>14</v>
      </c>
      <c r="AC33" s="18">
        <f>COUNTIFS(Table1[Customer_ID],AC$1,Table1[Month],$A33,Table1[Type],"Purchase")</f>
        <v>0</v>
      </c>
      <c r="AD33" s="18">
        <f>COUNTIFS(Table1[Customer_ID],AD$1,Table1[Month],$A33,Table1[Type],"Purchase")</f>
        <v>0</v>
      </c>
      <c r="AE33" s="20">
        <f t="shared" si="0"/>
        <v>57</v>
      </c>
    </row>
    <row r="34" spans="1:31">
      <c r="A34" s="27" t="s">
        <v>675</v>
      </c>
      <c r="B34" s="18">
        <f>COUNTIFS(Table1[Customer_ID],B$1,Table1[Month],$A34,Table1[Type],"Purchase")</f>
        <v>0</v>
      </c>
      <c r="C34" s="18">
        <f>COUNTIFS(Table1[Customer_ID],C$1,Table1[Month],$A34,Table1[Type],"Purchase")</f>
        <v>0</v>
      </c>
      <c r="D34" s="18">
        <f>COUNTIFS(Table1[Customer_ID],D$1,Table1[Month],$A34,Table1[Type],"Purchase")</f>
        <v>0</v>
      </c>
      <c r="E34" s="18">
        <f>COUNTIFS(Table1[Customer_ID],E$1,Table1[Month],$A34,Table1[Type],"Purchase")</f>
        <v>0</v>
      </c>
      <c r="F34" s="18">
        <f>COUNTIFS(Table1[Customer_ID],F$1,Table1[Month],$A34,Table1[Type],"Purchase")</f>
        <v>0</v>
      </c>
      <c r="G34" s="18">
        <f>COUNTIFS(Table1[Customer_ID],G$1,Table1[Month],$A34,Table1[Type],"Purchase")</f>
        <v>0</v>
      </c>
      <c r="H34" s="18">
        <f>COUNTIFS(Table1[Customer_ID],H$1,Table1[Month],$A34,Table1[Type],"Purchase")</f>
        <v>0</v>
      </c>
      <c r="I34" s="18">
        <f>COUNTIFS(Table1[Customer_ID],I$1,Table1[Month],$A34,Table1[Type],"Purchase")</f>
        <v>0</v>
      </c>
      <c r="J34" s="18">
        <f>COUNTIFS(Table1[Customer_ID],J$1,Table1[Month],$A34,Table1[Type],"Purchase")</f>
        <v>0</v>
      </c>
      <c r="K34" s="18">
        <f>COUNTIFS(Table1[Customer_ID],K$1,Table1[Month],$A34,Table1[Type],"Purchase")</f>
        <v>0</v>
      </c>
      <c r="L34" s="18">
        <f>COUNTIFS(Table1[Customer_ID],L$1,Table1[Month],$A34,Table1[Type],"Purchase")</f>
        <v>0</v>
      </c>
      <c r="M34" s="18">
        <f>COUNTIFS(Table1[Customer_ID],M$1,Table1[Month],$A34,Table1[Type],"Purchase")</f>
        <v>2</v>
      </c>
      <c r="N34" s="18">
        <f>COUNTIFS(Table1[Customer_ID],N$1,Table1[Month],$A34,Table1[Type],"Purchase")</f>
        <v>0</v>
      </c>
      <c r="O34" s="18">
        <f>COUNTIFS(Table1[Customer_ID],O$1,Table1[Month],$A34,Table1[Type],"Purchase")</f>
        <v>4</v>
      </c>
      <c r="P34" s="18">
        <f>COUNTIFS(Table1[Customer_ID],P$1,Table1[Month],$A34,Table1[Type],"Purchase")</f>
        <v>9</v>
      </c>
      <c r="Q34" s="18">
        <f>COUNTIFS(Table1[Customer_ID],Q$1,Table1[Month],$A34,Table1[Type],"Purchase")</f>
        <v>0</v>
      </c>
      <c r="R34" s="18">
        <f>COUNTIFS(Table1[Customer_ID],R$1,Table1[Month],$A34,Table1[Type],"Purchase")</f>
        <v>0</v>
      </c>
      <c r="S34" s="18">
        <f>COUNTIFS(Table1[Customer_ID],S$1,Table1[Month],$A34,Table1[Type],"Purchase")</f>
        <v>0</v>
      </c>
      <c r="T34" s="18">
        <f>COUNTIFS(Table1[Customer_ID],T$1,Table1[Month],$A34,Table1[Type],"Purchase")</f>
        <v>0</v>
      </c>
      <c r="U34" s="18">
        <f>COUNTIFS(Table1[Customer_ID],U$1,Table1[Month],$A34,Table1[Type],"Purchase")</f>
        <v>0</v>
      </c>
      <c r="V34" s="18">
        <f>COUNTIFS(Table1[Customer_ID],V$1,Table1[Month],$A34,Table1[Type],"Purchase")</f>
        <v>0</v>
      </c>
      <c r="W34" s="18">
        <f>COUNTIFS(Table1[Customer_ID],W$1,Table1[Month],$A34,Table1[Type],"Purchase")</f>
        <v>0</v>
      </c>
      <c r="X34" s="18">
        <f>COUNTIFS(Table1[Customer_ID],X$1,Table1[Month],$A34,Table1[Type],"Purchase")</f>
        <v>0</v>
      </c>
      <c r="Y34" s="18">
        <f>COUNTIFS(Table1[Customer_ID],Y$1,Table1[Month],$A34,Table1[Type],"Purchase")</f>
        <v>0</v>
      </c>
      <c r="Z34" s="18">
        <f>COUNTIFS(Table1[Customer_ID],Z$1,Table1[Month],$A34,Table1[Type],"Purchase")</f>
        <v>0</v>
      </c>
      <c r="AA34" s="18">
        <f>COUNTIFS(Table1[Customer_ID],AA$1,Table1[Month],$A34,Table1[Type],"Purchase")</f>
        <v>0</v>
      </c>
      <c r="AB34" s="18">
        <f>COUNTIFS(Table1[Customer_ID],AB$1,Table1[Month],$A34,Table1[Type],"Purchase")</f>
        <v>9</v>
      </c>
      <c r="AC34" s="18">
        <f>COUNTIFS(Table1[Customer_ID],AC$1,Table1[Month],$A34,Table1[Type],"Purchase")</f>
        <v>0</v>
      </c>
      <c r="AD34" s="18">
        <f>COUNTIFS(Table1[Customer_ID],AD$1,Table1[Month],$A34,Table1[Type],"Purchase")</f>
        <v>0</v>
      </c>
      <c r="AE34" s="20">
        <f t="shared" si="0"/>
        <v>24</v>
      </c>
    </row>
    <row r="35" spans="1:31">
      <c r="A35" s="27" t="s">
        <v>719</v>
      </c>
      <c r="B35" s="18">
        <f>COUNTIFS(Table1[Customer_ID],B$1,Table1[Month],$A35,Table1[Type],"Purchase")</f>
        <v>0</v>
      </c>
      <c r="C35" s="18">
        <f>COUNTIFS(Table1[Customer_ID],C$1,Table1[Month],$A35,Table1[Type],"Purchase")</f>
        <v>0</v>
      </c>
      <c r="D35" s="18">
        <f>COUNTIFS(Table1[Customer_ID],D$1,Table1[Month],$A35,Table1[Type],"Purchase")</f>
        <v>0</v>
      </c>
      <c r="E35" s="18">
        <f>COUNTIFS(Table1[Customer_ID],E$1,Table1[Month],$A35,Table1[Type],"Purchase")</f>
        <v>0</v>
      </c>
      <c r="F35" s="18">
        <f>COUNTIFS(Table1[Customer_ID],F$1,Table1[Month],$A35,Table1[Type],"Purchase")</f>
        <v>0</v>
      </c>
      <c r="G35" s="18">
        <f>COUNTIFS(Table1[Customer_ID],G$1,Table1[Month],$A35,Table1[Type],"Purchase")</f>
        <v>0</v>
      </c>
      <c r="H35" s="18">
        <f>COUNTIFS(Table1[Customer_ID],H$1,Table1[Month],$A35,Table1[Type],"Purchase")</f>
        <v>0</v>
      </c>
      <c r="I35" s="18">
        <f>COUNTIFS(Table1[Customer_ID],I$1,Table1[Month],$A35,Table1[Type],"Purchase")</f>
        <v>0</v>
      </c>
      <c r="J35" s="18">
        <f>COUNTIFS(Table1[Customer_ID],J$1,Table1[Month],$A35,Table1[Type],"Purchase")</f>
        <v>0</v>
      </c>
      <c r="K35" s="18">
        <f>COUNTIFS(Table1[Customer_ID],K$1,Table1[Month],$A35,Table1[Type],"Purchase")</f>
        <v>0</v>
      </c>
      <c r="L35" s="18">
        <f>COUNTIFS(Table1[Customer_ID],L$1,Table1[Month],$A35,Table1[Type],"Purchase")</f>
        <v>0</v>
      </c>
      <c r="M35" s="18">
        <f>COUNTIFS(Table1[Customer_ID],M$1,Table1[Month],$A35,Table1[Type],"Purchase")</f>
        <v>0</v>
      </c>
      <c r="N35" s="18">
        <f>COUNTIFS(Table1[Customer_ID],N$1,Table1[Month],$A35,Table1[Type],"Purchase")</f>
        <v>0</v>
      </c>
      <c r="O35" s="18">
        <f>COUNTIFS(Table1[Customer_ID],O$1,Table1[Month],$A35,Table1[Type],"Purchase")</f>
        <v>0</v>
      </c>
      <c r="P35" s="18">
        <f>COUNTIFS(Table1[Customer_ID],P$1,Table1[Month],$A35,Table1[Type],"Purchase")</f>
        <v>0</v>
      </c>
      <c r="Q35" s="18">
        <f>COUNTIFS(Table1[Customer_ID],Q$1,Table1[Month],$A35,Table1[Type],"Purchase")</f>
        <v>0</v>
      </c>
      <c r="R35" s="18">
        <f>COUNTIFS(Table1[Customer_ID],R$1,Table1[Month],$A35,Table1[Type],"Purchase")</f>
        <v>0</v>
      </c>
      <c r="S35" s="18">
        <f>COUNTIFS(Table1[Customer_ID],S$1,Table1[Month],$A35,Table1[Type],"Purchase")</f>
        <v>0</v>
      </c>
      <c r="T35" s="18">
        <f>COUNTIFS(Table1[Customer_ID],T$1,Table1[Month],$A35,Table1[Type],"Purchase")</f>
        <v>0</v>
      </c>
      <c r="U35" s="18">
        <f>COUNTIFS(Table1[Customer_ID],U$1,Table1[Month],$A35,Table1[Type],"Purchase")</f>
        <v>0</v>
      </c>
      <c r="V35" s="18">
        <f>COUNTIFS(Table1[Customer_ID],V$1,Table1[Month],$A35,Table1[Type],"Purchase")</f>
        <v>0</v>
      </c>
      <c r="W35" s="18">
        <f>COUNTIFS(Table1[Customer_ID],W$1,Table1[Month],$A35,Table1[Type],"Purchase")</f>
        <v>0</v>
      </c>
      <c r="X35" s="18">
        <f>COUNTIFS(Table1[Customer_ID],X$1,Table1[Month],$A35,Table1[Type],"Purchase")</f>
        <v>0</v>
      </c>
      <c r="Y35" s="18">
        <f>COUNTIFS(Table1[Customer_ID],Y$1,Table1[Month],$A35,Table1[Type],"Purchase")</f>
        <v>0</v>
      </c>
      <c r="Z35" s="18">
        <f>COUNTIFS(Table1[Customer_ID],Z$1,Table1[Month],$A35,Table1[Type],"Purchase")</f>
        <v>0</v>
      </c>
      <c r="AA35" s="18">
        <f>COUNTIFS(Table1[Customer_ID],AA$1,Table1[Month],$A35,Table1[Type],"Purchase")</f>
        <v>0</v>
      </c>
      <c r="AB35" s="18">
        <f>COUNTIFS(Table1[Customer_ID],AB$1,Table1[Month],$A35,Table1[Type],"Purchase")</f>
        <v>0</v>
      </c>
      <c r="AC35" s="18">
        <f>COUNTIFS(Table1[Customer_ID],AC$1,Table1[Month],$A35,Table1[Type],"Purchase")</f>
        <v>0</v>
      </c>
      <c r="AD35" s="18">
        <f>COUNTIFS(Table1[Customer_ID],AD$1,Table1[Month],$A35,Table1[Type],"Purchase")</f>
        <v>0</v>
      </c>
      <c r="AE35" s="20">
        <f t="shared" si="0"/>
        <v>0</v>
      </c>
    </row>
    <row r="36" spans="1:31">
      <c r="A36" s="27" t="s">
        <v>720</v>
      </c>
      <c r="B36" s="18">
        <f>COUNTIFS(Table1[Customer_ID],B$1,Table1[Month],$A36,Table1[Type],"Purchase")</f>
        <v>0</v>
      </c>
      <c r="C36" s="18">
        <f>COUNTIFS(Table1[Customer_ID],C$1,Table1[Month],$A36,Table1[Type],"Purchase")</f>
        <v>0</v>
      </c>
      <c r="D36" s="18">
        <f>COUNTIFS(Table1[Customer_ID],D$1,Table1[Month],$A36,Table1[Type],"Purchase")</f>
        <v>0</v>
      </c>
      <c r="E36" s="18">
        <f>COUNTIFS(Table1[Customer_ID],E$1,Table1[Month],$A36,Table1[Type],"Purchase")</f>
        <v>0</v>
      </c>
      <c r="F36" s="18">
        <f>COUNTIFS(Table1[Customer_ID],F$1,Table1[Month],$A36,Table1[Type],"Purchase")</f>
        <v>0</v>
      </c>
      <c r="G36" s="18">
        <f>COUNTIFS(Table1[Customer_ID],G$1,Table1[Month],$A36,Table1[Type],"Purchase")</f>
        <v>0</v>
      </c>
      <c r="H36" s="18">
        <f>COUNTIFS(Table1[Customer_ID],H$1,Table1[Month],$A36,Table1[Type],"Purchase")</f>
        <v>0</v>
      </c>
      <c r="I36" s="18">
        <f>COUNTIFS(Table1[Customer_ID],I$1,Table1[Month],$A36,Table1[Type],"Purchase")</f>
        <v>0</v>
      </c>
      <c r="J36" s="18">
        <f>COUNTIFS(Table1[Customer_ID],J$1,Table1[Month],$A36,Table1[Type],"Purchase")</f>
        <v>0</v>
      </c>
      <c r="K36" s="18">
        <f>COUNTIFS(Table1[Customer_ID],K$1,Table1[Month],$A36,Table1[Type],"Purchase")</f>
        <v>0</v>
      </c>
      <c r="L36" s="18">
        <f>COUNTIFS(Table1[Customer_ID],L$1,Table1[Month],$A36,Table1[Type],"Purchase")</f>
        <v>0</v>
      </c>
      <c r="M36" s="18">
        <f>COUNTIFS(Table1[Customer_ID],M$1,Table1[Month],$A36,Table1[Type],"Purchase")</f>
        <v>0</v>
      </c>
      <c r="N36" s="18">
        <f>COUNTIFS(Table1[Customer_ID],N$1,Table1[Month],$A36,Table1[Type],"Purchase")</f>
        <v>0</v>
      </c>
      <c r="O36" s="18">
        <f>COUNTIFS(Table1[Customer_ID],O$1,Table1[Month],$A36,Table1[Type],"Purchase")</f>
        <v>0</v>
      </c>
      <c r="P36" s="18">
        <f>COUNTIFS(Table1[Customer_ID],P$1,Table1[Month],$A36,Table1[Type],"Purchase")</f>
        <v>0</v>
      </c>
      <c r="Q36" s="18">
        <f>COUNTIFS(Table1[Customer_ID],Q$1,Table1[Month],$A36,Table1[Type],"Purchase")</f>
        <v>0</v>
      </c>
      <c r="R36" s="18">
        <f>COUNTIFS(Table1[Customer_ID],R$1,Table1[Month],$A36,Table1[Type],"Purchase")</f>
        <v>0</v>
      </c>
      <c r="S36" s="18">
        <f>COUNTIFS(Table1[Customer_ID],S$1,Table1[Month],$A36,Table1[Type],"Purchase")</f>
        <v>0</v>
      </c>
      <c r="T36" s="18">
        <f>COUNTIFS(Table1[Customer_ID],T$1,Table1[Month],$A36,Table1[Type],"Purchase")</f>
        <v>0</v>
      </c>
      <c r="U36" s="18">
        <f>COUNTIFS(Table1[Customer_ID],U$1,Table1[Month],$A36,Table1[Type],"Purchase")</f>
        <v>0</v>
      </c>
      <c r="V36" s="18">
        <f>COUNTIFS(Table1[Customer_ID],V$1,Table1[Month],$A36,Table1[Type],"Purchase")</f>
        <v>0</v>
      </c>
      <c r="W36" s="18">
        <f>COUNTIFS(Table1[Customer_ID],W$1,Table1[Month],$A36,Table1[Type],"Purchase")</f>
        <v>0</v>
      </c>
      <c r="X36" s="18">
        <f>COUNTIFS(Table1[Customer_ID],X$1,Table1[Month],$A36,Table1[Type],"Purchase")</f>
        <v>0</v>
      </c>
      <c r="Y36" s="18">
        <f>COUNTIFS(Table1[Customer_ID],Y$1,Table1[Month],$A36,Table1[Type],"Purchase")</f>
        <v>0</v>
      </c>
      <c r="Z36" s="18">
        <f>COUNTIFS(Table1[Customer_ID],Z$1,Table1[Month],$A36,Table1[Type],"Purchase")</f>
        <v>0</v>
      </c>
      <c r="AA36" s="18">
        <f>COUNTIFS(Table1[Customer_ID],AA$1,Table1[Month],$A36,Table1[Type],"Purchase")</f>
        <v>0</v>
      </c>
      <c r="AB36" s="18">
        <f>COUNTIFS(Table1[Customer_ID],AB$1,Table1[Month],$A36,Table1[Type],"Purchase")</f>
        <v>0</v>
      </c>
      <c r="AC36" s="18">
        <f>COUNTIFS(Table1[Customer_ID],AC$1,Table1[Month],$A36,Table1[Type],"Purchase")</f>
        <v>0</v>
      </c>
      <c r="AD36" s="18">
        <f>COUNTIFS(Table1[Customer_ID],AD$1,Table1[Month],$A36,Table1[Type],"Purchase")</f>
        <v>0</v>
      </c>
      <c r="AE36" s="20">
        <f t="shared" si="0"/>
        <v>0</v>
      </c>
    </row>
    <row r="37" spans="1:31">
      <c r="A37" s="27" t="s">
        <v>721</v>
      </c>
      <c r="B37" s="18">
        <f>COUNTIFS(Table1[Customer_ID],B$1,Table1[Month],$A37,Table1[Type],"Purchase")</f>
        <v>0</v>
      </c>
      <c r="C37" s="18">
        <f>COUNTIFS(Table1[Customer_ID],C$1,Table1[Month],$A37,Table1[Type],"Purchase")</f>
        <v>0</v>
      </c>
      <c r="D37" s="18">
        <f>COUNTIFS(Table1[Customer_ID],D$1,Table1[Month],$A37,Table1[Type],"Purchase")</f>
        <v>0</v>
      </c>
      <c r="E37" s="18">
        <f>COUNTIFS(Table1[Customer_ID],E$1,Table1[Month],$A37,Table1[Type],"Purchase")</f>
        <v>0</v>
      </c>
      <c r="F37" s="18">
        <f>COUNTIFS(Table1[Customer_ID],F$1,Table1[Month],$A37,Table1[Type],"Purchase")</f>
        <v>0</v>
      </c>
      <c r="G37" s="18">
        <f>COUNTIFS(Table1[Customer_ID],G$1,Table1[Month],$A37,Table1[Type],"Purchase")</f>
        <v>0</v>
      </c>
      <c r="H37" s="18">
        <f>COUNTIFS(Table1[Customer_ID],H$1,Table1[Month],$A37,Table1[Type],"Purchase")</f>
        <v>0</v>
      </c>
      <c r="I37" s="18">
        <f>COUNTIFS(Table1[Customer_ID],I$1,Table1[Month],$A37,Table1[Type],"Purchase")</f>
        <v>0</v>
      </c>
      <c r="J37" s="18">
        <f>COUNTIFS(Table1[Customer_ID],J$1,Table1[Month],$A37,Table1[Type],"Purchase")</f>
        <v>0</v>
      </c>
      <c r="K37" s="18">
        <f>COUNTIFS(Table1[Customer_ID],K$1,Table1[Month],$A37,Table1[Type],"Purchase")</f>
        <v>0</v>
      </c>
      <c r="L37" s="18">
        <f>COUNTIFS(Table1[Customer_ID],L$1,Table1[Month],$A37,Table1[Type],"Purchase")</f>
        <v>0</v>
      </c>
      <c r="M37" s="18">
        <f>COUNTIFS(Table1[Customer_ID],M$1,Table1[Month],$A37,Table1[Type],"Purchase")</f>
        <v>0</v>
      </c>
      <c r="N37" s="18">
        <f>COUNTIFS(Table1[Customer_ID],N$1,Table1[Month],$A37,Table1[Type],"Purchase")</f>
        <v>0</v>
      </c>
      <c r="O37" s="18">
        <f>COUNTIFS(Table1[Customer_ID],O$1,Table1[Month],$A37,Table1[Type],"Purchase")</f>
        <v>0</v>
      </c>
      <c r="P37" s="18">
        <f>COUNTIFS(Table1[Customer_ID],P$1,Table1[Month],$A37,Table1[Type],"Purchase")</f>
        <v>0</v>
      </c>
      <c r="Q37" s="18">
        <f>COUNTIFS(Table1[Customer_ID],Q$1,Table1[Month],$A37,Table1[Type],"Purchase")</f>
        <v>0</v>
      </c>
      <c r="R37" s="18">
        <f>COUNTIFS(Table1[Customer_ID],R$1,Table1[Month],$A37,Table1[Type],"Purchase")</f>
        <v>0</v>
      </c>
      <c r="S37" s="18">
        <f>COUNTIFS(Table1[Customer_ID],S$1,Table1[Month],$A37,Table1[Type],"Purchase")</f>
        <v>0</v>
      </c>
      <c r="T37" s="18">
        <f>COUNTIFS(Table1[Customer_ID],T$1,Table1[Month],$A37,Table1[Type],"Purchase")</f>
        <v>0</v>
      </c>
      <c r="U37" s="18">
        <f>COUNTIFS(Table1[Customer_ID],U$1,Table1[Month],$A37,Table1[Type],"Purchase")</f>
        <v>0</v>
      </c>
      <c r="V37" s="18">
        <f>COUNTIFS(Table1[Customer_ID],V$1,Table1[Month],$A37,Table1[Type],"Purchase")</f>
        <v>0</v>
      </c>
      <c r="W37" s="18">
        <f>COUNTIFS(Table1[Customer_ID],W$1,Table1[Month],$A37,Table1[Type],"Purchase")</f>
        <v>0</v>
      </c>
      <c r="X37" s="18">
        <f>COUNTIFS(Table1[Customer_ID],X$1,Table1[Month],$A37,Table1[Type],"Purchase")</f>
        <v>0</v>
      </c>
      <c r="Y37" s="18">
        <f>COUNTIFS(Table1[Customer_ID],Y$1,Table1[Month],$A37,Table1[Type],"Purchase")</f>
        <v>0</v>
      </c>
      <c r="Z37" s="18">
        <f>COUNTIFS(Table1[Customer_ID],Z$1,Table1[Month],$A37,Table1[Type],"Purchase")</f>
        <v>0</v>
      </c>
      <c r="AA37" s="18">
        <f>COUNTIFS(Table1[Customer_ID],AA$1,Table1[Month],$A37,Table1[Type],"Purchase")</f>
        <v>0</v>
      </c>
      <c r="AB37" s="18">
        <f>COUNTIFS(Table1[Customer_ID],AB$1,Table1[Month],$A37,Table1[Type],"Purchase")</f>
        <v>0</v>
      </c>
      <c r="AC37" s="18">
        <f>COUNTIFS(Table1[Customer_ID],AC$1,Table1[Month],$A37,Table1[Type],"Purchase")</f>
        <v>0</v>
      </c>
      <c r="AD37" s="18">
        <f>COUNTIFS(Table1[Customer_ID],AD$1,Table1[Month],$A37,Table1[Type],"Purchase")</f>
        <v>0</v>
      </c>
      <c r="AE37" s="20">
        <f t="shared" si="0"/>
        <v>0</v>
      </c>
    </row>
    <row r="38" spans="1:31">
      <c r="A38" s="27" t="s">
        <v>722</v>
      </c>
      <c r="B38" s="18">
        <f>COUNTIFS(Table1[Customer_ID],B$1,Table1[Month],$A38,Table1[Type],"Purchase")</f>
        <v>2</v>
      </c>
      <c r="C38" s="18">
        <f>COUNTIFS(Table1[Customer_ID],C$1,Table1[Month],$A38,Table1[Type],"Purchase")</f>
        <v>5</v>
      </c>
      <c r="D38" s="18">
        <f>COUNTIFS(Table1[Customer_ID],D$1,Table1[Month],$A38,Table1[Type],"Purchase")</f>
        <v>0</v>
      </c>
      <c r="E38" s="18">
        <f>COUNTIFS(Table1[Customer_ID],E$1,Table1[Month],$A38,Table1[Type],"Purchase")</f>
        <v>0</v>
      </c>
      <c r="F38" s="18">
        <f>COUNTIFS(Table1[Customer_ID],F$1,Table1[Month],$A38,Table1[Type],"Purchase")</f>
        <v>0</v>
      </c>
      <c r="G38" s="18">
        <f>COUNTIFS(Table1[Customer_ID],G$1,Table1[Month],$A38,Table1[Type],"Purchase")</f>
        <v>0</v>
      </c>
      <c r="H38" s="18">
        <f>COUNTIFS(Table1[Customer_ID],H$1,Table1[Month],$A38,Table1[Type],"Purchase")</f>
        <v>0</v>
      </c>
      <c r="I38" s="18">
        <f>COUNTIFS(Table1[Customer_ID],I$1,Table1[Month],$A38,Table1[Type],"Purchase")</f>
        <v>0</v>
      </c>
      <c r="J38" s="18">
        <f>COUNTIFS(Table1[Customer_ID],J$1,Table1[Month],$A38,Table1[Type],"Purchase")</f>
        <v>0</v>
      </c>
      <c r="K38" s="18">
        <f>COUNTIFS(Table1[Customer_ID],K$1,Table1[Month],$A38,Table1[Type],"Purchase")</f>
        <v>0</v>
      </c>
      <c r="L38" s="18">
        <f>COUNTIFS(Table1[Customer_ID],L$1,Table1[Month],$A38,Table1[Type],"Purchase")</f>
        <v>0</v>
      </c>
      <c r="M38" s="18">
        <f>COUNTIFS(Table1[Customer_ID],M$1,Table1[Month],$A38,Table1[Type],"Purchase")</f>
        <v>0</v>
      </c>
      <c r="N38" s="18">
        <f>COUNTIFS(Table1[Customer_ID],N$1,Table1[Month],$A38,Table1[Type],"Purchase")</f>
        <v>0</v>
      </c>
      <c r="O38" s="18">
        <f>COUNTIFS(Table1[Customer_ID],O$1,Table1[Month],$A38,Table1[Type],"Purchase")</f>
        <v>0</v>
      </c>
      <c r="P38" s="18">
        <f>COUNTIFS(Table1[Customer_ID],P$1,Table1[Month],$A38,Table1[Type],"Purchase")</f>
        <v>0</v>
      </c>
      <c r="Q38" s="18">
        <f>COUNTIFS(Table1[Customer_ID],Q$1,Table1[Month],$A38,Table1[Type],"Purchase")</f>
        <v>0</v>
      </c>
      <c r="R38" s="18">
        <f>COUNTIFS(Table1[Customer_ID],R$1,Table1[Month],$A38,Table1[Type],"Purchase")</f>
        <v>0</v>
      </c>
      <c r="S38" s="18">
        <f>COUNTIFS(Table1[Customer_ID],S$1,Table1[Month],$A38,Table1[Type],"Purchase")</f>
        <v>0</v>
      </c>
      <c r="T38" s="18">
        <f>COUNTIFS(Table1[Customer_ID],T$1,Table1[Month],$A38,Table1[Type],"Purchase")</f>
        <v>0</v>
      </c>
      <c r="U38" s="18">
        <f>COUNTIFS(Table1[Customer_ID],U$1,Table1[Month],$A38,Table1[Type],"Purchase")</f>
        <v>0</v>
      </c>
      <c r="V38" s="18">
        <f>COUNTIFS(Table1[Customer_ID],V$1,Table1[Month],$A38,Table1[Type],"Purchase")</f>
        <v>0</v>
      </c>
      <c r="W38" s="18">
        <f>COUNTIFS(Table1[Customer_ID],W$1,Table1[Month],$A38,Table1[Type],"Purchase")</f>
        <v>0</v>
      </c>
      <c r="X38" s="18">
        <f>COUNTIFS(Table1[Customer_ID],X$1,Table1[Month],$A38,Table1[Type],"Purchase")</f>
        <v>0</v>
      </c>
      <c r="Y38" s="18">
        <f>COUNTIFS(Table1[Customer_ID],Y$1,Table1[Month],$A38,Table1[Type],"Purchase")</f>
        <v>0</v>
      </c>
      <c r="Z38" s="18">
        <f>COUNTIFS(Table1[Customer_ID],Z$1,Table1[Month],$A38,Table1[Type],"Purchase")</f>
        <v>0</v>
      </c>
      <c r="AA38" s="18">
        <f>COUNTIFS(Table1[Customer_ID],AA$1,Table1[Month],$A38,Table1[Type],"Purchase")</f>
        <v>0</v>
      </c>
      <c r="AB38" s="18">
        <f>COUNTIFS(Table1[Customer_ID],AB$1,Table1[Month],$A38,Table1[Type],"Purchase")</f>
        <v>0</v>
      </c>
      <c r="AC38" s="18">
        <f>COUNTIFS(Table1[Customer_ID],AC$1,Table1[Month],$A38,Table1[Type],"Purchase")</f>
        <v>7</v>
      </c>
      <c r="AD38" s="18">
        <f>COUNTIFS(Table1[Customer_ID],AD$1,Table1[Month],$A38,Table1[Type],"Purchase")</f>
        <v>0</v>
      </c>
      <c r="AE38" s="20">
        <f t="shared" si="0"/>
        <v>14</v>
      </c>
    </row>
    <row r="39" spans="1:31">
      <c r="A39" s="27" t="s">
        <v>723</v>
      </c>
      <c r="B39" s="18">
        <f>COUNTIFS(Table1[Customer_ID],B$1,Table1[Month],$A39,Table1[Type],"Purchase")</f>
        <v>14</v>
      </c>
      <c r="C39" s="18">
        <f>COUNTIFS(Table1[Customer_ID],C$1,Table1[Month],$A39,Table1[Type],"Purchase")</f>
        <v>37</v>
      </c>
      <c r="D39" s="18">
        <f>COUNTIFS(Table1[Customer_ID],D$1,Table1[Month],$A39,Table1[Type],"Purchase")</f>
        <v>0</v>
      </c>
      <c r="E39" s="18">
        <f>COUNTIFS(Table1[Customer_ID],E$1,Table1[Month],$A39,Table1[Type],"Purchase")</f>
        <v>0</v>
      </c>
      <c r="F39" s="18">
        <f>COUNTIFS(Table1[Customer_ID],F$1,Table1[Month],$A39,Table1[Type],"Purchase")</f>
        <v>0</v>
      </c>
      <c r="G39" s="18">
        <f>COUNTIFS(Table1[Customer_ID],G$1,Table1[Month],$A39,Table1[Type],"Purchase")</f>
        <v>0</v>
      </c>
      <c r="H39" s="18">
        <f>COUNTIFS(Table1[Customer_ID],H$1,Table1[Month],$A39,Table1[Type],"Purchase")</f>
        <v>0</v>
      </c>
      <c r="I39" s="18">
        <f>COUNTIFS(Table1[Customer_ID],I$1,Table1[Month],$A39,Table1[Type],"Purchase")</f>
        <v>0</v>
      </c>
      <c r="J39" s="18">
        <f>COUNTIFS(Table1[Customer_ID],J$1,Table1[Month],$A39,Table1[Type],"Purchase")</f>
        <v>0</v>
      </c>
      <c r="K39" s="18">
        <f>COUNTIFS(Table1[Customer_ID],K$1,Table1[Month],$A39,Table1[Type],"Purchase")</f>
        <v>0</v>
      </c>
      <c r="L39" s="18">
        <f>COUNTIFS(Table1[Customer_ID],L$1,Table1[Month],$A39,Table1[Type],"Purchase")</f>
        <v>0</v>
      </c>
      <c r="M39" s="18">
        <f>COUNTIFS(Table1[Customer_ID],M$1,Table1[Month],$A39,Table1[Type],"Purchase")</f>
        <v>0</v>
      </c>
      <c r="N39" s="18">
        <f>COUNTIFS(Table1[Customer_ID],N$1,Table1[Month],$A39,Table1[Type],"Purchase")</f>
        <v>0</v>
      </c>
      <c r="O39" s="18">
        <f>COUNTIFS(Table1[Customer_ID],O$1,Table1[Month],$A39,Table1[Type],"Purchase")</f>
        <v>0</v>
      </c>
      <c r="P39" s="18">
        <f>COUNTIFS(Table1[Customer_ID],P$1,Table1[Month],$A39,Table1[Type],"Purchase")</f>
        <v>0</v>
      </c>
      <c r="Q39" s="18">
        <f>COUNTIFS(Table1[Customer_ID],Q$1,Table1[Month],$A39,Table1[Type],"Purchase")</f>
        <v>0</v>
      </c>
      <c r="R39" s="18">
        <f>COUNTIFS(Table1[Customer_ID],R$1,Table1[Month],$A39,Table1[Type],"Purchase")</f>
        <v>0</v>
      </c>
      <c r="S39" s="18">
        <f>COUNTIFS(Table1[Customer_ID],S$1,Table1[Month],$A39,Table1[Type],"Purchase")</f>
        <v>0</v>
      </c>
      <c r="T39" s="18">
        <f>COUNTIFS(Table1[Customer_ID],T$1,Table1[Month],$A39,Table1[Type],"Purchase")</f>
        <v>0</v>
      </c>
      <c r="U39" s="18">
        <f>COUNTIFS(Table1[Customer_ID],U$1,Table1[Month],$A39,Table1[Type],"Purchase")</f>
        <v>0</v>
      </c>
      <c r="V39" s="18">
        <f>COUNTIFS(Table1[Customer_ID],V$1,Table1[Month],$A39,Table1[Type],"Purchase")</f>
        <v>0</v>
      </c>
      <c r="W39" s="18">
        <f>COUNTIFS(Table1[Customer_ID],W$1,Table1[Month],$A39,Table1[Type],"Purchase")</f>
        <v>0</v>
      </c>
      <c r="X39" s="18">
        <f>COUNTIFS(Table1[Customer_ID],X$1,Table1[Month],$A39,Table1[Type],"Purchase")</f>
        <v>0</v>
      </c>
      <c r="Y39" s="18">
        <f>COUNTIFS(Table1[Customer_ID],Y$1,Table1[Month],$A39,Table1[Type],"Purchase")</f>
        <v>0</v>
      </c>
      <c r="Z39" s="18">
        <f>COUNTIFS(Table1[Customer_ID],Z$1,Table1[Month],$A39,Table1[Type],"Purchase")</f>
        <v>0</v>
      </c>
      <c r="AA39" s="18">
        <f>COUNTIFS(Table1[Customer_ID],AA$1,Table1[Month],$A39,Table1[Type],"Purchase")</f>
        <v>0</v>
      </c>
      <c r="AB39" s="18">
        <f>COUNTIFS(Table1[Customer_ID],AB$1,Table1[Month],$A39,Table1[Type],"Purchase")</f>
        <v>0</v>
      </c>
      <c r="AC39" s="18">
        <f>COUNTIFS(Table1[Customer_ID],AC$1,Table1[Month],$A39,Table1[Type],"Purchase")</f>
        <v>39</v>
      </c>
      <c r="AD39" s="18">
        <f>COUNTIFS(Table1[Customer_ID],AD$1,Table1[Month],$A39,Table1[Type],"Purchase")</f>
        <v>13</v>
      </c>
      <c r="AE39" s="20">
        <f t="shared" si="0"/>
        <v>103</v>
      </c>
    </row>
    <row r="40" spans="1:31">
      <c r="A40" s="27" t="s">
        <v>724</v>
      </c>
      <c r="B40" s="18">
        <f>COUNTIFS(Table1[Customer_ID],B$1,Table1[Month],$A40,Table1[Type],"Purchase")</f>
        <v>23</v>
      </c>
      <c r="C40" s="18">
        <f>COUNTIFS(Table1[Customer_ID],C$1,Table1[Month],$A40,Table1[Type],"Purchase")</f>
        <v>40</v>
      </c>
      <c r="D40" s="18">
        <f>COUNTIFS(Table1[Customer_ID],D$1,Table1[Month],$A40,Table1[Type],"Purchase")</f>
        <v>0</v>
      </c>
      <c r="E40" s="18">
        <f>COUNTIFS(Table1[Customer_ID],E$1,Table1[Month],$A40,Table1[Type],"Purchase")</f>
        <v>0</v>
      </c>
      <c r="F40" s="18">
        <f>COUNTIFS(Table1[Customer_ID],F$1,Table1[Month],$A40,Table1[Type],"Purchase")</f>
        <v>0</v>
      </c>
      <c r="G40" s="18">
        <f>COUNTIFS(Table1[Customer_ID],G$1,Table1[Month],$A40,Table1[Type],"Purchase")</f>
        <v>0</v>
      </c>
      <c r="H40" s="18">
        <f>COUNTIFS(Table1[Customer_ID],H$1,Table1[Month],$A40,Table1[Type],"Purchase")</f>
        <v>0</v>
      </c>
      <c r="I40" s="18">
        <f>COUNTIFS(Table1[Customer_ID],I$1,Table1[Month],$A40,Table1[Type],"Purchase")</f>
        <v>0</v>
      </c>
      <c r="J40" s="18">
        <f>COUNTIFS(Table1[Customer_ID],J$1,Table1[Month],$A40,Table1[Type],"Purchase")</f>
        <v>0</v>
      </c>
      <c r="K40" s="18">
        <f>COUNTIFS(Table1[Customer_ID],K$1,Table1[Month],$A40,Table1[Type],"Purchase")</f>
        <v>0</v>
      </c>
      <c r="L40" s="18">
        <f>COUNTIFS(Table1[Customer_ID],L$1,Table1[Month],$A40,Table1[Type],"Purchase")</f>
        <v>0</v>
      </c>
      <c r="M40" s="18">
        <f>COUNTIFS(Table1[Customer_ID],M$1,Table1[Month],$A40,Table1[Type],"Purchase")</f>
        <v>0</v>
      </c>
      <c r="N40" s="18">
        <f>COUNTIFS(Table1[Customer_ID],N$1,Table1[Month],$A40,Table1[Type],"Purchase")</f>
        <v>0</v>
      </c>
      <c r="O40" s="18">
        <f>COUNTIFS(Table1[Customer_ID],O$1,Table1[Month],$A40,Table1[Type],"Purchase")</f>
        <v>0</v>
      </c>
      <c r="P40" s="18">
        <f>COUNTIFS(Table1[Customer_ID],P$1,Table1[Month],$A40,Table1[Type],"Purchase")</f>
        <v>0</v>
      </c>
      <c r="Q40" s="18">
        <f>COUNTIFS(Table1[Customer_ID],Q$1,Table1[Month],$A40,Table1[Type],"Purchase")</f>
        <v>0</v>
      </c>
      <c r="R40" s="18">
        <f>COUNTIFS(Table1[Customer_ID],R$1,Table1[Month],$A40,Table1[Type],"Purchase")</f>
        <v>0</v>
      </c>
      <c r="S40" s="18">
        <f>COUNTIFS(Table1[Customer_ID],S$1,Table1[Month],$A40,Table1[Type],"Purchase")</f>
        <v>0</v>
      </c>
      <c r="T40" s="18">
        <f>COUNTIFS(Table1[Customer_ID],T$1,Table1[Month],$A40,Table1[Type],"Purchase")</f>
        <v>0</v>
      </c>
      <c r="U40" s="18">
        <f>COUNTIFS(Table1[Customer_ID],U$1,Table1[Month],$A40,Table1[Type],"Purchase")</f>
        <v>0</v>
      </c>
      <c r="V40" s="18">
        <f>COUNTIFS(Table1[Customer_ID],V$1,Table1[Month],$A40,Table1[Type],"Purchase")</f>
        <v>0</v>
      </c>
      <c r="W40" s="18">
        <f>COUNTIFS(Table1[Customer_ID],W$1,Table1[Month],$A40,Table1[Type],"Purchase")</f>
        <v>0</v>
      </c>
      <c r="X40" s="18">
        <f>COUNTIFS(Table1[Customer_ID],X$1,Table1[Month],$A40,Table1[Type],"Purchase")</f>
        <v>0</v>
      </c>
      <c r="Y40" s="18">
        <f>COUNTIFS(Table1[Customer_ID],Y$1,Table1[Month],$A40,Table1[Type],"Purchase")</f>
        <v>0</v>
      </c>
      <c r="Z40" s="18">
        <f>COUNTIFS(Table1[Customer_ID],Z$1,Table1[Month],$A40,Table1[Type],"Purchase")</f>
        <v>0</v>
      </c>
      <c r="AA40" s="18">
        <f>COUNTIFS(Table1[Customer_ID],AA$1,Table1[Month],$A40,Table1[Type],"Purchase")</f>
        <v>0</v>
      </c>
      <c r="AB40" s="18">
        <f>COUNTIFS(Table1[Customer_ID],AB$1,Table1[Month],$A40,Table1[Type],"Purchase")</f>
        <v>0</v>
      </c>
      <c r="AC40" s="18">
        <f>COUNTIFS(Table1[Customer_ID],AC$1,Table1[Month],$A40,Table1[Type],"Purchase")</f>
        <v>39</v>
      </c>
      <c r="AD40" s="18">
        <f>COUNTIFS(Table1[Customer_ID],AD$1,Table1[Month],$A40,Table1[Type],"Purchase")</f>
        <v>41</v>
      </c>
      <c r="AE40" s="20">
        <f t="shared" si="0"/>
        <v>143</v>
      </c>
    </row>
    <row r="41" spans="1:31">
      <c r="A41" s="27" t="s">
        <v>725</v>
      </c>
      <c r="B41" s="18">
        <f>COUNTIFS(Table1[Customer_ID],B$1,Table1[Month],$A41,Table1[Type],"Purchase")</f>
        <v>13</v>
      </c>
      <c r="C41" s="18">
        <f>COUNTIFS(Table1[Customer_ID],C$1,Table1[Month],$A41,Table1[Type],"Purchase")</f>
        <v>34</v>
      </c>
      <c r="D41" s="18">
        <f>COUNTIFS(Table1[Customer_ID],D$1,Table1[Month],$A41,Table1[Type],"Purchase")</f>
        <v>0</v>
      </c>
      <c r="E41" s="18">
        <f>COUNTIFS(Table1[Customer_ID],E$1,Table1[Month],$A41,Table1[Type],"Purchase")</f>
        <v>0</v>
      </c>
      <c r="F41" s="18">
        <f>COUNTIFS(Table1[Customer_ID],F$1,Table1[Month],$A41,Table1[Type],"Purchase")</f>
        <v>0</v>
      </c>
      <c r="G41" s="18">
        <f>COUNTIFS(Table1[Customer_ID],G$1,Table1[Month],$A41,Table1[Type],"Purchase")</f>
        <v>0</v>
      </c>
      <c r="H41" s="18">
        <f>COUNTIFS(Table1[Customer_ID],H$1,Table1[Month],$A41,Table1[Type],"Purchase")</f>
        <v>0</v>
      </c>
      <c r="I41" s="18">
        <f>COUNTIFS(Table1[Customer_ID],I$1,Table1[Month],$A41,Table1[Type],"Purchase")</f>
        <v>0</v>
      </c>
      <c r="J41" s="18">
        <f>COUNTIFS(Table1[Customer_ID],J$1,Table1[Month],$A41,Table1[Type],"Purchase")</f>
        <v>0</v>
      </c>
      <c r="K41" s="18">
        <f>COUNTIFS(Table1[Customer_ID],K$1,Table1[Month],$A41,Table1[Type],"Purchase")</f>
        <v>0</v>
      </c>
      <c r="L41" s="18">
        <f>COUNTIFS(Table1[Customer_ID],L$1,Table1[Month],$A41,Table1[Type],"Purchase")</f>
        <v>0</v>
      </c>
      <c r="M41" s="18">
        <f>COUNTIFS(Table1[Customer_ID],M$1,Table1[Month],$A41,Table1[Type],"Purchase")</f>
        <v>0</v>
      </c>
      <c r="N41" s="18">
        <f>COUNTIFS(Table1[Customer_ID],N$1,Table1[Month],$A41,Table1[Type],"Purchase")</f>
        <v>0</v>
      </c>
      <c r="O41" s="18">
        <f>COUNTIFS(Table1[Customer_ID],O$1,Table1[Month],$A41,Table1[Type],"Purchase")</f>
        <v>0</v>
      </c>
      <c r="P41" s="18">
        <f>COUNTIFS(Table1[Customer_ID],P$1,Table1[Month],$A41,Table1[Type],"Purchase")</f>
        <v>0</v>
      </c>
      <c r="Q41" s="18">
        <f>COUNTIFS(Table1[Customer_ID],Q$1,Table1[Month],$A41,Table1[Type],"Purchase")</f>
        <v>0</v>
      </c>
      <c r="R41" s="18">
        <f>COUNTIFS(Table1[Customer_ID],R$1,Table1[Month],$A41,Table1[Type],"Purchase")</f>
        <v>0</v>
      </c>
      <c r="S41" s="18">
        <f>COUNTIFS(Table1[Customer_ID],S$1,Table1[Month],$A41,Table1[Type],"Purchase")</f>
        <v>0</v>
      </c>
      <c r="T41" s="18">
        <f>COUNTIFS(Table1[Customer_ID],T$1,Table1[Month],$A41,Table1[Type],"Purchase")</f>
        <v>0</v>
      </c>
      <c r="U41" s="18">
        <f>COUNTIFS(Table1[Customer_ID],U$1,Table1[Month],$A41,Table1[Type],"Purchase")</f>
        <v>0</v>
      </c>
      <c r="V41" s="18">
        <f>COUNTIFS(Table1[Customer_ID],V$1,Table1[Month],$A41,Table1[Type],"Purchase")</f>
        <v>0</v>
      </c>
      <c r="W41" s="18">
        <f>COUNTIFS(Table1[Customer_ID],W$1,Table1[Month],$A41,Table1[Type],"Purchase")</f>
        <v>0</v>
      </c>
      <c r="X41" s="18">
        <f>COUNTIFS(Table1[Customer_ID],X$1,Table1[Month],$A41,Table1[Type],"Purchase")</f>
        <v>0</v>
      </c>
      <c r="Y41" s="18">
        <f>COUNTIFS(Table1[Customer_ID],Y$1,Table1[Month],$A41,Table1[Type],"Purchase")</f>
        <v>0</v>
      </c>
      <c r="Z41" s="18">
        <f>COUNTIFS(Table1[Customer_ID],Z$1,Table1[Month],$A41,Table1[Type],"Purchase")</f>
        <v>0</v>
      </c>
      <c r="AA41" s="18">
        <f>COUNTIFS(Table1[Customer_ID],AA$1,Table1[Month],$A41,Table1[Type],"Purchase")</f>
        <v>0</v>
      </c>
      <c r="AB41" s="18">
        <f>COUNTIFS(Table1[Customer_ID],AB$1,Table1[Month],$A41,Table1[Type],"Purchase")</f>
        <v>0</v>
      </c>
      <c r="AC41" s="18">
        <f>COUNTIFS(Table1[Customer_ID],AC$1,Table1[Month],$A41,Table1[Type],"Purchase")</f>
        <v>0</v>
      </c>
      <c r="AD41" s="18">
        <f>COUNTIFS(Table1[Customer_ID],AD$1,Table1[Month],$A41,Table1[Type],"Purchase")</f>
        <v>31</v>
      </c>
      <c r="AE41" s="20">
        <f t="shared" si="0"/>
        <v>78</v>
      </c>
    </row>
    <row r="42" spans="1:31">
      <c r="A42" s="27" t="s">
        <v>726</v>
      </c>
      <c r="B42" s="18">
        <f>COUNTIFS(Table1[Customer_ID],B$1,Table1[Month],$A42,Table1[Type],"Purchase")</f>
        <v>8</v>
      </c>
      <c r="C42" s="18">
        <f>COUNTIFS(Table1[Customer_ID],C$1,Table1[Month],$A42,Table1[Type],"Purchase")</f>
        <v>35</v>
      </c>
      <c r="D42" s="18">
        <f>COUNTIFS(Table1[Customer_ID],D$1,Table1[Month],$A42,Table1[Type],"Purchase")</f>
        <v>0</v>
      </c>
      <c r="E42" s="18">
        <f>COUNTIFS(Table1[Customer_ID],E$1,Table1[Month],$A42,Table1[Type],"Purchase")</f>
        <v>0</v>
      </c>
      <c r="F42" s="18">
        <f>COUNTIFS(Table1[Customer_ID],F$1,Table1[Month],$A42,Table1[Type],"Purchase")</f>
        <v>0</v>
      </c>
      <c r="G42" s="18">
        <f>COUNTIFS(Table1[Customer_ID],G$1,Table1[Month],$A42,Table1[Type],"Purchase")</f>
        <v>0</v>
      </c>
      <c r="H42" s="18">
        <f>COUNTIFS(Table1[Customer_ID],H$1,Table1[Month],$A42,Table1[Type],"Purchase")</f>
        <v>0</v>
      </c>
      <c r="I42" s="18">
        <f>COUNTIFS(Table1[Customer_ID],I$1,Table1[Month],$A42,Table1[Type],"Purchase")</f>
        <v>0</v>
      </c>
      <c r="J42" s="18">
        <f>COUNTIFS(Table1[Customer_ID],J$1,Table1[Month],$A42,Table1[Type],"Purchase")</f>
        <v>0</v>
      </c>
      <c r="K42" s="18">
        <f>COUNTIFS(Table1[Customer_ID],K$1,Table1[Month],$A42,Table1[Type],"Purchase")</f>
        <v>0</v>
      </c>
      <c r="L42" s="18">
        <f>COUNTIFS(Table1[Customer_ID],L$1,Table1[Month],$A42,Table1[Type],"Purchase")</f>
        <v>0</v>
      </c>
      <c r="M42" s="18">
        <f>COUNTIFS(Table1[Customer_ID],M$1,Table1[Month],$A42,Table1[Type],"Purchase")</f>
        <v>0</v>
      </c>
      <c r="N42" s="18">
        <f>COUNTIFS(Table1[Customer_ID],N$1,Table1[Month],$A42,Table1[Type],"Purchase")</f>
        <v>0</v>
      </c>
      <c r="O42" s="18">
        <f>COUNTIFS(Table1[Customer_ID],O$1,Table1[Month],$A42,Table1[Type],"Purchase")</f>
        <v>0</v>
      </c>
      <c r="P42" s="18">
        <f>COUNTIFS(Table1[Customer_ID],P$1,Table1[Month],$A42,Table1[Type],"Purchase")</f>
        <v>0</v>
      </c>
      <c r="Q42" s="18">
        <f>COUNTIFS(Table1[Customer_ID],Q$1,Table1[Month],$A42,Table1[Type],"Purchase")</f>
        <v>0</v>
      </c>
      <c r="R42" s="18">
        <f>COUNTIFS(Table1[Customer_ID],R$1,Table1[Month],$A42,Table1[Type],"Purchase")</f>
        <v>0</v>
      </c>
      <c r="S42" s="18">
        <f>COUNTIFS(Table1[Customer_ID],S$1,Table1[Month],$A42,Table1[Type],"Purchase")</f>
        <v>0</v>
      </c>
      <c r="T42" s="18">
        <f>COUNTIFS(Table1[Customer_ID],T$1,Table1[Month],$A42,Table1[Type],"Purchase")</f>
        <v>0</v>
      </c>
      <c r="U42" s="18">
        <f>COUNTIFS(Table1[Customer_ID],U$1,Table1[Month],$A42,Table1[Type],"Purchase")</f>
        <v>0</v>
      </c>
      <c r="V42" s="18">
        <f>COUNTIFS(Table1[Customer_ID],V$1,Table1[Month],$A42,Table1[Type],"Purchase")</f>
        <v>0</v>
      </c>
      <c r="W42" s="18">
        <f>COUNTIFS(Table1[Customer_ID],W$1,Table1[Month],$A42,Table1[Type],"Purchase")</f>
        <v>0</v>
      </c>
      <c r="X42" s="18">
        <f>COUNTIFS(Table1[Customer_ID],X$1,Table1[Month],$A42,Table1[Type],"Purchase")</f>
        <v>0</v>
      </c>
      <c r="Y42" s="18">
        <f>COUNTIFS(Table1[Customer_ID],Y$1,Table1[Month],$A42,Table1[Type],"Purchase")</f>
        <v>0</v>
      </c>
      <c r="Z42" s="18">
        <f>COUNTIFS(Table1[Customer_ID],Z$1,Table1[Month],$A42,Table1[Type],"Purchase")</f>
        <v>0</v>
      </c>
      <c r="AA42" s="18">
        <f>COUNTIFS(Table1[Customer_ID],AA$1,Table1[Month],$A42,Table1[Type],"Purchase")</f>
        <v>0</v>
      </c>
      <c r="AB42" s="18">
        <f>COUNTIFS(Table1[Customer_ID],AB$1,Table1[Month],$A42,Table1[Type],"Purchase")</f>
        <v>0</v>
      </c>
      <c r="AC42" s="18">
        <f>COUNTIFS(Table1[Customer_ID],AC$1,Table1[Month],$A42,Table1[Type],"Purchase")</f>
        <v>0</v>
      </c>
      <c r="AD42" s="18">
        <f>COUNTIFS(Table1[Customer_ID],AD$1,Table1[Month],$A42,Table1[Type],"Purchase")</f>
        <v>0</v>
      </c>
      <c r="AE42" s="20">
        <f t="shared" si="0"/>
        <v>43</v>
      </c>
    </row>
    <row r="43" spans="1:31">
      <c r="A43" s="27" t="s">
        <v>727</v>
      </c>
      <c r="B43" s="18">
        <f>COUNTIFS(Table1[Customer_ID],B$1,Table1[Month],$A43,Table1[Type],"Purchase")</f>
        <v>0</v>
      </c>
      <c r="C43" s="18">
        <f>COUNTIFS(Table1[Customer_ID],C$1,Table1[Month],$A43,Table1[Type],"Purchase")</f>
        <v>13</v>
      </c>
      <c r="D43" s="18">
        <f>COUNTIFS(Table1[Customer_ID],D$1,Table1[Month],$A43,Table1[Type],"Purchase")</f>
        <v>0</v>
      </c>
      <c r="E43" s="18">
        <f>COUNTIFS(Table1[Customer_ID],E$1,Table1[Month],$A43,Table1[Type],"Purchase")</f>
        <v>0</v>
      </c>
      <c r="F43" s="18">
        <f>COUNTIFS(Table1[Customer_ID],F$1,Table1[Month],$A43,Table1[Type],"Purchase")</f>
        <v>0</v>
      </c>
      <c r="G43" s="18">
        <f>COUNTIFS(Table1[Customer_ID],G$1,Table1[Month],$A43,Table1[Type],"Purchase")</f>
        <v>0</v>
      </c>
      <c r="H43" s="18">
        <f>COUNTIFS(Table1[Customer_ID],H$1,Table1[Month],$A43,Table1[Type],"Purchase")</f>
        <v>0</v>
      </c>
      <c r="I43" s="18">
        <f>COUNTIFS(Table1[Customer_ID],I$1,Table1[Month],$A43,Table1[Type],"Purchase")</f>
        <v>0</v>
      </c>
      <c r="J43" s="18">
        <f>COUNTIFS(Table1[Customer_ID],J$1,Table1[Month],$A43,Table1[Type],"Purchase")</f>
        <v>0</v>
      </c>
      <c r="K43" s="18">
        <f>COUNTIFS(Table1[Customer_ID],K$1,Table1[Month],$A43,Table1[Type],"Purchase")</f>
        <v>0</v>
      </c>
      <c r="L43" s="18">
        <f>COUNTIFS(Table1[Customer_ID],L$1,Table1[Month],$A43,Table1[Type],"Purchase")</f>
        <v>0</v>
      </c>
      <c r="M43" s="18">
        <f>COUNTIFS(Table1[Customer_ID],M$1,Table1[Month],$A43,Table1[Type],"Purchase")</f>
        <v>0</v>
      </c>
      <c r="N43" s="18">
        <f>COUNTIFS(Table1[Customer_ID],N$1,Table1[Month],$A43,Table1[Type],"Purchase")</f>
        <v>0</v>
      </c>
      <c r="O43" s="18">
        <f>COUNTIFS(Table1[Customer_ID],O$1,Table1[Month],$A43,Table1[Type],"Purchase")</f>
        <v>0</v>
      </c>
      <c r="P43" s="18">
        <f>COUNTIFS(Table1[Customer_ID],P$1,Table1[Month],$A43,Table1[Type],"Purchase")</f>
        <v>0</v>
      </c>
      <c r="Q43" s="18">
        <f>COUNTIFS(Table1[Customer_ID],Q$1,Table1[Month],$A43,Table1[Type],"Purchase")</f>
        <v>0</v>
      </c>
      <c r="R43" s="18">
        <f>COUNTIFS(Table1[Customer_ID],R$1,Table1[Month],$A43,Table1[Type],"Purchase")</f>
        <v>0</v>
      </c>
      <c r="S43" s="18">
        <f>COUNTIFS(Table1[Customer_ID],S$1,Table1[Month],$A43,Table1[Type],"Purchase")</f>
        <v>0</v>
      </c>
      <c r="T43" s="18">
        <f>COUNTIFS(Table1[Customer_ID],T$1,Table1[Month],$A43,Table1[Type],"Purchase")</f>
        <v>0</v>
      </c>
      <c r="U43" s="18">
        <f>COUNTIFS(Table1[Customer_ID],U$1,Table1[Month],$A43,Table1[Type],"Purchase")</f>
        <v>0</v>
      </c>
      <c r="V43" s="18">
        <f>COUNTIFS(Table1[Customer_ID],V$1,Table1[Month],$A43,Table1[Type],"Purchase")</f>
        <v>0</v>
      </c>
      <c r="W43" s="18">
        <f>COUNTIFS(Table1[Customer_ID],W$1,Table1[Month],$A43,Table1[Type],"Purchase")</f>
        <v>0</v>
      </c>
      <c r="X43" s="18">
        <f>COUNTIFS(Table1[Customer_ID],X$1,Table1[Month],$A43,Table1[Type],"Purchase")</f>
        <v>0</v>
      </c>
      <c r="Y43" s="18">
        <f>COUNTIFS(Table1[Customer_ID],Y$1,Table1[Month],$A43,Table1[Type],"Purchase")</f>
        <v>0</v>
      </c>
      <c r="Z43" s="18">
        <f>COUNTIFS(Table1[Customer_ID],Z$1,Table1[Month],$A43,Table1[Type],"Purchase")</f>
        <v>0</v>
      </c>
      <c r="AA43" s="18">
        <f>COUNTIFS(Table1[Customer_ID],AA$1,Table1[Month],$A43,Table1[Type],"Purchase")</f>
        <v>0</v>
      </c>
      <c r="AB43" s="18">
        <f>COUNTIFS(Table1[Customer_ID],AB$1,Table1[Month],$A43,Table1[Type],"Purchase")</f>
        <v>0</v>
      </c>
      <c r="AC43" s="18">
        <f>COUNTIFS(Table1[Customer_ID],AC$1,Table1[Month],$A43,Table1[Type],"Purchase")</f>
        <v>0</v>
      </c>
      <c r="AD43" s="18">
        <f>COUNTIFS(Table1[Customer_ID],AD$1,Table1[Month],$A43,Table1[Type],"Purchase")</f>
        <v>0</v>
      </c>
      <c r="AE43" s="20">
        <f t="shared" si="0"/>
        <v>13</v>
      </c>
    </row>
    <row r="44" spans="1:31" s="15" customFormat="1">
      <c r="A44" s="15" t="s">
        <v>699</v>
      </c>
      <c r="B44" s="20">
        <f t="shared" ref="B44:AB44" si="1">SUM(B2:B43)</f>
        <v>60</v>
      </c>
      <c r="C44" s="20">
        <f t="shared" si="1"/>
        <v>164</v>
      </c>
      <c r="D44" s="20">
        <f t="shared" si="1"/>
        <v>151</v>
      </c>
      <c r="E44" s="20">
        <f t="shared" si="1"/>
        <v>167</v>
      </c>
      <c r="F44" s="20">
        <f t="shared" si="1"/>
        <v>186</v>
      </c>
      <c r="G44" s="20">
        <f t="shared" si="1"/>
        <v>173</v>
      </c>
      <c r="H44" s="20">
        <f t="shared" si="1"/>
        <v>101</v>
      </c>
      <c r="I44" s="20">
        <f t="shared" si="1"/>
        <v>95</v>
      </c>
      <c r="J44" s="20">
        <f t="shared" si="1"/>
        <v>17</v>
      </c>
      <c r="K44" s="20">
        <f t="shared" si="1"/>
        <v>47</v>
      </c>
      <c r="L44" s="20">
        <f t="shared" si="1"/>
        <v>97</v>
      </c>
      <c r="M44" s="20">
        <f t="shared" si="1"/>
        <v>79</v>
      </c>
      <c r="N44" s="20">
        <f t="shared" si="1"/>
        <v>233</v>
      </c>
      <c r="O44" s="20">
        <f t="shared" si="1"/>
        <v>33</v>
      </c>
      <c r="P44" s="20">
        <f t="shared" si="1"/>
        <v>169</v>
      </c>
      <c r="Q44" s="20">
        <f t="shared" si="1"/>
        <v>43</v>
      </c>
      <c r="R44" s="20">
        <f t="shared" si="1"/>
        <v>100</v>
      </c>
      <c r="S44" s="20">
        <f t="shared" si="1"/>
        <v>41</v>
      </c>
      <c r="T44" s="20">
        <f t="shared" si="1"/>
        <v>81</v>
      </c>
      <c r="U44" s="20">
        <f t="shared" si="1"/>
        <v>93</v>
      </c>
      <c r="V44" s="20">
        <f t="shared" si="1"/>
        <v>76</v>
      </c>
      <c r="W44" s="20">
        <f t="shared" si="1"/>
        <v>38</v>
      </c>
      <c r="X44" s="20">
        <f t="shared" si="1"/>
        <v>20</v>
      </c>
      <c r="Y44" s="20">
        <f t="shared" si="1"/>
        <v>19</v>
      </c>
      <c r="Z44" s="20">
        <f t="shared" si="1"/>
        <v>33</v>
      </c>
      <c r="AA44" s="20">
        <f t="shared" si="1"/>
        <v>71</v>
      </c>
      <c r="AB44" s="20">
        <f t="shared" si="1"/>
        <v>198</v>
      </c>
      <c r="AC44" s="20">
        <f t="shared" ref="AC44" si="2">SUM(AC2:AC43)</f>
        <v>85</v>
      </c>
      <c r="AD44" s="20">
        <f t="shared" ref="AD44" si="3">SUM(AD2:AD43)</f>
        <v>85</v>
      </c>
      <c r="AE44" s="20">
        <f t="shared" si="0"/>
        <v>2755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A0032-9684-4B14-8299-37D6D01F03A6}">
  <dimension ref="A1:AE4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4.4"/>
  <cols>
    <col min="1" max="1" width="7.6640625" bestFit="1" customWidth="1"/>
    <col min="2" max="28" width="9.44140625" bestFit="1" customWidth="1"/>
    <col min="29" max="30" width="9.44140625" customWidth="1"/>
    <col min="31" max="31" width="13.5546875" style="15" bestFit="1" customWidth="1"/>
  </cols>
  <sheetData>
    <row r="1" spans="1:31" s="15" customFormat="1">
      <c r="A1" s="25" t="s">
        <v>690</v>
      </c>
      <c r="B1" s="25" t="s">
        <v>7</v>
      </c>
      <c r="C1" s="25" t="s">
        <v>31</v>
      </c>
      <c r="D1" s="25" t="s">
        <v>76</v>
      </c>
      <c r="E1" s="25" t="s">
        <v>77</v>
      </c>
      <c r="F1" s="25" t="s">
        <v>78</v>
      </c>
      <c r="G1" s="25" t="s">
        <v>79</v>
      </c>
      <c r="H1" s="25" t="s">
        <v>80</v>
      </c>
      <c r="I1" s="25" t="s">
        <v>81</v>
      </c>
      <c r="J1" s="25" t="s">
        <v>82</v>
      </c>
      <c r="K1" s="25" t="s">
        <v>83</v>
      </c>
      <c r="L1" s="25" t="s">
        <v>84</v>
      </c>
      <c r="M1" s="25" t="s">
        <v>85</v>
      </c>
      <c r="N1" s="25" t="s">
        <v>86</v>
      </c>
      <c r="O1" s="25" t="s">
        <v>87</v>
      </c>
      <c r="P1" s="25" t="s">
        <v>88</v>
      </c>
      <c r="Q1" s="25" t="s">
        <v>89</v>
      </c>
      <c r="R1" s="25" t="s">
        <v>90</v>
      </c>
      <c r="S1" s="25" t="s">
        <v>91</v>
      </c>
      <c r="T1" s="25" t="s">
        <v>92</v>
      </c>
      <c r="U1" s="25" t="s">
        <v>93</v>
      </c>
      <c r="V1" s="25" t="s">
        <v>446</v>
      </c>
      <c r="W1" s="25" t="s">
        <v>489</v>
      </c>
      <c r="X1" s="25" t="s">
        <v>502</v>
      </c>
      <c r="Y1" s="25" t="s">
        <v>521</v>
      </c>
      <c r="Z1" s="25" t="s">
        <v>545</v>
      </c>
      <c r="AA1" s="25" t="s">
        <v>564</v>
      </c>
      <c r="AB1" s="25" t="s">
        <v>590</v>
      </c>
      <c r="AC1" s="25" t="s">
        <v>846</v>
      </c>
      <c r="AD1" s="25" t="s">
        <v>858</v>
      </c>
      <c r="AE1" s="25" t="s">
        <v>728</v>
      </c>
    </row>
    <row r="2" spans="1:31">
      <c r="A2" s="27" t="s">
        <v>700</v>
      </c>
      <c r="B2" s="16">
        <f>SUMIFS(Table1[Amount],Table1[Customer_ID],B$1,Table1[Month],$A2,Table1[Type],"Purchase")</f>
        <v>0</v>
      </c>
      <c r="C2" s="16">
        <f>SUMIFS(Table1[Amount],Table1[Customer_ID],C$1,Table1[Month],$A2,Table1[Type],"Purchase")</f>
        <v>0</v>
      </c>
      <c r="D2" s="16">
        <f>SUMIFS(Table1[Amount],Table1[Customer_ID],D$1,Table1[Month],$A2,Table1[Type],"Purchase")</f>
        <v>0</v>
      </c>
      <c r="E2" s="16">
        <f>SUMIFS(Table1[Amount],Table1[Customer_ID],E$1,Table1[Month],$A2,Table1[Type],"Purchase")</f>
        <v>0</v>
      </c>
      <c r="F2" s="16">
        <f>SUMIFS(Table1[Amount],Table1[Customer_ID],F$1,Table1[Month],$A2,Table1[Type],"Purchase")</f>
        <v>0</v>
      </c>
      <c r="G2" s="16">
        <f>SUMIFS(Table1[Amount],Table1[Customer_ID],G$1,Table1[Month],$A2,Table1[Type],"Purchase")</f>
        <v>0</v>
      </c>
      <c r="H2" s="16">
        <f>SUMIFS(Table1[Amount],Table1[Customer_ID],H$1,Table1[Month],$A2,Table1[Type],"Purchase")</f>
        <v>0</v>
      </c>
      <c r="I2" s="16">
        <f>SUMIFS(Table1[Amount],Table1[Customer_ID],I$1,Table1[Month],$A2,Table1[Type],"Purchase")</f>
        <v>0</v>
      </c>
      <c r="J2" s="16">
        <f>SUMIFS(Table1[Amount],Table1[Customer_ID],J$1,Table1[Month],$A2,Table1[Type],"Purchase")</f>
        <v>0</v>
      </c>
      <c r="K2" s="16">
        <f>SUMIFS(Table1[Amount],Table1[Customer_ID],K$1,Table1[Month],$A2,Table1[Type],"Purchase")</f>
        <v>0</v>
      </c>
      <c r="L2" s="16">
        <f>SUMIFS(Table1[Amount],Table1[Customer_ID],L$1,Table1[Month],$A2,Table1[Type],"Purchase")</f>
        <v>0</v>
      </c>
      <c r="M2" s="16">
        <f>SUMIFS(Table1[Amount],Table1[Customer_ID],M$1,Table1[Month],$A2,Table1[Type],"Purchase")</f>
        <v>0</v>
      </c>
      <c r="N2" s="16">
        <f>SUMIFS(Table1[Amount],Table1[Customer_ID],N$1,Table1[Month],$A2,Table1[Type],"Purchase")</f>
        <v>0</v>
      </c>
      <c r="O2" s="16">
        <f>SUMIFS(Table1[Amount],Table1[Customer_ID],O$1,Table1[Month],$A2,Table1[Type],"Purchase")</f>
        <v>0</v>
      </c>
      <c r="P2" s="16">
        <f>SUMIFS(Table1[Amount],Table1[Customer_ID],P$1,Table1[Month],$A2,Table1[Type],"Purchase")</f>
        <v>0</v>
      </c>
      <c r="Q2" s="16">
        <f>SUMIFS(Table1[Amount],Table1[Customer_ID],Q$1,Table1[Month],$A2,Table1[Type],"Purchase")</f>
        <v>0</v>
      </c>
      <c r="R2" s="16">
        <f>SUMIFS(Table1[Amount],Table1[Customer_ID],R$1,Table1[Month],$A2,Table1[Type],"Purchase")</f>
        <v>0</v>
      </c>
      <c r="S2" s="16">
        <f>SUMIFS(Table1[Amount],Table1[Customer_ID],S$1,Table1[Month],$A2,Table1[Type],"Purchase")</f>
        <v>0</v>
      </c>
      <c r="T2" s="16">
        <f>SUMIFS(Table1[Amount],Table1[Customer_ID],T$1,Table1[Month],$A2,Table1[Type],"Purchase")</f>
        <v>0</v>
      </c>
      <c r="U2" s="16">
        <f>SUMIFS(Table1[Amount],Table1[Customer_ID],U$1,Table1[Month],$A2,Table1[Type],"Purchase")</f>
        <v>0</v>
      </c>
      <c r="V2" s="16">
        <f>SUMIFS(Table1[Amount],Table1[Customer_ID],V$1,Table1[Month],$A2,Table1[Type],"Purchase")</f>
        <v>0</v>
      </c>
      <c r="W2" s="16">
        <f>SUMIFS(Table1[Amount],Table1[Customer_ID],W$1,Table1[Month],$A2,Table1[Type],"Purchase")</f>
        <v>0</v>
      </c>
      <c r="X2" s="16">
        <f>SUMIFS(Table1[Amount],Table1[Customer_ID],X$1,Table1[Month],$A2,Table1[Type],"Purchase")</f>
        <v>0</v>
      </c>
      <c r="Y2" s="16">
        <f>SUMIFS(Table1[Amount],Table1[Customer_ID],Y$1,Table1[Month],$A2,Table1[Type],"Purchase")</f>
        <v>1132</v>
      </c>
      <c r="Z2" s="16">
        <f>SUMIFS(Table1[Amount],Table1[Customer_ID],Z$1,Table1[Month],$A2,Table1[Type],"Purchase")</f>
        <v>0</v>
      </c>
      <c r="AA2" s="16">
        <f>SUMIFS(Table1[Amount],Table1[Customer_ID],AA$1,Table1[Month],$A2,Table1[Type],"Purchase")</f>
        <v>0</v>
      </c>
      <c r="AB2" s="16">
        <f>SUMIFS(Table1[Amount],Table1[Customer_ID],AB$1,Table1[Month],$A2,Table1[Type],"Purchase")</f>
        <v>0</v>
      </c>
      <c r="AC2" s="16">
        <f>SUMIFS(Table1[Amount],Table1[Customer_ID],AC$1,Table1[Month],$A2,Table1[Type],"Purchase")</f>
        <v>0</v>
      </c>
      <c r="AD2" s="16">
        <f>SUMIFS(Table1[Amount],Table1[Customer_ID],AD$1,Table1[Month],$A2,Table1[Type],"Purchase")</f>
        <v>0</v>
      </c>
      <c r="AE2" s="19">
        <f t="shared" ref="AE2:AE44" si="0">SUM(B2:AD2)</f>
        <v>1132</v>
      </c>
    </row>
    <row r="3" spans="1:31">
      <c r="A3" s="27" t="s">
        <v>701</v>
      </c>
      <c r="B3" s="16">
        <f>SUMIFS(Table1[Amount],Table1[Customer_ID],B$1,Table1[Month],$A3,Table1[Type],"Purchase")</f>
        <v>0</v>
      </c>
      <c r="C3" s="16">
        <f>SUMIFS(Table1[Amount],Table1[Customer_ID],C$1,Table1[Month],$A3,Table1[Type],"Purchase")</f>
        <v>0</v>
      </c>
      <c r="D3" s="16">
        <f>SUMIFS(Table1[Amount],Table1[Customer_ID],D$1,Table1[Month],$A3,Table1[Type],"Purchase")</f>
        <v>0</v>
      </c>
      <c r="E3" s="16">
        <f>SUMIFS(Table1[Amount],Table1[Customer_ID],E$1,Table1[Month],$A3,Table1[Type],"Purchase")</f>
        <v>0</v>
      </c>
      <c r="F3" s="16">
        <f>SUMIFS(Table1[Amount],Table1[Customer_ID],F$1,Table1[Month],$A3,Table1[Type],"Purchase")</f>
        <v>0</v>
      </c>
      <c r="G3" s="16">
        <f>SUMIFS(Table1[Amount],Table1[Customer_ID],G$1,Table1[Month],$A3,Table1[Type],"Purchase")</f>
        <v>0</v>
      </c>
      <c r="H3" s="16">
        <f>SUMIFS(Table1[Amount],Table1[Customer_ID],H$1,Table1[Month],$A3,Table1[Type],"Purchase")</f>
        <v>0</v>
      </c>
      <c r="I3" s="16">
        <f>SUMIFS(Table1[Amount],Table1[Customer_ID],I$1,Table1[Month],$A3,Table1[Type],"Purchase")</f>
        <v>0</v>
      </c>
      <c r="J3" s="16">
        <f>SUMIFS(Table1[Amount],Table1[Customer_ID],J$1,Table1[Month],$A3,Table1[Type],"Purchase")</f>
        <v>0</v>
      </c>
      <c r="K3" s="16">
        <f>SUMIFS(Table1[Amount],Table1[Customer_ID],K$1,Table1[Month],$A3,Table1[Type],"Purchase")</f>
        <v>0</v>
      </c>
      <c r="L3" s="16">
        <f>SUMIFS(Table1[Amount],Table1[Customer_ID],L$1,Table1[Month],$A3,Table1[Type],"Purchase")</f>
        <v>0</v>
      </c>
      <c r="M3" s="16">
        <f>SUMIFS(Table1[Amount],Table1[Customer_ID],M$1,Table1[Month],$A3,Table1[Type],"Purchase")</f>
        <v>0</v>
      </c>
      <c r="N3" s="16">
        <f>SUMIFS(Table1[Amount],Table1[Customer_ID],N$1,Table1[Month],$A3,Table1[Type],"Purchase")</f>
        <v>0</v>
      </c>
      <c r="O3" s="16">
        <f>SUMIFS(Table1[Amount],Table1[Customer_ID],O$1,Table1[Month],$A3,Table1[Type],"Purchase")</f>
        <v>0</v>
      </c>
      <c r="P3" s="16">
        <f>SUMIFS(Table1[Amount],Table1[Customer_ID],P$1,Table1[Month],$A3,Table1[Type],"Purchase")</f>
        <v>0</v>
      </c>
      <c r="Q3" s="16">
        <f>SUMIFS(Table1[Amount],Table1[Customer_ID],Q$1,Table1[Month],$A3,Table1[Type],"Purchase")</f>
        <v>0</v>
      </c>
      <c r="R3" s="16">
        <f>SUMIFS(Table1[Amount],Table1[Customer_ID],R$1,Table1[Month],$A3,Table1[Type],"Purchase")</f>
        <v>0</v>
      </c>
      <c r="S3" s="16">
        <f>SUMIFS(Table1[Amount],Table1[Customer_ID],S$1,Table1[Month],$A3,Table1[Type],"Purchase")</f>
        <v>0</v>
      </c>
      <c r="T3" s="16">
        <f>SUMIFS(Table1[Amount],Table1[Customer_ID],T$1,Table1[Month],$A3,Table1[Type],"Purchase")</f>
        <v>0</v>
      </c>
      <c r="U3" s="16">
        <f>SUMIFS(Table1[Amount],Table1[Customer_ID],U$1,Table1[Month],$A3,Table1[Type],"Purchase")</f>
        <v>0</v>
      </c>
      <c r="V3" s="16">
        <f>SUMIFS(Table1[Amount],Table1[Customer_ID],V$1,Table1[Month],$A3,Table1[Type],"Purchase")</f>
        <v>0</v>
      </c>
      <c r="W3" s="16">
        <f>SUMIFS(Table1[Amount],Table1[Customer_ID],W$1,Table1[Month],$A3,Table1[Type],"Purchase")</f>
        <v>0</v>
      </c>
      <c r="X3" s="16">
        <f>SUMIFS(Table1[Amount],Table1[Customer_ID],X$1,Table1[Month],$A3,Table1[Type],"Purchase")</f>
        <v>0</v>
      </c>
      <c r="Y3" s="16">
        <f>SUMIFS(Table1[Amount],Table1[Customer_ID],Y$1,Table1[Month],$A3,Table1[Type],"Purchase")</f>
        <v>863</v>
      </c>
      <c r="Z3" s="16">
        <f>SUMIFS(Table1[Amount],Table1[Customer_ID],Z$1,Table1[Month],$A3,Table1[Type],"Purchase")</f>
        <v>0</v>
      </c>
      <c r="AA3" s="16">
        <f>SUMIFS(Table1[Amount],Table1[Customer_ID],AA$1,Table1[Month],$A3,Table1[Type],"Purchase")</f>
        <v>0</v>
      </c>
      <c r="AB3" s="16">
        <f>SUMIFS(Table1[Amount],Table1[Customer_ID],AB$1,Table1[Month],$A3,Table1[Type],"Purchase")</f>
        <v>0</v>
      </c>
      <c r="AC3" s="16">
        <f>SUMIFS(Table1[Amount],Table1[Customer_ID],AC$1,Table1[Month],$A3,Table1[Type],"Purchase")</f>
        <v>0</v>
      </c>
      <c r="AD3" s="16">
        <f>SUMIFS(Table1[Amount],Table1[Customer_ID],AD$1,Table1[Month],$A3,Table1[Type],"Purchase")</f>
        <v>0</v>
      </c>
      <c r="AE3" s="19">
        <f t="shared" si="0"/>
        <v>863</v>
      </c>
    </row>
    <row r="4" spans="1:31">
      <c r="A4" s="27" t="s">
        <v>702</v>
      </c>
      <c r="B4" s="16">
        <f>SUMIFS(Table1[Amount],Table1[Customer_ID],B$1,Table1[Month],$A4,Table1[Type],"Purchase")</f>
        <v>0</v>
      </c>
      <c r="C4" s="16">
        <f>SUMIFS(Table1[Amount],Table1[Customer_ID],C$1,Table1[Month],$A4,Table1[Type],"Purchase")</f>
        <v>0</v>
      </c>
      <c r="D4" s="16">
        <f>SUMIFS(Table1[Amount],Table1[Customer_ID],D$1,Table1[Month],$A4,Table1[Type],"Purchase")</f>
        <v>0</v>
      </c>
      <c r="E4" s="16">
        <f>SUMIFS(Table1[Amount],Table1[Customer_ID],E$1,Table1[Month],$A4,Table1[Type],"Purchase")</f>
        <v>0</v>
      </c>
      <c r="F4" s="16">
        <f>SUMIFS(Table1[Amount],Table1[Customer_ID],F$1,Table1[Month],$A4,Table1[Type],"Purchase")</f>
        <v>0</v>
      </c>
      <c r="G4" s="16">
        <f>SUMIFS(Table1[Amount],Table1[Customer_ID],G$1,Table1[Month],$A4,Table1[Type],"Purchase")</f>
        <v>0</v>
      </c>
      <c r="H4" s="16">
        <f>SUMIFS(Table1[Amount],Table1[Customer_ID],H$1,Table1[Month],$A4,Table1[Type],"Purchase")</f>
        <v>0</v>
      </c>
      <c r="I4" s="16">
        <f>SUMIFS(Table1[Amount],Table1[Customer_ID],I$1,Table1[Month],$A4,Table1[Type],"Purchase")</f>
        <v>0</v>
      </c>
      <c r="J4" s="16">
        <f>SUMIFS(Table1[Amount],Table1[Customer_ID],J$1,Table1[Month],$A4,Table1[Type],"Purchase")</f>
        <v>0</v>
      </c>
      <c r="K4" s="16">
        <f>SUMIFS(Table1[Amount],Table1[Customer_ID],K$1,Table1[Month],$A4,Table1[Type],"Purchase")</f>
        <v>0</v>
      </c>
      <c r="L4" s="16">
        <f>SUMIFS(Table1[Amount],Table1[Customer_ID],L$1,Table1[Month],$A4,Table1[Type],"Purchase")</f>
        <v>0</v>
      </c>
      <c r="M4" s="16">
        <f>SUMIFS(Table1[Amount],Table1[Customer_ID],M$1,Table1[Month],$A4,Table1[Type],"Purchase")</f>
        <v>0</v>
      </c>
      <c r="N4" s="16">
        <f>SUMIFS(Table1[Amount],Table1[Customer_ID],N$1,Table1[Month],$A4,Table1[Type],"Purchase")</f>
        <v>0</v>
      </c>
      <c r="O4" s="16">
        <f>SUMIFS(Table1[Amount],Table1[Customer_ID],O$1,Table1[Month],$A4,Table1[Type],"Purchase")</f>
        <v>0</v>
      </c>
      <c r="P4" s="16">
        <f>SUMIFS(Table1[Amount],Table1[Customer_ID],P$1,Table1[Month],$A4,Table1[Type],"Purchase")</f>
        <v>0</v>
      </c>
      <c r="Q4" s="16">
        <f>SUMIFS(Table1[Amount],Table1[Customer_ID],Q$1,Table1[Month],$A4,Table1[Type],"Purchase")</f>
        <v>0</v>
      </c>
      <c r="R4" s="16">
        <f>SUMIFS(Table1[Amount],Table1[Customer_ID],R$1,Table1[Month],$A4,Table1[Type],"Purchase")</f>
        <v>0</v>
      </c>
      <c r="S4" s="16">
        <f>SUMIFS(Table1[Amount],Table1[Customer_ID],S$1,Table1[Month],$A4,Table1[Type],"Purchase")</f>
        <v>0</v>
      </c>
      <c r="T4" s="16">
        <f>SUMIFS(Table1[Amount],Table1[Customer_ID],T$1,Table1[Month],$A4,Table1[Type],"Purchase")</f>
        <v>0</v>
      </c>
      <c r="U4" s="16">
        <f>SUMIFS(Table1[Amount],Table1[Customer_ID],U$1,Table1[Month],$A4,Table1[Type],"Purchase")</f>
        <v>0</v>
      </c>
      <c r="V4" s="16">
        <f>SUMIFS(Table1[Amount],Table1[Customer_ID],V$1,Table1[Month],$A4,Table1[Type],"Purchase")</f>
        <v>0</v>
      </c>
      <c r="W4" s="16">
        <f>SUMIFS(Table1[Amount],Table1[Customer_ID],W$1,Table1[Month],$A4,Table1[Type],"Purchase")</f>
        <v>0</v>
      </c>
      <c r="X4" s="16">
        <f>SUMIFS(Table1[Amount],Table1[Customer_ID],X$1,Table1[Month],$A4,Table1[Type],"Purchase")</f>
        <v>0</v>
      </c>
      <c r="Y4" s="16">
        <f>SUMIFS(Table1[Amount],Table1[Customer_ID],Y$1,Table1[Month],$A4,Table1[Type],"Purchase")</f>
        <v>911</v>
      </c>
      <c r="Z4" s="16">
        <f>SUMIFS(Table1[Amount],Table1[Customer_ID],Z$1,Table1[Month],$A4,Table1[Type],"Purchase")</f>
        <v>0</v>
      </c>
      <c r="AA4" s="16">
        <f>SUMIFS(Table1[Amount],Table1[Customer_ID],AA$1,Table1[Month],$A4,Table1[Type],"Purchase")</f>
        <v>0</v>
      </c>
      <c r="AB4" s="16">
        <f>SUMIFS(Table1[Amount],Table1[Customer_ID],AB$1,Table1[Month],$A4,Table1[Type],"Purchase")</f>
        <v>0</v>
      </c>
      <c r="AC4" s="16">
        <f>SUMIFS(Table1[Amount],Table1[Customer_ID],AC$1,Table1[Month],$A4,Table1[Type],"Purchase")</f>
        <v>0</v>
      </c>
      <c r="AD4" s="16">
        <f>SUMIFS(Table1[Amount],Table1[Customer_ID],AD$1,Table1[Month],$A4,Table1[Type],"Purchase")</f>
        <v>0</v>
      </c>
      <c r="AE4" s="19">
        <f t="shared" si="0"/>
        <v>911</v>
      </c>
    </row>
    <row r="5" spans="1:31">
      <c r="A5" s="27" t="s">
        <v>703</v>
      </c>
      <c r="B5" s="16">
        <f>SUMIFS(Table1[Amount],Table1[Customer_ID],B$1,Table1[Month],$A5,Table1[Type],"Purchase")</f>
        <v>0</v>
      </c>
      <c r="C5" s="16">
        <f>SUMIFS(Table1[Amount],Table1[Customer_ID],C$1,Table1[Month],$A5,Table1[Type],"Purchase")</f>
        <v>0</v>
      </c>
      <c r="D5" s="16">
        <f>SUMIFS(Table1[Amount],Table1[Customer_ID],D$1,Table1[Month],$A5,Table1[Type],"Purchase")</f>
        <v>0</v>
      </c>
      <c r="E5" s="16">
        <f>SUMIFS(Table1[Amount],Table1[Customer_ID],E$1,Table1[Month],$A5,Table1[Type],"Purchase")</f>
        <v>0</v>
      </c>
      <c r="F5" s="16">
        <f>SUMIFS(Table1[Amount],Table1[Customer_ID],F$1,Table1[Month],$A5,Table1[Type],"Purchase")</f>
        <v>0</v>
      </c>
      <c r="G5" s="16">
        <f>SUMIFS(Table1[Amount],Table1[Customer_ID],G$1,Table1[Month],$A5,Table1[Type],"Purchase")</f>
        <v>0</v>
      </c>
      <c r="H5" s="16">
        <f>SUMIFS(Table1[Amount],Table1[Customer_ID],H$1,Table1[Month],$A5,Table1[Type],"Purchase")</f>
        <v>0</v>
      </c>
      <c r="I5" s="16">
        <f>SUMIFS(Table1[Amount],Table1[Customer_ID],I$1,Table1[Month],$A5,Table1[Type],"Purchase")</f>
        <v>0</v>
      </c>
      <c r="J5" s="16">
        <f>SUMIFS(Table1[Amount],Table1[Customer_ID],J$1,Table1[Month],$A5,Table1[Type],"Purchase")</f>
        <v>0</v>
      </c>
      <c r="K5" s="16">
        <f>SUMIFS(Table1[Amount],Table1[Customer_ID],K$1,Table1[Month],$A5,Table1[Type],"Purchase")</f>
        <v>0</v>
      </c>
      <c r="L5" s="16">
        <f>SUMIFS(Table1[Amount],Table1[Customer_ID],L$1,Table1[Month],$A5,Table1[Type],"Purchase")</f>
        <v>0</v>
      </c>
      <c r="M5" s="16">
        <f>SUMIFS(Table1[Amount],Table1[Customer_ID],M$1,Table1[Month],$A5,Table1[Type],"Purchase")</f>
        <v>0</v>
      </c>
      <c r="N5" s="16">
        <f>SUMIFS(Table1[Amount],Table1[Customer_ID],N$1,Table1[Month],$A5,Table1[Type],"Purchase")</f>
        <v>0</v>
      </c>
      <c r="O5" s="16">
        <f>SUMIFS(Table1[Amount],Table1[Customer_ID],O$1,Table1[Month],$A5,Table1[Type],"Purchase")</f>
        <v>0</v>
      </c>
      <c r="P5" s="16">
        <f>SUMIFS(Table1[Amount],Table1[Customer_ID],P$1,Table1[Month],$A5,Table1[Type],"Purchase")</f>
        <v>0</v>
      </c>
      <c r="Q5" s="16">
        <f>SUMIFS(Table1[Amount],Table1[Customer_ID],Q$1,Table1[Month],$A5,Table1[Type],"Purchase")</f>
        <v>0</v>
      </c>
      <c r="R5" s="16">
        <f>SUMIFS(Table1[Amount],Table1[Customer_ID],R$1,Table1[Month],$A5,Table1[Type],"Purchase")</f>
        <v>0</v>
      </c>
      <c r="S5" s="16">
        <f>SUMIFS(Table1[Amount],Table1[Customer_ID],S$1,Table1[Month],$A5,Table1[Type],"Purchase")</f>
        <v>0</v>
      </c>
      <c r="T5" s="16">
        <f>SUMIFS(Table1[Amount],Table1[Customer_ID],T$1,Table1[Month],$A5,Table1[Type],"Purchase")</f>
        <v>0</v>
      </c>
      <c r="U5" s="16">
        <f>SUMIFS(Table1[Amount],Table1[Customer_ID],U$1,Table1[Month],$A5,Table1[Type],"Purchase")</f>
        <v>0</v>
      </c>
      <c r="V5" s="16">
        <f>SUMIFS(Table1[Amount],Table1[Customer_ID],V$1,Table1[Month],$A5,Table1[Type],"Purchase")</f>
        <v>0</v>
      </c>
      <c r="W5" s="16">
        <f>SUMIFS(Table1[Amount],Table1[Customer_ID],W$1,Table1[Month],$A5,Table1[Type],"Purchase")</f>
        <v>0</v>
      </c>
      <c r="X5" s="16">
        <f>SUMIFS(Table1[Amount],Table1[Customer_ID],X$1,Table1[Month],$A5,Table1[Type],"Purchase")</f>
        <v>0</v>
      </c>
      <c r="Y5" s="16">
        <f>SUMIFS(Table1[Amount],Table1[Customer_ID],Y$1,Table1[Month],$A5,Table1[Type],"Purchase")</f>
        <v>0</v>
      </c>
      <c r="Z5" s="16">
        <f>SUMIFS(Table1[Amount],Table1[Customer_ID],Z$1,Table1[Month],$A5,Table1[Type],"Purchase")</f>
        <v>0</v>
      </c>
      <c r="AA5" s="16">
        <f>SUMIFS(Table1[Amount],Table1[Customer_ID],AA$1,Table1[Month],$A5,Table1[Type],"Purchase")</f>
        <v>0</v>
      </c>
      <c r="AB5" s="16">
        <f>SUMIFS(Table1[Amount],Table1[Customer_ID],AB$1,Table1[Month],$A5,Table1[Type],"Purchase")</f>
        <v>0</v>
      </c>
      <c r="AC5" s="16">
        <f>SUMIFS(Table1[Amount],Table1[Customer_ID],AC$1,Table1[Month],$A5,Table1[Type],"Purchase")</f>
        <v>0</v>
      </c>
      <c r="AD5" s="16">
        <f>SUMIFS(Table1[Amount],Table1[Customer_ID],AD$1,Table1[Month],$A5,Table1[Type],"Purchase")</f>
        <v>0</v>
      </c>
      <c r="AE5" s="19">
        <f t="shared" si="0"/>
        <v>0</v>
      </c>
    </row>
    <row r="6" spans="1:31">
      <c r="A6" s="27" t="s">
        <v>704</v>
      </c>
      <c r="B6" s="16">
        <f>SUMIFS(Table1[Amount],Table1[Customer_ID],B$1,Table1[Month],$A6,Table1[Type],"Purchase")</f>
        <v>0</v>
      </c>
      <c r="C6" s="16">
        <f>SUMIFS(Table1[Amount],Table1[Customer_ID],C$1,Table1[Month],$A6,Table1[Type],"Purchase")</f>
        <v>0</v>
      </c>
      <c r="D6" s="16">
        <f>SUMIFS(Table1[Amount],Table1[Customer_ID],D$1,Table1[Month],$A6,Table1[Type],"Purchase")</f>
        <v>0</v>
      </c>
      <c r="E6" s="16">
        <f>SUMIFS(Table1[Amount],Table1[Customer_ID],E$1,Table1[Month],$A6,Table1[Type],"Purchase")</f>
        <v>0</v>
      </c>
      <c r="F6" s="16">
        <f>SUMIFS(Table1[Amount],Table1[Customer_ID],F$1,Table1[Month],$A6,Table1[Type],"Purchase")</f>
        <v>0</v>
      </c>
      <c r="G6" s="16">
        <f>SUMIFS(Table1[Amount],Table1[Customer_ID],G$1,Table1[Month],$A6,Table1[Type],"Purchase")</f>
        <v>0</v>
      </c>
      <c r="H6" s="16">
        <f>SUMIFS(Table1[Amount],Table1[Customer_ID],H$1,Table1[Month],$A6,Table1[Type],"Purchase")</f>
        <v>0</v>
      </c>
      <c r="I6" s="16">
        <f>SUMIFS(Table1[Amount],Table1[Customer_ID],I$1,Table1[Month],$A6,Table1[Type],"Purchase")</f>
        <v>0</v>
      </c>
      <c r="J6" s="16">
        <f>SUMIFS(Table1[Amount],Table1[Customer_ID],J$1,Table1[Month],$A6,Table1[Type],"Purchase")</f>
        <v>0</v>
      </c>
      <c r="K6" s="16">
        <f>SUMIFS(Table1[Amount],Table1[Customer_ID],K$1,Table1[Month],$A6,Table1[Type],"Purchase")</f>
        <v>0</v>
      </c>
      <c r="L6" s="16">
        <f>SUMIFS(Table1[Amount],Table1[Customer_ID],L$1,Table1[Month],$A6,Table1[Type],"Purchase")</f>
        <v>0</v>
      </c>
      <c r="M6" s="16">
        <f>SUMIFS(Table1[Amount],Table1[Customer_ID],M$1,Table1[Month],$A6,Table1[Type],"Purchase")</f>
        <v>0</v>
      </c>
      <c r="N6" s="16">
        <f>SUMIFS(Table1[Amount],Table1[Customer_ID],N$1,Table1[Month],$A6,Table1[Type],"Purchase")</f>
        <v>0</v>
      </c>
      <c r="O6" s="16">
        <f>SUMIFS(Table1[Amount],Table1[Customer_ID],O$1,Table1[Month],$A6,Table1[Type],"Purchase")</f>
        <v>0</v>
      </c>
      <c r="P6" s="16">
        <f>SUMIFS(Table1[Amount],Table1[Customer_ID],P$1,Table1[Month],$A6,Table1[Type],"Purchase")</f>
        <v>0</v>
      </c>
      <c r="Q6" s="16">
        <f>SUMIFS(Table1[Amount],Table1[Customer_ID],Q$1,Table1[Month],$A6,Table1[Type],"Purchase")</f>
        <v>0</v>
      </c>
      <c r="R6" s="16">
        <f>SUMIFS(Table1[Amount],Table1[Customer_ID],R$1,Table1[Month],$A6,Table1[Type],"Purchase")</f>
        <v>0</v>
      </c>
      <c r="S6" s="16">
        <f>SUMIFS(Table1[Amount],Table1[Customer_ID],S$1,Table1[Month],$A6,Table1[Type],"Purchase")</f>
        <v>0</v>
      </c>
      <c r="T6" s="16">
        <f>SUMIFS(Table1[Amount],Table1[Customer_ID],T$1,Table1[Month],$A6,Table1[Type],"Purchase")</f>
        <v>0</v>
      </c>
      <c r="U6" s="16">
        <f>SUMIFS(Table1[Amount],Table1[Customer_ID],U$1,Table1[Month],$A6,Table1[Type],"Purchase")</f>
        <v>0</v>
      </c>
      <c r="V6" s="16">
        <f>SUMIFS(Table1[Amount],Table1[Customer_ID],V$1,Table1[Month],$A6,Table1[Type],"Purchase")</f>
        <v>0</v>
      </c>
      <c r="W6" s="16">
        <f>SUMIFS(Table1[Amount],Table1[Customer_ID],W$1,Table1[Month],$A6,Table1[Type],"Purchase")</f>
        <v>0</v>
      </c>
      <c r="X6" s="16">
        <f>SUMIFS(Table1[Amount],Table1[Customer_ID],X$1,Table1[Month],$A6,Table1[Type],"Purchase")</f>
        <v>0</v>
      </c>
      <c r="Y6" s="16">
        <f>SUMIFS(Table1[Amount],Table1[Customer_ID],Y$1,Table1[Month],$A6,Table1[Type],"Purchase")</f>
        <v>3694</v>
      </c>
      <c r="Z6" s="16">
        <f>SUMIFS(Table1[Amount],Table1[Customer_ID],Z$1,Table1[Month],$A6,Table1[Type],"Purchase")</f>
        <v>0</v>
      </c>
      <c r="AA6" s="16">
        <f>SUMIFS(Table1[Amount],Table1[Customer_ID],AA$1,Table1[Month],$A6,Table1[Type],"Purchase")</f>
        <v>0</v>
      </c>
      <c r="AB6" s="16">
        <f>SUMIFS(Table1[Amount],Table1[Customer_ID],AB$1,Table1[Month],$A6,Table1[Type],"Purchase")</f>
        <v>0</v>
      </c>
      <c r="AC6" s="16">
        <f>SUMIFS(Table1[Amount],Table1[Customer_ID],AC$1,Table1[Month],$A6,Table1[Type],"Purchase")</f>
        <v>0</v>
      </c>
      <c r="AD6" s="16">
        <f>SUMIFS(Table1[Amount],Table1[Customer_ID],AD$1,Table1[Month],$A6,Table1[Type],"Purchase")</f>
        <v>0</v>
      </c>
      <c r="AE6" s="19">
        <f t="shared" si="0"/>
        <v>3694</v>
      </c>
    </row>
    <row r="7" spans="1:31">
      <c r="A7" s="27" t="s">
        <v>705</v>
      </c>
      <c r="B7" s="16">
        <f>SUMIFS(Table1[Amount],Table1[Customer_ID],B$1,Table1[Month],$A7,Table1[Type],"Purchase")</f>
        <v>0</v>
      </c>
      <c r="C7" s="16">
        <f>SUMIFS(Table1[Amount],Table1[Customer_ID],C$1,Table1[Month],$A7,Table1[Type],"Purchase")</f>
        <v>0</v>
      </c>
      <c r="D7" s="16">
        <f>SUMIFS(Table1[Amount],Table1[Customer_ID],D$1,Table1[Month],$A7,Table1[Type],"Purchase")</f>
        <v>0</v>
      </c>
      <c r="E7" s="16">
        <f>SUMIFS(Table1[Amount],Table1[Customer_ID],E$1,Table1[Month],$A7,Table1[Type],"Purchase")</f>
        <v>0</v>
      </c>
      <c r="F7" s="16">
        <f>SUMIFS(Table1[Amount],Table1[Customer_ID],F$1,Table1[Month],$A7,Table1[Type],"Purchase")</f>
        <v>0</v>
      </c>
      <c r="G7" s="16">
        <f>SUMIFS(Table1[Amount],Table1[Customer_ID],G$1,Table1[Month],$A7,Table1[Type],"Purchase")</f>
        <v>0</v>
      </c>
      <c r="H7" s="16">
        <f>SUMIFS(Table1[Amount],Table1[Customer_ID],H$1,Table1[Month],$A7,Table1[Type],"Purchase")</f>
        <v>0</v>
      </c>
      <c r="I7" s="16">
        <f>SUMIFS(Table1[Amount],Table1[Customer_ID],I$1,Table1[Month],$A7,Table1[Type],"Purchase")</f>
        <v>0</v>
      </c>
      <c r="J7" s="16">
        <f>SUMIFS(Table1[Amount],Table1[Customer_ID],J$1,Table1[Month],$A7,Table1[Type],"Purchase")</f>
        <v>0</v>
      </c>
      <c r="K7" s="16">
        <f>SUMIFS(Table1[Amount],Table1[Customer_ID],K$1,Table1[Month],$A7,Table1[Type],"Purchase")</f>
        <v>0</v>
      </c>
      <c r="L7" s="16">
        <f>SUMIFS(Table1[Amount],Table1[Customer_ID],L$1,Table1[Month],$A7,Table1[Type],"Purchase")</f>
        <v>0</v>
      </c>
      <c r="M7" s="16">
        <f>SUMIFS(Table1[Amount],Table1[Customer_ID],M$1,Table1[Month],$A7,Table1[Type],"Purchase")</f>
        <v>0</v>
      </c>
      <c r="N7" s="16">
        <f>SUMIFS(Table1[Amount],Table1[Customer_ID],N$1,Table1[Month],$A7,Table1[Type],"Purchase")</f>
        <v>0</v>
      </c>
      <c r="O7" s="16">
        <f>SUMIFS(Table1[Amount],Table1[Customer_ID],O$1,Table1[Month],$A7,Table1[Type],"Purchase")</f>
        <v>0</v>
      </c>
      <c r="P7" s="16">
        <f>SUMIFS(Table1[Amount],Table1[Customer_ID],P$1,Table1[Month],$A7,Table1[Type],"Purchase")</f>
        <v>0</v>
      </c>
      <c r="Q7" s="16">
        <f>SUMIFS(Table1[Amount],Table1[Customer_ID],Q$1,Table1[Month],$A7,Table1[Type],"Purchase")</f>
        <v>0</v>
      </c>
      <c r="R7" s="16">
        <f>SUMIFS(Table1[Amount],Table1[Customer_ID],R$1,Table1[Month],$A7,Table1[Type],"Purchase")</f>
        <v>0</v>
      </c>
      <c r="S7" s="16">
        <f>SUMIFS(Table1[Amount],Table1[Customer_ID],S$1,Table1[Month],$A7,Table1[Type],"Purchase")</f>
        <v>0</v>
      </c>
      <c r="T7" s="16">
        <f>SUMIFS(Table1[Amount],Table1[Customer_ID],T$1,Table1[Month],$A7,Table1[Type],"Purchase")</f>
        <v>0</v>
      </c>
      <c r="U7" s="16">
        <f>SUMIFS(Table1[Amount],Table1[Customer_ID],U$1,Table1[Month],$A7,Table1[Type],"Purchase")</f>
        <v>0</v>
      </c>
      <c r="V7" s="16">
        <f>SUMIFS(Table1[Amount],Table1[Customer_ID],V$1,Table1[Month],$A7,Table1[Type],"Purchase")</f>
        <v>0</v>
      </c>
      <c r="W7" s="16">
        <f>SUMIFS(Table1[Amount],Table1[Customer_ID],W$1,Table1[Month],$A7,Table1[Type],"Purchase")</f>
        <v>0</v>
      </c>
      <c r="X7" s="16">
        <f>SUMIFS(Table1[Amount],Table1[Customer_ID],X$1,Table1[Month],$A7,Table1[Type],"Purchase")</f>
        <v>0</v>
      </c>
      <c r="Y7" s="16">
        <f>SUMIFS(Table1[Amount],Table1[Customer_ID],Y$1,Table1[Month],$A7,Table1[Type],"Purchase")</f>
        <v>1927</v>
      </c>
      <c r="Z7" s="16">
        <f>SUMIFS(Table1[Amount],Table1[Customer_ID],Z$1,Table1[Month],$A7,Table1[Type],"Purchase")</f>
        <v>0</v>
      </c>
      <c r="AA7" s="16">
        <f>SUMIFS(Table1[Amount],Table1[Customer_ID],AA$1,Table1[Month],$A7,Table1[Type],"Purchase")</f>
        <v>0</v>
      </c>
      <c r="AB7" s="16">
        <f>SUMIFS(Table1[Amount],Table1[Customer_ID],AB$1,Table1[Month],$A7,Table1[Type],"Purchase")</f>
        <v>0</v>
      </c>
      <c r="AC7" s="16">
        <f>SUMIFS(Table1[Amount],Table1[Customer_ID],AC$1,Table1[Month],$A7,Table1[Type],"Purchase")</f>
        <v>0</v>
      </c>
      <c r="AD7" s="16">
        <f>SUMIFS(Table1[Amount],Table1[Customer_ID],AD$1,Table1[Month],$A7,Table1[Type],"Purchase")</f>
        <v>0</v>
      </c>
      <c r="AE7" s="19">
        <f t="shared" si="0"/>
        <v>1927</v>
      </c>
    </row>
    <row r="8" spans="1:31">
      <c r="A8" s="27" t="s">
        <v>706</v>
      </c>
      <c r="B8" s="16">
        <f>SUMIFS(Table1[Amount],Table1[Customer_ID],B$1,Table1[Month],$A8,Table1[Type],"Purchase")</f>
        <v>0</v>
      </c>
      <c r="C8" s="16">
        <f>SUMIFS(Table1[Amount],Table1[Customer_ID],C$1,Table1[Month],$A8,Table1[Type],"Purchase")</f>
        <v>0</v>
      </c>
      <c r="D8" s="16">
        <f>SUMIFS(Table1[Amount],Table1[Customer_ID],D$1,Table1[Month],$A8,Table1[Type],"Purchase")</f>
        <v>0</v>
      </c>
      <c r="E8" s="16">
        <f>SUMIFS(Table1[Amount],Table1[Customer_ID],E$1,Table1[Month],$A8,Table1[Type],"Purchase")</f>
        <v>0</v>
      </c>
      <c r="F8" s="16">
        <f>SUMIFS(Table1[Amount],Table1[Customer_ID],F$1,Table1[Month],$A8,Table1[Type],"Purchase")</f>
        <v>0</v>
      </c>
      <c r="G8" s="16">
        <f>SUMIFS(Table1[Amount],Table1[Customer_ID],G$1,Table1[Month],$A8,Table1[Type],"Purchase")</f>
        <v>0</v>
      </c>
      <c r="H8" s="16">
        <f>SUMIFS(Table1[Amount],Table1[Customer_ID],H$1,Table1[Month],$A8,Table1[Type],"Purchase")</f>
        <v>0</v>
      </c>
      <c r="I8" s="16">
        <f>SUMIFS(Table1[Amount],Table1[Customer_ID],I$1,Table1[Month],$A8,Table1[Type],"Purchase")</f>
        <v>0</v>
      </c>
      <c r="J8" s="16">
        <f>SUMIFS(Table1[Amount],Table1[Customer_ID],J$1,Table1[Month],$A8,Table1[Type],"Purchase")</f>
        <v>0</v>
      </c>
      <c r="K8" s="16">
        <f>SUMIFS(Table1[Amount],Table1[Customer_ID],K$1,Table1[Month],$A8,Table1[Type],"Purchase")</f>
        <v>0</v>
      </c>
      <c r="L8" s="16">
        <f>SUMIFS(Table1[Amount],Table1[Customer_ID],L$1,Table1[Month],$A8,Table1[Type],"Purchase")</f>
        <v>0</v>
      </c>
      <c r="M8" s="16">
        <f>SUMIFS(Table1[Amount],Table1[Customer_ID],M$1,Table1[Month],$A8,Table1[Type],"Purchase")</f>
        <v>0</v>
      </c>
      <c r="N8" s="16">
        <f>SUMIFS(Table1[Amount],Table1[Customer_ID],N$1,Table1[Month],$A8,Table1[Type],"Purchase")</f>
        <v>0</v>
      </c>
      <c r="O8" s="16">
        <f>SUMIFS(Table1[Amount],Table1[Customer_ID],O$1,Table1[Month],$A8,Table1[Type],"Purchase")</f>
        <v>0</v>
      </c>
      <c r="P8" s="16">
        <f>SUMIFS(Table1[Amount],Table1[Customer_ID],P$1,Table1[Month],$A8,Table1[Type],"Purchase")</f>
        <v>0</v>
      </c>
      <c r="Q8" s="16">
        <f>SUMIFS(Table1[Amount],Table1[Customer_ID],Q$1,Table1[Month],$A8,Table1[Type],"Purchase")</f>
        <v>0</v>
      </c>
      <c r="R8" s="16">
        <f>SUMIFS(Table1[Amount],Table1[Customer_ID],R$1,Table1[Month],$A8,Table1[Type],"Purchase")</f>
        <v>0</v>
      </c>
      <c r="S8" s="16">
        <f>SUMIFS(Table1[Amount],Table1[Customer_ID],S$1,Table1[Month],$A8,Table1[Type],"Purchase")</f>
        <v>0</v>
      </c>
      <c r="T8" s="16">
        <f>SUMIFS(Table1[Amount],Table1[Customer_ID],T$1,Table1[Month],$A8,Table1[Type],"Purchase")</f>
        <v>0</v>
      </c>
      <c r="U8" s="16">
        <f>SUMIFS(Table1[Amount],Table1[Customer_ID],U$1,Table1[Month],$A8,Table1[Type],"Purchase")</f>
        <v>0</v>
      </c>
      <c r="V8" s="16">
        <f>SUMIFS(Table1[Amount],Table1[Customer_ID],V$1,Table1[Month],$A8,Table1[Type],"Purchase")</f>
        <v>0</v>
      </c>
      <c r="W8" s="16">
        <f>SUMIFS(Table1[Amount],Table1[Customer_ID],W$1,Table1[Month],$A8,Table1[Type],"Purchase")</f>
        <v>0</v>
      </c>
      <c r="X8" s="16">
        <f>SUMIFS(Table1[Amount],Table1[Customer_ID],X$1,Table1[Month],$A8,Table1[Type],"Purchase")</f>
        <v>0</v>
      </c>
      <c r="Y8" s="16">
        <f>SUMIFS(Table1[Amount],Table1[Customer_ID],Y$1,Table1[Month],$A8,Table1[Type],"Purchase")</f>
        <v>3703</v>
      </c>
      <c r="Z8" s="16">
        <f>SUMIFS(Table1[Amount],Table1[Customer_ID],Z$1,Table1[Month],$A8,Table1[Type],"Purchase")</f>
        <v>0</v>
      </c>
      <c r="AA8" s="16">
        <f>SUMIFS(Table1[Amount],Table1[Customer_ID],AA$1,Table1[Month],$A8,Table1[Type],"Purchase")</f>
        <v>0</v>
      </c>
      <c r="AB8" s="16">
        <f>SUMIFS(Table1[Amount],Table1[Customer_ID],AB$1,Table1[Month],$A8,Table1[Type],"Purchase")</f>
        <v>0</v>
      </c>
      <c r="AC8" s="16">
        <f>SUMIFS(Table1[Amount],Table1[Customer_ID],AC$1,Table1[Month],$A8,Table1[Type],"Purchase")</f>
        <v>0</v>
      </c>
      <c r="AD8" s="16">
        <f>SUMIFS(Table1[Amount],Table1[Customer_ID],AD$1,Table1[Month],$A8,Table1[Type],"Purchase")</f>
        <v>0</v>
      </c>
      <c r="AE8" s="19">
        <f t="shared" si="0"/>
        <v>3703</v>
      </c>
    </row>
    <row r="9" spans="1:31">
      <c r="A9" s="27" t="s">
        <v>707</v>
      </c>
      <c r="B9" s="16">
        <f>SUMIFS(Table1[Amount],Table1[Customer_ID],B$1,Table1[Month],$A9,Table1[Type],"Purchase")</f>
        <v>0</v>
      </c>
      <c r="C9" s="16">
        <f>SUMIFS(Table1[Amount],Table1[Customer_ID],C$1,Table1[Month],$A9,Table1[Type],"Purchase")</f>
        <v>0</v>
      </c>
      <c r="D9" s="16">
        <f>SUMIFS(Table1[Amount],Table1[Customer_ID],D$1,Table1[Month],$A9,Table1[Type],"Purchase")</f>
        <v>0</v>
      </c>
      <c r="E9" s="16">
        <f>SUMIFS(Table1[Amount],Table1[Customer_ID],E$1,Table1[Month],$A9,Table1[Type],"Purchase")</f>
        <v>0</v>
      </c>
      <c r="F9" s="16">
        <f>SUMIFS(Table1[Amount],Table1[Customer_ID],F$1,Table1[Month],$A9,Table1[Type],"Purchase")</f>
        <v>0</v>
      </c>
      <c r="G9" s="16">
        <f>SUMIFS(Table1[Amount],Table1[Customer_ID],G$1,Table1[Month],$A9,Table1[Type],"Purchase")</f>
        <v>0</v>
      </c>
      <c r="H9" s="16">
        <f>SUMIFS(Table1[Amount],Table1[Customer_ID],H$1,Table1[Month],$A9,Table1[Type],"Purchase")</f>
        <v>0</v>
      </c>
      <c r="I9" s="16">
        <f>SUMIFS(Table1[Amount],Table1[Customer_ID],I$1,Table1[Month],$A9,Table1[Type],"Purchase")</f>
        <v>0</v>
      </c>
      <c r="J9" s="16">
        <f>SUMIFS(Table1[Amount],Table1[Customer_ID],J$1,Table1[Month],$A9,Table1[Type],"Purchase")</f>
        <v>0</v>
      </c>
      <c r="K9" s="16">
        <f>SUMIFS(Table1[Amount],Table1[Customer_ID],K$1,Table1[Month],$A9,Table1[Type],"Purchase")</f>
        <v>0</v>
      </c>
      <c r="L9" s="16">
        <f>SUMIFS(Table1[Amount],Table1[Customer_ID],L$1,Table1[Month],$A9,Table1[Type],"Purchase")</f>
        <v>0</v>
      </c>
      <c r="M9" s="16">
        <f>SUMIFS(Table1[Amount],Table1[Customer_ID],M$1,Table1[Month],$A9,Table1[Type],"Purchase")</f>
        <v>0</v>
      </c>
      <c r="N9" s="16">
        <f>SUMIFS(Table1[Amount],Table1[Customer_ID],N$1,Table1[Month],$A9,Table1[Type],"Purchase")</f>
        <v>0</v>
      </c>
      <c r="O9" s="16">
        <f>SUMIFS(Table1[Amount],Table1[Customer_ID],O$1,Table1[Month],$A9,Table1[Type],"Purchase")</f>
        <v>0</v>
      </c>
      <c r="P9" s="16">
        <f>SUMIFS(Table1[Amount],Table1[Customer_ID],P$1,Table1[Month],$A9,Table1[Type],"Purchase")</f>
        <v>0</v>
      </c>
      <c r="Q9" s="16">
        <f>SUMIFS(Table1[Amount],Table1[Customer_ID],Q$1,Table1[Month],$A9,Table1[Type],"Purchase")</f>
        <v>0</v>
      </c>
      <c r="R9" s="16">
        <f>SUMIFS(Table1[Amount],Table1[Customer_ID],R$1,Table1[Month],$A9,Table1[Type],"Purchase")</f>
        <v>0</v>
      </c>
      <c r="S9" s="16">
        <f>SUMIFS(Table1[Amount],Table1[Customer_ID],S$1,Table1[Month],$A9,Table1[Type],"Purchase")</f>
        <v>0</v>
      </c>
      <c r="T9" s="16">
        <f>SUMIFS(Table1[Amount],Table1[Customer_ID],T$1,Table1[Month],$A9,Table1[Type],"Purchase")</f>
        <v>0</v>
      </c>
      <c r="U9" s="16">
        <f>SUMIFS(Table1[Amount],Table1[Customer_ID],U$1,Table1[Month],$A9,Table1[Type],"Purchase")</f>
        <v>0</v>
      </c>
      <c r="V9" s="16">
        <f>SUMIFS(Table1[Amount],Table1[Customer_ID],V$1,Table1[Month],$A9,Table1[Type],"Purchase")</f>
        <v>0</v>
      </c>
      <c r="W9" s="16">
        <f>SUMIFS(Table1[Amount],Table1[Customer_ID],W$1,Table1[Month],$A9,Table1[Type],"Purchase")</f>
        <v>0</v>
      </c>
      <c r="X9" s="16">
        <f>SUMIFS(Table1[Amount],Table1[Customer_ID],X$1,Table1[Month],$A9,Table1[Type],"Purchase")</f>
        <v>0</v>
      </c>
      <c r="Y9" s="16">
        <f>SUMIFS(Table1[Amount],Table1[Customer_ID],Y$1,Table1[Month],$A9,Table1[Type],"Purchase")</f>
        <v>855</v>
      </c>
      <c r="Z9" s="16">
        <f>SUMIFS(Table1[Amount],Table1[Customer_ID],Z$1,Table1[Month],$A9,Table1[Type],"Purchase")</f>
        <v>0</v>
      </c>
      <c r="AA9" s="16">
        <f>SUMIFS(Table1[Amount],Table1[Customer_ID],AA$1,Table1[Month],$A9,Table1[Type],"Purchase")</f>
        <v>0</v>
      </c>
      <c r="AB9" s="16">
        <f>SUMIFS(Table1[Amount],Table1[Customer_ID],AB$1,Table1[Month],$A9,Table1[Type],"Purchase")</f>
        <v>0</v>
      </c>
      <c r="AC9" s="16">
        <f>SUMIFS(Table1[Amount],Table1[Customer_ID],AC$1,Table1[Month],$A9,Table1[Type],"Purchase")</f>
        <v>0</v>
      </c>
      <c r="AD9" s="16">
        <f>SUMIFS(Table1[Amount],Table1[Customer_ID],AD$1,Table1[Month],$A9,Table1[Type],"Purchase")</f>
        <v>0</v>
      </c>
      <c r="AE9" s="19">
        <f t="shared" si="0"/>
        <v>855</v>
      </c>
    </row>
    <row r="10" spans="1:31">
      <c r="A10" s="27" t="s">
        <v>708</v>
      </c>
      <c r="B10" s="16">
        <f>SUMIFS(Table1[Amount],Table1[Customer_ID],B$1,Table1[Month],$A10,Table1[Type],"Purchase")</f>
        <v>0</v>
      </c>
      <c r="C10" s="16">
        <f>SUMIFS(Table1[Amount],Table1[Customer_ID],C$1,Table1[Month],$A10,Table1[Type],"Purchase")</f>
        <v>0</v>
      </c>
      <c r="D10" s="16">
        <f>SUMIFS(Table1[Amount],Table1[Customer_ID],D$1,Table1[Month],$A10,Table1[Type],"Purchase")</f>
        <v>0</v>
      </c>
      <c r="E10" s="16">
        <f>SUMIFS(Table1[Amount],Table1[Customer_ID],E$1,Table1[Month],$A10,Table1[Type],"Purchase")</f>
        <v>0</v>
      </c>
      <c r="F10" s="16">
        <f>SUMIFS(Table1[Amount],Table1[Customer_ID],F$1,Table1[Month],$A10,Table1[Type],"Purchase")</f>
        <v>0</v>
      </c>
      <c r="G10" s="16">
        <f>SUMIFS(Table1[Amount],Table1[Customer_ID],G$1,Table1[Month],$A10,Table1[Type],"Purchase")</f>
        <v>0</v>
      </c>
      <c r="H10" s="16">
        <f>SUMIFS(Table1[Amount],Table1[Customer_ID],H$1,Table1[Month],$A10,Table1[Type],"Purchase")</f>
        <v>0</v>
      </c>
      <c r="I10" s="16">
        <f>SUMIFS(Table1[Amount],Table1[Customer_ID],I$1,Table1[Month],$A10,Table1[Type],"Purchase")</f>
        <v>0</v>
      </c>
      <c r="J10" s="16">
        <f>SUMIFS(Table1[Amount],Table1[Customer_ID],J$1,Table1[Month],$A10,Table1[Type],"Purchase")</f>
        <v>0</v>
      </c>
      <c r="K10" s="16">
        <f>SUMIFS(Table1[Amount],Table1[Customer_ID],K$1,Table1[Month],$A10,Table1[Type],"Purchase")</f>
        <v>0</v>
      </c>
      <c r="L10" s="16">
        <f>SUMIFS(Table1[Amount],Table1[Customer_ID],L$1,Table1[Month],$A10,Table1[Type],"Purchase")</f>
        <v>0</v>
      </c>
      <c r="M10" s="16">
        <f>SUMIFS(Table1[Amount],Table1[Customer_ID],M$1,Table1[Month],$A10,Table1[Type],"Purchase")</f>
        <v>0</v>
      </c>
      <c r="N10" s="16">
        <f>SUMIFS(Table1[Amount],Table1[Customer_ID],N$1,Table1[Month],$A10,Table1[Type],"Purchase")</f>
        <v>0</v>
      </c>
      <c r="O10" s="16">
        <f>SUMIFS(Table1[Amount],Table1[Customer_ID],O$1,Table1[Month],$A10,Table1[Type],"Purchase")</f>
        <v>0</v>
      </c>
      <c r="P10" s="16">
        <f>SUMIFS(Table1[Amount],Table1[Customer_ID],P$1,Table1[Month],$A10,Table1[Type],"Purchase")</f>
        <v>0</v>
      </c>
      <c r="Q10" s="16">
        <f>SUMIFS(Table1[Amount],Table1[Customer_ID],Q$1,Table1[Month],$A10,Table1[Type],"Purchase")</f>
        <v>0</v>
      </c>
      <c r="R10" s="16">
        <f>SUMIFS(Table1[Amount],Table1[Customer_ID],R$1,Table1[Month],$A10,Table1[Type],"Purchase")</f>
        <v>0</v>
      </c>
      <c r="S10" s="16">
        <f>SUMIFS(Table1[Amount],Table1[Customer_ID],S$1,Table1[Month],$A10,Table1[Type],"Purchase")</f>
        <v>0</v>
      </c>
      <c r="T10" s="16">
        <f>SUMIFS(Table1[Amount],Table1[Customer_ID],T$1,Table1[Month],$A10,Table1[Type],"Purchase")</f>
        <v>0</v>
      </c>
      <c r="U10" s="16">
        <f>SUMIFS(Table1[Amount],Table1[Customer_ID],U$1,Table1[Month],$A10,Table1[Type],"Purchase")</f>
        <v>0</v>
      </c>
      <c r="V10" s="16">
        <f>SUMIFS(Table1[Amount],Table1[Customer_ID],V$1,Table1[Month],$A10,Table1[Type],"Purchase")</f>
        <v>0</v>
      </c>
      <c r="W10" s="16">
        <f>SUMIFS(Table1[Amount],Table1[Customer_ID],W$1,Table1[Month],$A10,Table1[Type],"Purchase")</f>
        <v>0</v>
      </c>
      <c r="X10" s="16">
        <f>SUMIFS(Table1[Amount],Table1[Customer_ID],X$1,Table1[Month],$A10,Table1[Type],"Purchase")</f>
        <v>0</v>
      </c>
      <c r="Y10" s="16">
        <f>SUMIFS(Table1[Amount],Table1[Customer_ID],Y$1,Table1[Month],$A10,Table1[Type],"Purchase")</f>
        <v>0</v>
      </c>
      <c r="Z10" s="16">
        <f>SUMIFS(Table1[Amount],Table1[Customer_ID],Z$1,Table1[Month],$A10,Table1[Type],"Purchase")</f>
        <v>0</v>
      </c>
      <c r="AA10" s="16">
        <f>SUMIFS(Table1[Amount],Table1[Customer_ID],AA$1,Table1[Month],$A10,Table1[Type],"Purchase")</f>
        <v>0</v>
      </c>
      <c r="AB10" s="16">
        <f>SUMIFS(Table1[Amount],Table1[Customer_ID],AB$1,Table1[Month],$A10,Table1[Type],"Purchase")</f>
        <v>0</v>
      </c>
      <c r="AC10" s="16">
        <f>SUMIFS(Table1[Amount],Table1[Customer_ID],AC$1,Table1[Month],$A10,Table1[Type],"Purchase")</f>
        <v>0</v>
      </c>
      <c r="AD10" s="16">
        <f>SUMIFS(Table1[Amount],Table1[Customer_ID],AD$1,Table1[Month],$A10,Table1[Type],"Purchase")</f>
        <v>0</v>
      </c>
      <c r="AE10" s="19">
        <f t="shared" si="0"/>
        <v>0</v>
      </c>
    </row>
    <row r="11" spans="1:31">
      <c r="A11" s="27" t="s">
        <v>709</v>
      </c>
      <c r="B11" s="16">
        <f>SUMIFS(Table1[Amount],Table1[Customer_ID],B$1,Table1[Month],$A11,Table1[Type],"Purchase")</f>
        <v>0</v>
      </c>
      <c r="C11" s="16">
        <f>SUMIFS(Table1[Amount],Table1[Customer_ID],C$1,Table1[Month],$A11,Table1[Type],"Purchase")</f>
        <v>0</v>
      </c>
      <c r="D11" s="16">
        <f>SUMIFS(Table1[Amount],Table1[Customer_ID],D$1,Table1[Month],$A11,Table1[Type],"Purchase")</f>
        <v>0</v>
      </c>
      <c r="E11" s="16">
        <f>SUMIFS(Table1[Amount],Table1[Customer_ID],E$1,Table1[Month],$A11,Table1[Type],"Purchase")</f>
        <v>0</v>
      </c>
      <c r="F11" s="16">
        <f>SUMIFS(Table1[Amount],Table1[Customer_ID],F$1,Table1[Month],$A11,Table1[Type],"Purchase")</f>
        <v>0</v>
      </c>
      <c r="G11" s="16">
        <f>SUMIFS(Table1[Amount],Table1[Customer_ID],G$1,Table1[Month],$A11,Table1[Type],"Purchase")</f>
        <v>0</v>
      </c>
      <c r="H11" s="16">
        <f>SUMIFS(Table1[Amount],Table1[Customer_ID],H$1,Table1[Month],$A11,Table1[Type],"Purchase")</f>
        <v>0</v>
      </c>
      <c r="I11" s="16">
        <f>SUMIFS(Table1[Amount],Table1[Customer_ID],I$1,Table1[Month],$A11,Table1[Type],"Purchase")</f>
        <v>0</v>
      </c>
      <c r="J11" s="16">
        <f>SUMIFS(Table1[Amount],Table1[Customer_ID],J$1,Table1[Month],$A11,Table1[Type],"Purchase")</f>
        <v>0</v>
      </c>
      <c r="K11" s="16">
        <f>SUMIFS(Table1[Amount],Table1[Customer_ID],K$1,Table1[Month],$A11,Table1[Type],"Purchase")</f>
        <v>0</v>
      </c>
      <c r="L11" s="16">
        <f>SUMIFS(Table1[Amount],Table1[Customer_ID],L$1,Table1[Month],$A11,Table1[Type],"Purchase")</f>
        <v>0</v>
      </c>
      <c r="M11" s="16">
        <f>SUMIFS(Table1[Amount],Table1[Customer_ID],M$1,Table1[Month],$A11,Table1[Type],"Purchase")</f>
        <v>0</v>
      </c>
      <c r="N11" s="16">
        <f>SUMIFS(Table1[Amount],Table1[Customer_ID],N$1,Table1[Month],$A11,Table1[Type],"Purchase")</f>
        <v>0</v>
      </c>
      <c r="O11" s="16">
        <f>SUMIFS(Table1[Amount],Table1[Customer_ID],O$1,Table1[Month],$A11,Table1[Type],"Purchase")</f>
        <v>0</v>
      </c>
      <c r="P11" s="16">
        <f>SUMIFS(Table1[Amount],Table1[Customer_ID],P$1,Table1[Month],$A11,Table1[Type],"Purchase")</f>
        <v>0</v>
      </c>
      <c r="Q11" s="16">
        <f>SUMIFS(Table1[Amount],Table1[Customer_ID],Q$1,Table1[Month],$A11,Table1[Type],"Purchase")</f>
        <v>0</v>
      </c>
      <c r="R11" s="16">
        <f>SUMIFS(Table1[Amount],Table1[Customer_ID],R$1,Table1[Month],$A11,Table1[Type],"Purchase")</f>
        <v>0</v>
      </c>
      <c r="S11" s="16">
        <f>SUMIFS(Table1[Amount],Table1[Customer_ID],S$1,Table1[Month],$A11,Table1[Type],"Purchase")</f>
        <v>0</v>
      </c>
      <c r="T11" s="16">
        <f>SUMIFS(Table1[Amount],Table1[Customer_ID],T$1,Table1[Month],$A11,Table1[Type],"Purchase")</f>
        <v>0</v>
      </c>
      <c r="U11" s="16">
        <f>SUMIFS(Table1[Amount],Table1[Customer_ID],U$1,Table1[Month],$A11,Table1[Type],"Purchase")</f>
        <v>0</v>
      </c>
      <c r="V11" s="16">
        <f>SUMIFS(Table1[Amount],Table1[Customer_ID],V$1,Table1[Month],$A11,Table1[Type],"Purchase")</f>
        <v>0</v>
      </c>
      <c r="W11" s="16">
        <f>SUMIFS(Table1[Amount],Table1[Customer_ID],W$1,Table1[Month],$A11,Table1[Type],"Purchase")</f>
        <v>0</v>
      </c>
      <c r="X11" s="16">
        <f>SUMIFS(Table1[Amount],Table1[Customer_ID],X$1,Table1[Month],$A11,Table1[Type],"Purchase")</f>
        <v>0</v>
      </c>
      <c r="Y11" s="16">
        <f>SUMIFS(Table1[Amount],Table1[Customer_ID],Y$1,Table1[Month],$A11,Table1[Type],"Purchase")</f>
        <v>0</v>
      </c>
      <c r="Z11" s="16">
        <f>SUMIFS(Table1[Amount],Table1[Customer_ID],Z$1,Table1[Month],$A11,Table1[Type],"Purchase")</f>
        <v>0</v>
      </c>
      <c r="AA11" s="16">
        <f>SUMIFS(Table1[Amount],Table1[Customer_ID],AA$1,Table1[Month],$A11,Table1[Type],"Purchase")</f>
        <v>0</v>
      </c>
      <c r="AB11" s="16">
        <f>SUMIFS(Table1[Amount],Table1[Customer_ID],AB$1,Table1[Month],$A11,Table1[Type],"Purchase")</f>
        <v>0</v>
      </c>
      <c r="AC11" s="16">
        <f>SUMIFS(Table1[Amount],Table1[Customer_ID],AC$1,Table1[Month],$A11,Table1[Type],"Purchase")</f>
        <v>0</v>
      </c>
      <c r="AD11" s="16">
        <f>SUMIFS(Table1[Amount],Table1[Customer_ID],AD$1,Table1[Month],$A11,Table1[Type],"Purchase")</f>
        <v>0</v>
      </c>
      <c r="AE11" s="19">
        <f t="shared" si="0"/>
        <v>0</v>
      </c>
    </row>
    <row r="12" spans="1:31">
      <c r="A12" s="27" t="s">
        <v>688</v>
      </c>
      <c r="B12" s="16">
        <f>SUMIFS(Table1[Amount],Table1[Customer_ID],B$1,Table1[Month],$A12,Table1[Type],"Purchase")</f>
        <v>0</v>
      </c>
      <c r="C12" s="16">
        <f>SUMIFS(Table1[Amount],Table1[Customer_ID],C$1,Table1[Month],$A12,Table1[Type],"Purchase")</f>
        <v>0</v>
      </c>
      <c r="D12" s="16">
        <f>SUMIFS(Table1[Amount],Table1[Customer_ID],D$1,Table1[Month],$A12,Table1[Type],"Purchase")</f>
        <v>4724</v>
      </c>
      <c r="E12" s="16">
        <f>SUMIFS(Table1[Amount],Table1[Customer_ID],E$1,Table1[Month],$A12,Table1[Type],"Purchase")</f>
        <v>1481</v>
      </c>
      <c r="F12" s="16">
        <f>SUMIFS(Table1[Amount],Table1[Customer_ID],F$1,Table1[Month],$A12,Table1[Type],"Purchase")</f>
        <v>0</v>
      </c>
      <c r="G12" s="16">
        <f>SUMIFS(Table1[Amount],Table1[Customer_ID],G$1,Table1[Month],$A12,Table1[Type],"Purchase")</f>
        <v>5036</v>
      </c>
      <c r="H12" s="16">
        <f>SUMIFS(Table1[Amount],Table1[Customer_ID],H$1,Table1[Month],$A12,Table1[Type],"Purchase")</f>
        <v>9476</v>
      </c>
      <c r="I12" s="16">
        <f>SUMIFS(Table1[Amount],Table1[Customer_ID],I$1,Table1[Month],$A12,Table1[Type],"Purchase")</f>
        <v>297</v>
      </c>
      <c r="J12" s="16">
        <f>SUMIFS(Table1[Amount],Table1[Customer_ID],J$1,Table1[Month],$A12,Table1[Type],"Purchase")</f>
        <v>634</v>
      </c>
      <c r="K12" s="16">
        <f>SUMIFS(Table1[Amount],Table1[Customer_ID],K$1,Table1[Month],$A12,Table1[Type],"Purchase")</f>
        <v>1804</v>
      </c>
      <c r="L12" s="16">
        <f>SUMIFS(Table1[Amount],Table1[Customer_ID],L$1,Table1[Month],$A12,Table1[Type],"Purchase")</f>
        <v>2557</v>
      </c>
      <c r="M12" s="16">
        <f>SUMIFS(Table1[Amount],Table1[Customer_ID],M$1,Table1[Month],$A12,Table1[Type],"Purchase")</f>
        <v>0</v>
      </c>
      <c r="N12" s="16">
        <f>SUMIFS(Table1[Amount],Table1[Customer_ID],N$1,Table1[Month],$A12,Table1[Type],"Purchase")</f>
        <v>0</v>
      </c>
      <c r="O12" s="16">
        <f>SUMIFS(Table1[Amount],Table1[Customer_ID],O$1,Table1[Month],$A12,Table1[Type],"Purchase")</f>
        <v>0</v>
      </c>
      <c r="P12" s="16">
        <f>SUMIFS(Table1[Amount],Table1[Customer_ID],P$1,Table1[Month],$A12,Table1[Type],"Purchase")</f>
        <v>0</v>
      </c>
      <c r="Q12" s="16">
        <f>SUMIFS(Table1[Amount],Table1[Customer_ID],Q$1,Table1[Month],$A12,Table1[Type],"Purchase")</f>
        <v>1179</v>
      </c>
      <c r="R12" s="16">
        <f>SUMIFS(Table1[Amount],Table1[Customer_ID],R$1,Table1[Month],$A12,Table1[Type],"Purchase")</f>
        <v>5448</v>
      </c>
      <c r="S12" s="16">
        <f>SUMIFS(Table1[Amount],Table1[Customer_ID],S$1,Table1[Month],$A12,Table1[Type],"Purchase")</f>
        <v>1677</v>
      </c>
      <c r="T12" s="16">
        <f>SUMIFS(Table1[Amount],Table1[Customer_ID],T$1,Table1[Month],$A12,Table1[Type],"Purchase")</f>
        <v>5899</v>
      </c>
      <c r="U12" s="16">
        <f>SUMIFS(Table1[Amount],Table1[Customer_ID],U$1,Table1[Month],$A12,Table1[Type],"Purchase")</f>
        <v>5185</v>
      </c>
      <c r="V12" s="16">
        <f>SUMIFS(Table1[Amount],Table1[Customer_ID],V$1,Table1[Month],$A12,Table1[Type],"Purchase")</f>
        <v>5078</v>
      </c>
      <c r="W12" s="16">
        <f>SUMIFS(Table1[Amount],Table1[Customer_ID],W$1,Table1[Month],$A12,Table1[Type],"Purchase")</f>
        <v>2009</v>
      </c>
      <c r="X12" s="16">
        <f>SUMIFS(Table1[Amount],Table1[Customer_ID],X$1,Table1[Month],$A12,Table1[Type],"Purchase")</f>
        <v>2470</v>
      </c>
      <c r="Y12" s="16">
        <f>SUMIFS(Table1[Amount],Table1[Customer_ID],Y$1,Table1[Month],$A12,Table1[Type],"Purchase")</f>
        <v>0</v>
      </c>
      <c r="Z12" s="16">
        <f>SUMIFS(Table1[Amount],Table1[Customer_ID],Z$1,Table1[Month],$A12,Table1[Type],"Purchase")</f>
        <v>700</v>
      </c>
      <c r="AA12" s="16">
        <f>SUMIFS(Table1[Amount],Table1[Customer_ID],AA$1,Table1[Month],$A12,Table1[Type],"Purchase")</f>
        <v>2731</v>
      </c>
      <c r="AB12" s="16">
        <f>SUMIFS(Table1[Amount],Table1[Customer_ID],AB$1,Table1[Month],$A12,Table1[Type],"Purchase")</f>
        <v>6222</v>
      </c>
      <c r="AC12" s="16">
        <f>SUMIFS(Table1[Amount],Table1[Customer_ID],AC$1,Table1[Month],$A12,Table1[Type],"Purchase")</f>
        <v>0</v>
      </c>
      <c r="AD12" s="16">
        <f>SUMIFS(Table1[Amount],Table1[Customer_ID],AD$1,Table1[Month],$A12,Table1[Type],"Purchase")</f>
        <v>0</v>
      </c>
      <c r="AE12" s="19">
        <f t="shared" si="0"/>
        <v>64607</v>
      </c>
    </row>
    <row r="13" spans="1:31">
      <c r="A13" s="27" t="s">
        <v>687</v>
      </c>
      <c r="B13" s="16">
        <f>SUMIFS(Table1[Amount],Table1[Customer_ID],B$1,Table1[Month],$A13,Table1[Type],"Purchase")</f>
        <v>0</v>
      </c>
      <c r="C13" s="16">
        <f>SUMIFS(Table1[Amount],Table1[Customer_ID],C$1,Table1[Month],$A13,Table1[Type],"Purchase")</f>
        <v>0</v>
      </c>
      <c r="D13" s="16">
        <f>SUMIFS(Table1[Amount],Table1[Customer_ID],D$1,Table1[Month],$A13,Table1[Type],"Purchase")</f>
        <v>7616</v>
      </c>
      <c r="E13" s="16">
        <f>SUMIFS(Table1[Amount],Table1[Customer_ID],E$1,Table1[Month],$A13,Table1[Type],"Purchase")</f>
        <v>2499</v>
      </c>
      <c r="F13" s="16">
        <f>SUMIFS(Table1[Amount],Table1[Customer_ID],F$1,Table1[Month],$A13,Table1[Type],"Purchase")</f>
        <v>240</v>
      </c>
      <c r="G13" s="16">
        <f>SUMIFS(Table1[Amount],Table1[Customer_ID],G$1,Table1[Month],$A13,Table1[Type],"Purchase")</f>
        <v>3473</v>
      </c>
      <c r="H13" s="16">
        <f>SUMIFS(Table1[Amount],Table1[Customer_ID],H$1,Table1[Month],$A13,Table1[Type],"Purchase")</f>
        <v>12162</v>
      </c>
      <c r="I13" s="16">
        <f>SUMIFS(Table1[Amount],Table1[Customer_ID],I$1,Table1[Month],$A13,Table1[Type],"Purchase")</f>
        <v>441</v>
      </c>
      <c r="J13" s="16">
        <f>SUMIFS(Table1[Amount],Table1[Customer_ID],J$1,Table1[Month],$A13,Table1[Type],"Purchase")</f>
        <v>0</v>
      </c>
      <c r="K13" s="16">
        <f>SUMIFS(Table1[Amount],Table1[Customer_ID],K$1,Table1[Month],$A13,Table1[Type],"Purchase")</f>
        <v>1531</v>
      </c>
      <c r="L13" s="16">
        <f>SUMIFS(Table1[Amount],Table1[Customer_ID],L$1,Table1[Month],$A13,Table1[Type],"Purchase")</f>
        <v>1703</v>
      </c>
      <c r="M13" s="16">
        <f>SUMIFS(Table1[Amount],Table1[Customer_ID],M$1,Table1[Month],$A13,Table1[Type],"Purchase")</f>
        <v>0</v>
      </c>
      <c r="N13" s="16">
        <f>SUMIFS(Table1[Amount],Table1[Customer_ID],N$1,Table1[Month],$A13,Table1[Type],"Purchase")</f>
        <v>0</v>
      </c>
      <c r="O13" s="16">
        <f>SUMIFS(Table1[Amount],Table1[Customer_ID],O$1,Table1[Month],$A13,Table1[Type],"Purchase")</f>
        <v>0</v>
      </c>
      <c r="P13" s="16">
        <f>SUMIFS(Table1[Amount],Table1[Customer_ID],P$1,Table1[Month],$A13,Table1[Type],"Purchase")</f>
        <v>0</v>
      </c>
      <c r="Q13" s="16">
        <f>SUMIFS(Table1[Amount],Table1[Customer_ID],Q$1,Table1[Month],$A13,Table1[Type],"Purchase")</f>
        <v>3114</v>
      </c>
      <c r="R13" s="16">
        <f>SUMIFS(Table1[Amount],Table1[Customer_ID],R$1,Table1[Month],$A13,Table1[Type],"Purchase")</f>
        <v>7580</v>
      </c>
      <c r="S13" s="16">
        <f>SUMIFS(Table1[Amount],Table1[Customer_ID],S$1,Table1[Month],$A13,Table1[Type],"Purchase")</f>
        <v>1994</v>
      </c>
      <c r="T13" s="16">
        <f>SUMIFS(Table1[Amount],Table1[Customer_ID],T$1,Table1[Month],$A13,Table1[Type],"Purchase")</f>
        <v>6891</v>
      </c>
      <c r="U13" s="16">
        <f>SUMIFS(Table1[Amount],Table1[Customer_ID],U$1,Table1[Month],$A13,Table1[Type],"Purchase")</f>
        <v>7283</v>
      </c>
      <c r="V13" s="16">
        <f>SUMIFS(Table1[Amount],Table1[Customer_ID],V$1,Table1[Month],$A13,Table1[Type],"Purchase")</f>
        <v>6632</v>
      </c>
      <c r="W13" s="16">
        <f>SUMIFS(Table1[Amount],Table1[Customer_ID],W$1,Table1[Month],$A13,Table1[Type],"Purchase")</f>
        <v>4868</v>
      </c>
      <c r="X13" s="16">
        <f>SUMIFS(Table1[Amount],Table1[Customer_ID],X$1,Table1[Month],$A13,Table1[Type],"Purchase")</f>
        <v>1912</v>
      </c>
      <c r="Y13" s="16">
        <f>SUMIFS(Table1[Amount],Table1[Customer_ID],Y$1,Table1[Month],$A13,Table1[Type],"Purchase")</f>
        <v>0</v>
      </c>
      <c r="Z13" s="16">
        <f>SUMIFS(Table1[Amount],Table1[Customer_ID],Z$1,Table1[Month],$A13,Table1[Type],"Purchase")</f>
        <v>350</v>
      </c>
      <c r="AA13" s="16">
        <f>SUMIFS(Table1[Amount],Table1[Customer_ID],AA$1,Table1[Month],$A13,Table1[Type],"Purchase")</f>
        <v>6103</v>
      </c>
      <c r="AB13" s="16">
        <f>SUMIFS(Table1[Amount],Table1[Customer_ID],AB$1,Table1[Month],$A13,Table1[Type],"Purchase")</f>
        <v>8623</v>
      </c>
      <c r="AC13" s="16">
        <f>SUMIFS(Table1[Amount],Table1[Customer_ID],AC$1,Table1[Month],$A13,Table1[Type],"Purchase")</f>
        <v>0</v>
      </c>
      <c r="AD13" s="16">
        <f>SUMIFS(Table1[Amount],Table1[Customer_ID],AD$1,Table1[Month],$A13,Table1[Type],"Purchase")</f>
        <v>0</v>
      </c>
      <c r="AE13" s="19">
        <f t="shared" si="0"/>
        <v>85015</v>
      </c>
    </row>
    <row r="14" spans="1:31">
      <c r="A14" s="27" t="s">
        <v>686</v>
      </c>
      <c r="B14" s="16">
        <f>SUMIFS(Table1[Amount],Table1[Customer_ID],B$1,Table1[Month],$A14,Table1[Type],"Purchase")</f>
        <v>0</v>
      </c>
      <c r="C14" s="16">
        <f>SUMIFS(Table1[Amount],Table1[Customer_ID],C$1,Table1[Month],$A14,Table1[Type],"Purchase")</f>
        <v>0</v>
      </c>
      <c r="D14" s="16">
        <f>SUMIFS(Table1[Amount],Table1[Customer_ID],D$1,Table1[Month],$A14,Table1[Type],"Purchase")</f>
        <v>5227</v>
      </c>
      <c r="E14" s="16">
        <f>SUMIFS(Table1[Amount],Table1[Customer_ID],E$1,Table1[Month],$A14,Table1[Type],"Purchase")</f>
        <v>4000</v>
      </c>
      <c r="F14" s="16">
        <f>SUMIFS(Table1[Amount],Table1[Customer_ID],F$1,Table1[Month],$A14,Table1[Type],"Purchase")</f>
        <v>940</v>
      </c>
      <c r="G14" s="16">
        <f>SUMIFS(Table1[Amount],Table1[Customer_ID],G$1,Table1[Month],$A14,Table1[Type],"Purchase")</f>
        <v>5554</v>
      </c>
      <c r="H14" s="16">
        <f>SUMIFS(Table1[Amount],Table1[Customer_ID],H$1,Table1[Month],$A14,Table1[Type],"Purchase")</f>
        <v>8262</v>
      </c>
      <c r="I14" s="16">
        <f>SUMIFS(Table1[Amount],Table1[Customer_ID],I$1,Table1[Month],$A14,Table1[Type],"Purchase")</f>
        <v>438</v>
      </c>
      <c r="J14" s="16">
        <f>SUMIFS(Table1[Amount],Table1[Customer_ID],J$1,Table1[Month],$A14,Table1[Type],"Purchase")</f>
        <v>0</v>
      </c>
      <c r="K14" s="16">
        <f>SUMIFS(Table1[Amount],Table1[Customer_ID],K$1,Table1[Month],$A14,Table1[Type],"Purchase")</f>
        <v>2088</v>
      </c>
      <c r="L14" s="16">
        <f>SUMIFS(Table1[Amount],Table1[Customer_ID],L$1,Table1[Month],$A14,Table1[Type],"Purchase")</f>
        <v>1552</v>
      </c>
      <c r="M14" s="16">
        <f>SUMIFS(Table1[Amount],Table1[Customer_ID],M$1,Table1[Month],$A14,Table1[Type],"Purchase")</f>
        <v>0</v>
      </c>
      <c r="N14" s="16">
        <f>SUMIFS(Table1[Amount],Table1[Customer_ID],N$1,Table1[Month],$A14,Table1[Type],"Purchase")</f>
        <v>0</v>
      </c>
      <c r="O14" s="16">
        <f>SUMIFS(Table1[Amount],Table1[Customer_ID],O$1,Table1[Month],$A14,Table1[Type],"Purchase")</f>
        <v>0</v>
      </c>
      <c r="P14" s="16">
        <f>SUMIFS(Table1[Amount],Table1[Customer_ID],P$1,Table1[Month],$A14,Table1[Type],"Purchase")</f>
        <v>0</v>
      </c>
      <c r="Q14" s="16">
        <f>SUMIFS(Table1[Amount],Table1[Customer_ID],Q$1,Table1[Month],$A14,Table1[Type],"Purchase")</f>
        <v>3379</v>
      </c>
      <c r="R14" s="16">
        <f>SUMIFS(Table1[Amount],Table1[Customer_ID],R$1,Table1[Month],$A14,Table1[Type],"Purchase")</f>
        <v>6460</v>
      </c>
      <c r="S14" s="16">
        <f>SUMIFS(Table1[Amount],Table1[Customer_ID],S$1,Table1[Month],$A14,Table1[Type],"Purchase")</f>
        <v>1540</v>
      </c>
      <c r="T14" s="16">
        <f>SUMIFS(Table1[Amount],Table1[Customer_ID],T$1,Table1[Month],$A14,Table1[Type],"Purchase")</f>
        <v>5411</v>
      </c>
      <c r="U14" s="16">
        <f>SUMIFS(Table1[Amount],Table1[Customer_ID],U$1,Table1[Month],$A14,Table1[Type],"Purchase")</f>
        <v>5890</v>
      </c>
      <c r="V14" s="16">
        <f>SUMIFS(Table1[Amount],Table1[Customer_ID],V$1,Table1[Month],$A14,Table1[Type],"Purchase")</f>
        <v>7749</v>
      </c>
      <c r="W14" s="16">
        <f>SUMIFS(Table1[Amount],Table1[Customer_ID],W$1,Table1[Month],$A14,Table1[Type],"Purchase")</f>
        <v>2458</v>
      </c>
      <c r="X14" s="16">
        <f>SUMIFS(Table1[Amount],Table1[Customer_ID],X$1,Table1[Month],$A14,Table1[Type],"Purchase")</f>
        <v>2559</v>
      </c>
      <c r="Y14" s="16">
        <f>SUMIFS(Table1[Amount],Table1[Customer_ID],Y$1,Table1[Month],$A14,Table1[Type],"Purchase")</f>
        <v>0</v>
      </c>
      <c r="Z14" s="16">
        <f>SUMIFS(Table1[Amount],Table1[Customer_ID],Z$1,Table1[Month],$A14,Table1[Type],"Purchase")</f>
        <v>2185</v>
      </c>
      <c r="AA14" s="16">
        <f>SUMIFS(Table1[Amount],Table1[Customer_ID],AA$1,Table1[Month],$A14,Table1[Type],"Purchase")</f>
        <v>6762</v>
      </c>
      <c r="AB14" s="16">
        <f>SUMIFS(Table1[Amount],Table1[Customer_ID],AB$1,Table1[Month],$A14,Table1[Type],"Purchase")</f>
        <v>7892</v>
      </c>
      <c r="AC14" s="16">
        <f>SUMIFS(Table1[Amount],Table1[Customer_ID],AC$1,Table1[Month],$A14,Table1[Type],"Purchase")</f>
        <v>0</v>
      </c>
      <c r="AD14" s="16">
        <f>SUMIFS(Table1[Amount],Table1[Customer_ID],AD$1,Table1[Month],$A14,Table1[Type],"Purchase")</f>
        <v>0</v>
      </c>
      <c r="AE14" s="19">
        <f t="shared" si="0"/>
        <v>80346</v>
      </c>
    </row>
    <row r="15" spans="1:31">
      <c r="A15" s="27" t="s">
        <v>685</v>
      </c>
      <c r="B15" s="16">
        <f>SUMIFS(Table1[Amount],Table1[Customer_ID],B$1,Table1[Month],$A15,Table1[Type],"Purchase")</f>
        <v>0</v>
      </c>
      <c r="C15" s="16">
        <f>SUMIFS(Table1[Amount],Table1[Customer_ID],C$1,Table1[Month],$A15,Table1[Type],"Purchase")</f>
        <v>0</v>
      </c>
      <c r="D15" s="16">
        <f>SUMIFS(Table1[Amount],Table1[Customer_ID],D$1,Table1[Month],$A15,Table1[Type],"Purchase")</f>
        <v>388</v>
      </c>
      <c r="E15" s="16">
        <f>SUMIFS(Table1[Amount],Table1[Customer_ID],E$1,Table1[Month],$A15,Table1[Type],"Purchase")</f>
        <v>5800</v>
      </c>
      <c r="F15" s="16">
        <f>SUMIFS(Table1[Amount],Table1[Customer_ID],F$1,Table1[Month],$A15,Table1[Type],"Purchase")</f>
        <v>387</v>
      </c>
      <c r="G15" s="16">
        <f>SUMIFS(Table1[Amount],Table1[Customer_ID],G$1,Table1[Month],$A15,Table1[Type],"Purchase")</f>
        <v>5408</v>
      </c>
      <c r="H15" s="16">
        <f>SUMIFS(Table1[Amount],Table1[Customer_ID],H$1,Table1[Month],$A15,Table1[Type],"Purchase")</f>
        <v>10523</v>
      </c>
      <c r="I15" s="16">
        <f>SUMIFS(Table1[Amount],Table1[Customer_ID],I$1,Table1[Month],$A15,Table1[Type],"Purchase")</f>
        <v>343</v>
      </c>
      <c r="J15" s="16">
        <f>SUMIFS(Table1[Amount],Table1[Customer_ID],J$1,Table1[Month],$A15,Table1[Type],"Purchase")</f>
        <v>0</v>
      </c>
      <c r="K15" s="16">
        <f>SUMIFS(Table1[Amount],Table1[Customer_ID],K$1,Table1[Month],$A15,Table1[Type],"Purchase")</f>
        <v>1149</v>
      </c>
      <c r="L15" s="16">
        <f>SUMIFS(Table1[Amount],Table1[Customer_ID],L$1,Table1[Month],$A15,Table1[Type],"Purchase")</f>
        <v>1258</v>
      </c>
      <c r="M15" s="16">
        <f>SUMIFS(Table1[Amount],Table1[Customer_ID],M$1,Table1[Month],$A15,Table1[Type],"Purchase")</f>
        <v>0</v>
      </c>
      <c r="N15" s="16">
        <f>SUMIFS(Table1[Amount],Table1[Customer_ID],N$1,Table1[Month],$A15,Table1[Type],"Purchase")</f>
        <v>0</v>
      </c>
      <c r="O15" s="16">
        <f>SUMIFS(Table1[Amount],Table1[Customer_ID],O$1,Table1[Month],$A15,Table1[Type],"Purchase")</f>
        <v>0</v>
      </c>
      <c r="P15" s="16">
        <f>SUMIFS(Table1[Amount],Table1[Customer_ID],P$1,Table1[Month],$A15,Table1[Type],"Purchase")</f>
        <v>0</v>
      </c>
      <c r="Q15" s="16">
        <f>SUMIFS(Table1[Amount],Table1[Customer_ID],Q$1,Table1[Month],$A15,Table1[Type],"Purchase")</f>
        <v>2117</v>
      </c>
      <c r="R15" s="16">
        <f>SUMIFS(Table1[Amount],Table1[Customer_ID],R$1,Table1[Month],$A15,Table1[Type],"Purchase")</f>
        <v>7608</v>
      </c>
      <c r="S15" s="16">
        <f>SUMIFS(Table1[Amount],Table1[Customer_ID],S$1,Table1[Month],$A15,Table1[Type],"Purchase")</f>
        <v>1576</v>
      </c>
      <c r="T15" s="16">
        <f>SUMIFS(Table1[Amount],Table1[Customer_ID],T$1,Table1[Month],$A15,Table1[Type],"Purchase")</f>
        <v>7565</v>
      </c>
      <c r="U15" s="16">
        <f>SUMIFS(Table1[Amount],Table1[Customer_ID],U$1,Table1[Month],$A15,Table1[Type],"Purchase")</f>
        <v>1466</v>
      </c>
      <c r="V15" s="16">
        <f>SUMIFS(Table1[Amount],Table1[Customer_ID],V$1,Table1[Month],$A15,Table1[Type],"Purchase")</f>
        <v>3202</v>
      </c>
      <c r="W15" s="16">
        <f>SUMIFS(Table1[Amount],Table1[Customer_ID],W$1,Table1[Month],$A15,Table1[Type],"Purchase")</f>
        <v>3584</v>
      </c>
      <c r="X15" s="16">
        <f>SUMIFS(Table1[Amount],Table1[Customer_ID],X$1,Table1[Month],$A15,Table1[Type],"Purchase")</f>
        <v>603</v>
      </c>
      <c r="Y15" s="16">
        <f>SUMIFS(Table1[Amount],Table1[Customer_ID],Y$1,Table1[Month],$A15,Table1[Type],"Purchase")</f>
        <v>0</v>
      </c>
      <c r="Z15" s="16">
        <f>SUMIFS(Table1[Amount],Table1[Customer_ID],Z$1,Table1[Month],$A15,Table1[Type],"Purchase")</f>
        <v>1462</v>
      </c>
      <c r="AA15" s="16">
        <f>SUMIFS(Table1[Amount],Table1[Customer_ID],AA$1,Table1[Month],$A15,Table1[Type],"Purchase")</f>
        <v>4489</v>
      </c>
      <c r="AB15" s="16">
        <f>SUMIFS(Table1[Amount],Table1[Customer_ID],AB$1,Table1[Month],$A15,Table1[Type],"Purchase")</f>
        <v>8655</v>
      </c>
      <c r="AC15" s="16">
        <f>SUMIFS(Table1[Amount],Table1[Customer_ID],AC$1,Table1[Month],$A15,Table1[Type],"Purchase")</f>
        <v>0</v>
      </c>
      <c r="AD15" s="16">
        <f>SUMIFS(Table1[Amount],Table1[Customer_ID],AD$1,Table1[Month],$A15,Table1[Type],"Purchase")</f>
        <v>0</v>
      </c>
      <c r="AE15" s="19">
        <f t="shared" si="0"/>
        <v>67583</v>
      </c>
    </row>
    <row r="16" spans="1:31">
      <c r="A16" s="27" t="s">
        <v>684</v>
      </c>
      <c r="B16" s="16">
        <f>SUMIFS(Table1[Amount],Table1[Customer_ID],B$1,Table1[Month],$A16,Table1[Type],"Purchase")</f>
        <v>0</v>
      </c>
      <c r="C16" s="16">
        <f>SUMIFS(Table1[Amount],Table1[Customer_ID],C$1,Table1[Month],$A16,Table1[Type],"Purchase")</f>
        <v>0</v>
      </c>
      <c r="D16" s="16">
        <f>SUMIFS(Table1[Amount],Table1[Customer_ID],D$1,Table1[Month],$A16,Table1[Type],"Purchase")</f>
        <v>0</v>
      </c>
      <c r="E16" s="16">
        <f>SUMIFS(Table1[Amount],Table1[Customer_ID],E$1,Table1[Month],$A16,Table1[Type],"Purchase")</f>
        <v>5737</v>
      </c>
      <c r="F16" s="16">
        <f>SUMIFS(Table1[Amount],Table1[Customer_ID],F$1,Table1[Month],$A16,Table1[Type],"Purchase")</f>
        <v>845</v>
      </c>
      <c r="G16" s="16">
        <f>SUMIFS(Table1[Amount],Table1[Customer_ID],G$1,Table1[Month],$A16,Table1[Type],"Purchase")</f>
        <v>5077</v>
      </c>
      <c r="H16" s="16">
        <f>SUMIFS(Table1[Amount],Table1[Customer_ID],H$1,Table1[Month],$A16,Table1[Type],"Purchase")</f>
        <v>0</v>
      </c>
      <c r="I16" s="16">
        <f>SUMIFS(Table1[Amount],Table1[Customer_ID],I$1,Table1[Month],$A16,Table1[Type],"Purchase")</f>
        <v>115</v>
      </c>
      <c r="J16" s="16">
        <f>SUMIFS(Table1[Amount],Table1[Customer_ID],J$1,Table1[Month],$A16,Table1[Type],"Purchase")</f>
        <v>0</v>
      </c>
      <c r="K16" s="16">
        <f>SUMIFS(Table1[Amount],Table1[Customer_ID],K$1,Table1[Month],$A16,Table1[Type],"Purchase")</f>
        <v>1701</v>
      </c>
      <c r="L16" s="16">
        <f>SUMIFS(Table1[Amount],Table1[Customer_ID],L$1,Table1[Month],$A16,Table1[Type],"Purchase")</f>
        <v>1851</v>
      </c>
      <c r="M16" s="16">
        <f>SUMIFS(Table1[Amount],Table1[Customer_ID],M$1,Table1[Month],$A16,Table1[Type],"Purchase")</f>
        <v>0</v>
      </c>
      <c r="N16" s="16">
        <f>SUMIFS(Table1[Amount],Table1[Customer_ID],N$1,Table1[Month],$A16,Table1[Type],"Purchase")</f>
        <v>0</v>
      </c>
      <c r="O16" s="16">
        <f>SUMIFS(Table1[Amount],Table1[Customer_ID],O$1,Table1[Month],$A16,Table1[Type],"Purchase")</f>
        <v>0</v>
      </c>
      <c r="P16" s="16">
        <f>SUMIFS(Table1[Amount],Table1[Customer_ID],P$1,Table1[Month],$A16,Table1[Type],"Purchase")</f>
        <v>0</v>
      </c>
      <c r="Q16" s="16">
        <f>SUMIFS(Table1[Amount],Table1[Customer_ID],Q$1,Table1[Month],$A16,Table1[Type],"Purchase")</f>
        <v>0</v>
      </c>
      <c r="R16" s="16">
        <f>SUMIFS(Table1[Amount],Table1[Customer_ID],R$1,Table1[Month],$A16,Table1[Type],"Purchase")</f>
        <v>6901</v>
      </c>
      <c r="S16" s="16">
        <f>SUMIFS(Table1[Amount],Table1[Customer_ID],S$1,Table1[Month],$A16,Table1[Type],"Purchase")</f>
        <v>1748</v>
      </c>
      <c r="T16" s="16">
        <f>SUMIFS(Table1[Amount],Table1[Customer_ID],T$1,Table1[Month],$A16,Table1[Type],"Purchase")</f>
        <v>4757</v>
      </c>
      <c r="U16" s="16">
        <f>SUMIFS(Table1[Amount],Table1[Customer_ID],U$1,Table1[Month],$A16,Table1[Type],"Purchase")</f>
        <v>0</v>
      </c>
      <c r="V16" s="16">
        <f>SUMIFS(Table1[Amount],Table1[Customer_ID],V$1,Table1[Month],$A16,Table1[Type],"Purchase")</f>
        <v>3395</v>
      </c>
      <c r="W16" s="16">
        <f>SUMIFS(Table1[Amount],Table1[Customer_ID],W$1,Table1[Month],$A16,Table1[Type],"Purchase")</f>
        <v>1727</v>
      </c>
      <c r="X16" s="16">
        <f>SUMIFS(Table1[Amount],Table1[Customer_ID],X$1,Table1[Month],$A16,Table1[Type],"Purchase")</f>
        <v>2200</v>
      </c>
      <c r="Y16" s="16">
        <f>SUMIFS(Table1[Amount],Table1[Customer_ID],Y$1,Table1[Month],$A16,Table1[Type],"Purchase")</f>
        <v>0</v>
      </c>
      <c r="Z16" s="16">
        <f>SUMIFS(Table1[Amount],Table1[Customer_ID],Z$1,Table1[Month],$A16,Table1[Type],"Purchase")</f>
        <v>2914</v>
      </c>
      <c r="AA16" s="16">
        <f>SUMIFS(Table1[Amount],Table1[Customer_ID],AA$1,Table1[Month],$A16,Table1[Type],"Purchase")</f>
        <v>5908</v>
      </c>
      <c r="AB16" s="16">
        <f>SUMIFS(Table1[Amount],Table1[Customer_ID],AB$1,Table1[Month],$A16,Table1[Type],"Purchase")</f>
        <v>9443</v>
      </c>
      <c r="AC16" s="16">
        <f>SUMIFS(Table1[Amount],Table1[Customer_ID],AC$1,Table1[Month],$A16,Table1[Type],"Purchase")</f>
        <v>0</v>
      </c>
      <c r="AD16" s="16">
        <f>SUMIFS(Table1[Amount],Table1[Customer_ID],AD$1,Table1[Month],$A16,Table1[Type],"Purchase")</f>
        <v>0</v>
      </c>
      <c r="AE16" s="19">
        <f t="shared" si="0"/>
        <v>54319</v>
      </c>
    </row>
    <row r="17" spans="1:31">
      <c r="A17" s="27" t="s">
        <v>683</v>
      </c>
      <c r="B17" s="16">
        <f>SUMIFS(Table1[Amount],Table1[Customer_ID],B$1,Table1[Month],$A17,Table1[Type],"Purchase")</f>
        <v>0</v>
      </c>
      <c r="C17" s="16">
        <f>SUMIFS(Table1[Amount],Table1[Customer_ID],C$1,Table1[Month],$A17,Table1[Type],"Purchase")</f>
        <v>0</v>
      </c>
      <c r="D17" s="16">
        <f>SUMIFS(Table1[Amount],Table1[Customer_ID],D$1,Table1[Month],$A17,Table1[Type],"Purchase")</f>
        <v>0</v>
      </c>
      <c r="E17" s="16">
        <f>SUMIFS(Table1[Amount],Table1[Customer_ID],E$1,Table1[Month],$A17,Table1[Type],"Purchase")</f>
        <v>3731</v>
      </c>
      <c r="F17" s="16">
        <f>SUMIFS(Table1[Amount],Table1[Customer_ID],F$1,Table1[Month],$A17,Table1[Type],"Purchase")</f>
        <v>1030</v>
      </c>
      <c r="G17" s="16">
        <f>SUMIFS(Table1[Amount],Table1[Customer_ID],G$1,Table1[Month],$A17,Table1[Type],"Purchase")</f>
        <v>9437</v>
      </c>
      <c r="H17" s="16">
        <f>SUMIFS(Table1[Amount],Table1[Customer_ID],H$1,Table1[Month],$A17,Table1[Type],"Purchase")</f>
        <v>0</v>
      </c>
      <c r="I17" s="16">
        <f>SUMIFS(Table1[Amount],Table1[Customer_ID],I$1,Table1[Month],$A17,Table1[Type],"Purchase")</f>
        <v>0</v>
      </c>
      <c r="J17" s="16">
        <f>SUMIFS(Table1[Amount],Table1[Customer_ID],J$1,Table1[Month],$A17,Table1[Type],"Purchase")</f>
        <v>0</v>
      </c>
      <c r="K17" s="16">
        <f>SUMIFS(Table1[Amount],Table1[Customer_ID],K$1,Table1[Month],$A17,Table1[Type],"Purchase")</f>
        <v>1597</v>
      </c>
      <c r="L17" s="16">
        <f>SUMIFS(Table1[Amount],Table1[Customer_ID],L$1,Table1[Month],$A17,Table1[Type],"Purchase")</f>
        <v>980</v>
      </c>
      <c r="M17" s="16">
        <f>SUMIFS(Table1[Amount],Table1[Customer_ID],M$1,Table1[Month],$A17,Table1[Type],"Purchase")</f>
        <v>0</v>
      </c>
      <c r="N17" s="16">
        <f>SUMIFS(Table1[Amount],Table1[Customer_ID],N$1,Table1[Month],$A17,Table1[Type],"Purchase")</f>
        <v>0</v>
      </c>
      <c r="O17" s="16">
        <f>SUMIFS(Table1[Amount],Table1[Customer_ID],O$1,Table1[Month],$A17,Table1[Type],"Purchase")</f>
        <v>0</v>
      </c>
      <c r="P17" s="16">
        <f>SUMIFS(Table1[Amount],Table1[Customer_ID],P$1,Table1[Month],$A17,Table1[Type],"Purchase")</f>
        <v>0</v>
      </c>
      <c r="Q17" s="16">
        <f>SUMIFS(Table1[Amount],Table1[Customer_ID],Q$1,Table1[Month],$A17,Table1[Type],"Purchase")</f>
        <v>0</v>
      </c>
      <c r="R17" s="16">
        <f>SUMIFS(Table1[Amount],Table1[Customer_ID],R$1,Table1[Month],$A17,Table1[Type],"Purchase")</f>
        <v>229</v>
      </c>
      <c r="S17" s="16">
        <f>SUMIFS(Table1[Amount],Table1[Customer_ID],S$1,Table1[Month],$A17,Table1[Type],"Purchase")</f>
        <v>845</v>
      </c>
      <c r="T17" s="16">
        <f>SUMIFS(Table1[Amount],Table1[Customer_ID],T$1,Table1[Month],$A17,Table1[Type],"Purchase")</f>
        <v>4672</v>
      </c>
      <c r="U17" s="16">
        <f>SUMIFS(Table1[Amount],Table1[Customer_ID],U$1,Table1[Month],$A17,Table1[Type],"Purchase")</f>
        <v>0</v>
      </c>
      <c r="V17" s="16">
        <f>SUMIFS(Table1[Amount],Table1[Customer_ID],V$1,Table1[Month],$A17,Table1[Type],"Purchase")</f>
        <v>102</v>
      </c>
      <c r="W17" s="16">
        <f>SUMIFS(Table1[Amount],Table1[Customer_ID],W$1,Table1[Month],$A17,Table1[Type],"Purchase")</f>
        <v>0</v>
      </c>
      <c r="X17" s="16">
        <f>SUMIFS(Table1[Amount],Table1[Customer_ID],X$1,Table1[Month],$A17,Table1[Type],"Purchase")</f>
        <v>3582</v>
      </c>
      <c r="Y17" s="16">
        <f>SUMIFS(Table1[Amount],Table1[Customer_ID],Y$1,Table1[Month],$A17,Table1[Type],"Purchase")</f>
        <v>0</v>
      </c>
      <c r="Z17" s="16">
        <f>SUMIFS(Table1[Amount],Table1[Customer_ID],Z$1,Table1[Month],$A17,Table1[Type],"Purchase")</f>
        <v>1994</v>
      </c>
      <c r="AA17" s="16">
        <f>SUMIFS(Table1[Amount],Table1[Customer_ID],AA$1,Table1[Month],$A17,Table1[Type],"Purchase")</f>
        <v>4564</v>
      </c>
      <c r="AB17" s="16">
        <f>SUMIFS(Table1[Amount],Table1[Customer_ID],AB$1,Table1[Month],$A17,Table1[Type],"Purchase")</f>
        <v>1946</v>
      </c>
      <c r="AC17" s="16">
        <f>SUMIFS(Table1[Amount],Table1[Customer_ID],AC$1,Table1[Month],$A17,Table1[Type],"Purchase")</f>
        <v>0</v>
      </c>
      <c r="AD17" s="16">
        <f>SUMIFS(Table1[Amount],Table1[Customer_ID],AD$1,Table1[Month],$A17,Table1[Type],"Purchase")</f>
        <v>0</v>
      </c>
      <c r="AE17" s="19">
        <f t="shared" si="0"/>
        <v>34709</v>
      </c>
    </row>
    <row r="18" spans="1:31">
      <c r="A18" s="27" t="s">
        <v>710</v>
      </c>
      <c r="B18" s="16">
        <f>SUMIFS(Table1[Amount],Table1[Customer_ID],B$1,Table1[Month],$A18,Table1[Type],"Purchase")</f>
        <v>0</v>
      </c>
      <c r="C18" s="16">
        <f>SUMIFS(Table1[Amount],Table1[Customer_ID],C$1,Table1[Month],$A18,Table1[Type],"Purchase")</f>
        <v>0</v>
      </c>
      <c r="D18" s="16">
        <f>SUMIFS(Table1[Amount],Table1[Customer_ID],D$1,Table1[Month],$A18,Table1[Type],"Purchase")</f>
        <v>0</v>
      </c>
      <c r="E18" s="16">
        <f>SUMIFS(Table1[Amount],Table1[Customer_ID],E$1,Table1[Month],$A18,Table1[Type],"Purchase")</f>
        <v>745</v>
      </c>
      <c r="F18" s="16">
        <f>SUMIFS(Table1[Amount],Table1[Customer_ID],F$1,Table1[Month],$A18,Table1[Type],"Purchase")</f>
        <v>918</v>
      </c>
      <c r="G18" s="16">
        <f>SUMIFS(Table1[Amount],Table1[Customer_ID],G$1,Table1[Month],$A18,Table1[Type],"Purchase")</f>
        <v>10075</v>
      </c>
      <c r="H18" s="16">
        <f>SUMIFS(Table1[Amount],Table1[Customer_ID],H$1,Table1[Month],$A18,Table1[Type],"Purchase")</f>
        <v>0</v>
      </c>
      <c r="I18" s="16">
        <f>SUMIFS(Table1[Amount],Table1[Customer_ID],I$1,Table1[Month],$A18,Table1[Type],"Purchase")</f>
        <v>0</v>
      </c>
      <c r="J18" s="16">
        <f>SUMIFS(Table1[Amount],Table1[Customer_ID],J$1,Table1[Month],$A18,Table1[Type],"Purchase")</f>
        <v>0</v>
      </c>
      <c r="K18" s="16">
        <f>SUMIFS(Table1[Amount],Table1[Customer_ID],K$1,Table1[Month],$A18,Table1[Type],"Purchase")</f>
        <v>1393</v>
      </c>
      <c r="L18" s="16">
        <f>SUMIFS(Table1[Amount],Table1[Customer_ID],L$1,Table1[Month],$A18,Table1[Type],"Purchase")</f>
        <v>1193</v>
      </c>
      <c r="M18" s="16">
        <f>SUMIFS(Table1[Amount],Table1[Customer_ID],M$1,Table1[Month],$A18,Table1[Type],"Purchase")</f>
        <v>0</v>
      </c>
      <c r="N18" s="16">
        <f>SUMIFS(Table1[Amount],Table1[Customer_ID],N$1,Table1[Month],$A18,Table1[Type],"Purchase")</f>
        <v>0</v>
      </c>
      <c r="O18" s="16">
        <f>SUMIFS(Table1[Amount],Table1[Customer_ID],O$1,Table1[Month],$A18,Table1[Type],"Purchase")</f>
        <v>0</v>
      </c>
      <c r="P18" s="16">
        <f>SUMIFS(Table1[Amount],Table1[Customer_ID],P$1,Table1[Month],$A18,Table1[Type],"Purchase")</f>
        <v>0</v>
      </c>
      <c r="Q18" s="16">
        <f>SUMIFS(Table1[Amount],Table1[Customer_ID],Q$1,Table1[Month],$A18,Table1[Type],"Purchase")</f>
        <v>0</v>
      </c>
      <c r="R18" s="16">
        <f>SUMIFS(Table1[Amount],Table1[Customer_ID],R$1,Table1[Month],$A18,Table1[Type],"Purchase")</f>
        <v>0</v>
      </c>
      <c r="S18" s="16">
        <f>SUMIFS(Table1[Amount],Table1[Customer_ID],S$1,Table1[Month],$A18,Table1[Type],"Purchase")</f>
        <v>1565</v>
      </c>
      <c r="T18" s="16">
        <f>SUMIFS(Table1[Amount],Table1[Customer_ID],T$1,Table1[Month],$A18,Table1[Type],"Purchase")</f>
        <v>6230</v>
      </c>
      <c r="U18" s="16">
        <f>SUMIFS(Table1[Amount],Table1[Customer_ID],U$1,Table1[Month],$A18,Table1[Type],"Purchase")</f>
        <v>0</v>
      </c>
      <c r="V18" s="16">
        <f>SUMIFS(Table1[Amount],Table1[Customer_ID],V$1,Table1[Month],$A18,Table1[Type],"Purchase")</f>
        <v>0</v>
      </c>
      <c r="W18" s="16">
        <f>SUMIFS(Table1[Amount],Table1[Customer_ID],W$1,Table1[Month],$A18,Table1[Type],"Purchase")</f>
        <v>0</v>
      </c>
      <c r="X18" s="16">
        <f>SUMIFS(Table1[Amount],Table1[Customer_ID],X$1,Table1[Month],$A18,Table1[Type],"Purchase")</f>
        <v>3652</v>
      </c>
      <c r="Y18" s="16">
        <f>SUMIFS(Table1[Amount],Table1[Customer_ID],Y$1,Table1[Month],$A18,Table1[Type],"Purchase")</f>
        <v>0</v>
      </c>
      <c r="Z18" s="16">
        <f>SUMIFS(Table1[Amount],Table1[Customer_ID],Z$1,Table1[Month],$A18,Table1[Type],"Purchase")</f>
        <v>2143</v>
      </c>
      <c r="AA18" s="16">
        <f>SUMIFS(Table1[Amount],Table1[Customer_ID],AA$1,Table1[Month],$A18,Table1[Type],"Purchase")</f>
        <v>3105</v>
      </c>
      <c r="AB18" s="16">
        <f>SUMIFS(Table1[Amount],Table1[Customer_ID],AB$1,Table1[Month],$A18,Table1[Type],"Purchase")</f>
        <v>0</v>
      </c>
      <c r="AC18" s="16">
        <f>SUMIFS(Table1[Amount],Table1[Customer_ID],AC$1,Table1[Month],$A18,Table1[Type],"Purchase")</f>
        <v>0</v>
      </c>
      <c r="AD18" s="16">
        <f>SUMIFS(Table1[Amount],Table1[Customer_ID],AD$1,Table1[Month],$A18,Table1[Type],"Purchase")</f>
        <v>0</v>
      </c>
      <c r="AE18" s="19">
        <f t="shared" si="0"/>
        <v>31019</v>
      </c>
    </row>
    <row r="19" spans="1:31">
      <c r="A19" s="27" t="s">
        <v>711</v>
      </c>
      <c r="B19" s="16">
        <f>SUMIFS(Table1[Amount],Table1[Customer_ID],B$1,Table1[Month],$A19,Table1[Type],"Purchase")</f>
        <v>0</v>
      </c>
      <c r="C19" s="16">
        <f>SUMIFS(Table1[Amount],Table1[Customer_ID],C$1,Table1[Month],$A19,Table1[Type],"Purchase")</f>
        <v>0</v>
      </c>
      <c r="D19" s="16">
        <f>SUMIFS(Table1[Amount],Table1[Customer_ID],D$1,Table1[Month],$A19,Table1[Type],"Purchase")</f>
        <v>0</v>
      </c>
      <c r="E19" s="16">
        <f>SUMIFS(Table1[Amount],Table1[Customer_ID],E$1,Table1[Month],$A19,Table1[Type],"Purchase")</f>
        <v>0</v>
      </c>
      <c r="F19" s="16">
        <f>SUMIFS(Table1[Amount],Table1[Customer_ID],F$1,Table1[Month],$A19,Table1[Type],"Purchase")</f>
        <v>390</v>
      </c>
      <c r="G19" s="16">
        <f>SUMIFS(Table1[Amount],Table1[Customer_ID],G$1,Table1[Month],$A19,Table1[Type],"Purchase")</f>
        <v>9677</v>
      </c>
      <c r="H19" s="16">
        <f>SUMIFS(Table1[Amount],Table1[Customer_ID],H$1,Table1[Month],$A19,Table1[Type],"Purchase")</f>
        <v>0</v>
      </c>
      <c r="I19" s="16">
        <f>SUMIFS(Table1[Amount],Table1[Customer_ID],I$1,Table1[Month],$A19,Table1[Type],"Purchase")</f>
        <v>0</v>
      </c>
      <c r="J19" s="16">
        <f>SUMIFS(Table1[Amount],Table1[Customer_ID],J$1,Table1[Month],$A19,Table1[Type],"Purchase")</f>
        <v>0</v>
      </c>
      <c r="K19" s="16">
        <f>SUMIFS(Table1[Amount],Table1[Customer_ID],K$1,Table1[Month],$A19,Table1[Type],"Purchase")</f>
        <v>1693</v>
      </c>
      <c r="L19" s="16">
        <f>SUMIFS(Table1[Amount],Table1[Customer_ID],L$1,Table1[Month],$A19,Table1[Type],"Purchase")</f>
        <v>980</v>
      </c>
      <c r="M19" s="16">
        <f>SUMIFS(Table1[Amount],Table1[Customer_ID],M$1,Table1[Month],$A19,Table1[Type],"Purchase")</f>
        <v>0</v>
      </c>
      <c r="N19" s="16">
        <f>SUMIFS(Table1[Amount],Table1[Customer_ID],N$1,Table1[Month],$A19,Table1[Type],"Purchase")</f>
        <v>0</v>
      </c>
      <c r="O19" s="16">
        <f>SUMIFS(Table1[Amount],Table1[Customer_ID],O$1,Table1[Month],$A19,Table1[Type],"Purchase")</f>
        <v>0</v>
      </c>
      <c r="P19" s="16">
        <f>SUMIFS(Table1[Amount],Table1[Customer_ID],P$1,Table1[Month],$A19,Table1[Type],"Purchase")</f>
        <v>0</v>
      </c>
      <c r="Q19" s="16">
        <f>SUMIFS(Table1[Amount],Table1[Customer_ID],Q$1,Table1[Month],$A19,Table1[Type],"Purchase")</f>
        <v>0</v>
      </c>
      <c r="R19" s="16">
        <f>SUMIFS(Table1[Amount],Table1[Customer_ID],R$1,Table1[Month],$A19,Table1[Type],"Purchase")</f>
        <v>0</v>
      </c>
      <c r="S19" s="16">
        <f>SUMIFS(Table1[Amount],Table1[Customer_ID],S$1,Table1[Month],$A19,Table1[Type],"Purchase")</f>
        <v>1183</v>
      </c>
      <c r="T19" s="16">
        <f>SUMIFS(Table1[Amount],Table1[Customer_ID],T$1,Table1[Month],$A19,Table1[Type],"Purchase")</f>
        <v>2586</v>
      </c>
      <c r="U19" s="16">
        <f>SUMIFS(Table1[Amount],Table1[Customer_ID],U$1,Table1[Month],$A19,Table1[Type],"Purchase")</f>
        <v>0</v>
      </c>
      <c r="V19" s="16">
        <f>SUMIFS(Table1[Amount],Table1[Customer_ID],V$1,Table1[Month],$A19,Table1[Type],"Purchase")</f>
        <v>0</v>
      </c>
      <c r="W19" s="16">
        <f>SUMIFS(Table1[Amount],Table1[Customer_ID],W$1,Table1[Month],$A19,Table1[Type],"Purchase")</f>
        <v>0</v>
      </c>
      <c r="X19" s="16">
        <f>SUMIFS(Table1[Amount],Table1[Customer_ID],X$1,Table1[Month],$A19,Table1[Type],"Purchase")</f>
        <v>1928</v>
      </c>
      <c r="Y19" s="16">
        <f>SUMIFS(Table1[Amount],Table1[Customer_ID],Y$1,Table1[Month],$A19,Table1[Type],"Purchase")</f>
        <v>0</v>
      </c>
      <c r="Z19" s="16">
        <f>SUMIFS(Table1[Amount],Table1[Customer_ID],Z$1,Table1[Month],$A19,Table1[Type],"Purchase")</f>
        <v>31</v>
      </c>
      <c r="AA19" s="16">
        <f>SUMIFS(Table1[Amount],Table1[Customer_ID],AA$1,Table1[Month],$A19,Table1[Type],"Purchase")</f>
        <v>4103</v>
      </c>
      <c r="AB19" s="16">
        <f>SUMIFS(Table1[Amount],Table1[Customer_ID],AB$1,Table1[Month],$A19,Table1[Type],"Purchase")</f>
        <v>0</v>
      </c>
      <c r="AC19" s="16">
        <f>SUMIFS(Table1[Amount],Table1[Customer_ID],AC$1,Table1[Month],$A19,Table1[Type],"Purchase")</f>
        <v>0</v>
      </c>
      <c r="AD19" s="16">
        <f>SUMIFS(Table1[Amount],Table1[Customer_ID],AD$1,Table1[Month],$A19,Table1[Type],"Purchase")</f>
        <v>0</v>
      </c>
      <c r="AE19" s="19">
        <f t="shared" si="0"/>
        <v>22571</v>
      </c>
    </row>
    <row r="20" spans="1:31">
      <c r="A20" s="27" t="s">
        <v>712</v>
      </c>
      <c r="B20" s="16">
        <f>SUMIFS(Table1[Amount],Table1[Customer_ID],B$1,Table1[Month],$A20,Table1[Type],"Purchase")</f>
        <v>0</v>
      </c>
      <c r="C20" s="16">
        <f>SUMIFS(Table1[Amount],Table1[Customer_ID],C$1,Table1[Month],$A20,Table1[Type],"Purchase")</f>
        <v>0</v>
      </c>
      <c r="D20" s="16">
        <f>SUMIFS(Table1[Amount],Table1[Customer_ID],D$1,Table1[Month],$A20,Table1[Type],"Purchase")</f>
        <v>0</v>
      </c>
      <c r="E20" s="16">
        <f>SUMIFS(Table1[Amount],Table1[Customer_ID],E$1,Table1[Month],$A20,Table1[Type],"Purchase")</f>
        <v>0</v>
      </c>
      <c r="F20" s="16">
        <f>SUMIFS(Table1[Amount],Table1[Customer_ID],F$1,Table1[Month],$A20,Table1[Type],"Purchase")</f>
        <v>0</v>
      </c>
      <c r="G20" s="16">
        <f>SUMIFS(Table1[Amount],Table1[Customer_ID],G$1,Table1[Month],$A20,Table1[Type],"Purchase")</f>
        <v>191</v>
      </c>
      <c r="H20" s="16">
        <f>SUMIFS(Table1[Amount],Table1[Customer_ID],H$1,Table1[Month],$A20,Table1[Type],"Purchase")</f>
        <v>0</v>
      </c>
      <c r="I20" s="16">
        <f>SUMIFS(Table1[Amount],Table1[Customer_ID],I$1,Table1[Month],$A20,Table1[Type],"Purchase")</f>
        <v>0</v>
      </c>
      <c r="J20" s="16">
        <f>SUMIFS(Table1[Amount],Table1[Customer_ID],J$1,Table1[Month],$A20,Table1[Type],"Purchase")</f>
        <v>0</v>
      </c>
      <c r="K20" s="16">
        <f>SUMIFS(Table1[Amount],Table1[Customer_ID],K$1,Table1[Month],$A20,Table1[Type],"Purchase")</f>
        <v>1661</v>
      </c>
      <c r="L20" s="16">
        <f>SUMIFS(Table1[Amount],Table1[Customer_ID],L$1,Table1[Month],$A20,Table1[Type],"Purchase")</f>
        <v>0</v>
      </c>
      <c r="M20" s="16">
        <f>SUMIFS(Table1[Amount],Table1[Customer_ID],M$1,Table1[Month],$A20,Table1[Type],"Purchase")</f>
        <v>0</v>
      </c>
      <c r="N20" s="16">
        <f>SUMIFS(Table1[Amount],Table1[Customer_ID],N$1,Table1[Month],$A20,Table1[Type],"Purchase")</f>
        <v>0</v>
      </c>
      <c r="O20" s="16">
        <f>SUMIFS(Table1[Amount],Table1[Customer_ID],O$1,Table1[Month],$A20,Table1[Type],"Purchase")</f>
        <v>0</v>
      </c>
      <c r="P20" s="16">
        <f>SUMIFS(Table1[Amount],Table1[Customer_ID],P$1,Table1[Month],$A20,Table1[Type],"Purchase")</f>
        <v>0</v>
      </c>
      <c r="Q20" s="16">
        <f>SUMIFS(Table1[Amount],Table1[Customer_ID],Q$1,Table1[Month],$A20,Table1[Type],"Purchase")</f>
        <v>0</v>
      </c>
      <c r="R20" s="16">
        <f>SUMIFS(Table1[Amount],Table1[Customer_ID],R$1,Table1[Month],$A20,Table1[Type],"Purchase")</f>
        <v>0</v>
      </c>
      <c r="S20" s="16">
        <f>SUMIFS(Table1[Amount],Table1[Customer_ID],S$1,Table1[Month],$A20,Table1[Type],"Purchase")</f>
        <v>1987</v>
      </c>
      <c r="T20" s="16">
        <f>SUMIFS(Table1[Amount],Table1[Customer_ID],T$1,Table1[Month],$A20,Table1[Type],"Purchase")</f>
        <v>4899</v>
      </c>
      <c r="U20" s="16">
        <f>SUMIFS(Table1[Amount],Table1[Customer_ID],U$1,Table1[Month],$A20,Table1[Type],"Purchase")</f>
        <v>0</v>
      </c>
      <c r="V20" s="16">
        <f>SUMIFS(Table1[Amount],Table1[Customer_ID],V$1,Table1[Month],$A20,Table1[Type],"Purchase")</f>
        <v>0</v>
      </c>
      <c r="W20" s="16">
        <f>SUMIFS(Table1[Amount],Table1[Customer_ID],W$1,Table1[Month],$A20,Table1[Type],"Purchase")</f>
        <v>0</v>
      </c>
      <c r="X20" s="16">
        <f>SUMIFS(Table1[Amount],Table1[Customer_ID],X$1,Table1[Month],$A20,Table1[Type],"Purchase")</f>
        <v>901</v>
      </c>
      <c r="Y20" s="16">
        <f>SUMIFS(Table1[Amount],Table1[Customer_ID],Y$1,Table1[Month],$A20,Table1[Type],"Purchase")</f>
        <v>0</v>
      </c>
      <c r="Z20" s="16">
        <f>SUMIFS(Table1[Amount],Table1[Customer_ID],Z$1,Table1[Month],$A20,Table1[Type],"Purchase")</f>
        <v>0</v>
      </c>
      <c r="AA20" s="16">
        <f>SUMIFS(Table1[Amount],Table1[Customer_ID],AA$1,Table1[Month],$A20,Table1[Type],"Purchase")</f>
        <v>2865</v>
      </c>
      <c r="AB20" s="16">
        <f>SUMIFS(Table1[Amount],Table1[Customer_ID],AB$1,Table1[Month],$A20,Table1[Type],"Purchase")</f>
        <v>0</v>
      </c>
      <c r="AC20" s="16">
        <f>SUMIFS(Table1[Amount],Table1[Customer_ID],AC$1,Table1[Month],$A20,Table1[Type],"Purchase")</f>
        <v>0</v>
      </c>
      <c r="AD20" s="16">
        <f>SUMIFS(Table1[Amount],Table1[Customer_ID],AD$1,Table1[Month],$A20,Table1[Type],"Purchase")</f>
        <v>0</v>
      </c>
      <c r="AE20" s="19">
        <f t="shared" si="0"/>
        <v>12504</v>
      </c>
    </row>
    <row r="21" spans="1:31">
      <c r="A21" s="27" t="s">
        <v>713</v>
      </c>
      <c r="B21" s="16">
        <f>SUMIFS(Table1[Amount],Table1[Customer_ID],B$1,Table1[Month],$A21,Table1[Type],"Purchase")</f>
        <v>0</v>
      </c>
      <c r="C21" s="16">
        <f>SUMIFS(Table1[Amount],Table1[Customer_ID],C$1,Table1[Month],$A21,Table1[Type],"Purchase")</f>
        <v>0</v>
      </c>
      <c r="D21" s="16">
        <f>SUMIFS(Table1[Amount],Table1[Customer_ID],D$1,Table1[Month],$A21,Table1[Type],"Purchase")</f>
        <v>0</v>
      </c>
      <c r="E21" s="16">
        <f>SUMIFS(Table1[Amount],Table1[Customer_ID],E$1,Table1[Month],$A21,Table1[Type],"Purchase")</f>
        <v>0</v>
      </c>
      <c r="F21" s="16">
        <f>SUMIFS(Table1[Amount],Table1[Customer_ID],F$1,Table1[Month],$A21,Table1[Type],"Purchase")</f>
        <v>0</v>
      </c>
      <c r="G21" s="16">
        <f>SUMIFS(Table1[Amount],Table1[Customer_ID],G$1,Table1[Month],$A21,Table1[Type],"Purchase")</f>
        <v>0</v>
      </c>
      <c r="H21" s="16">
        <f>SUMIFS(Table1[Amount],Table1[Customer_ID],H$1,Table1[Month],$A21,Table1[Type],"Purchase")</f>
        <v>0</v>
      </c>
      <c r="I21" s="16">
        <f>SUMIFS(Table1[Amount],Table1[Customer_ID],I$1,Table1[Month],$A21,Table1[Type],"Purchase")</f>
        <v>0</v>
      </c>
      <c r="J21" s="16">
        <f>SUMIFS(Table1[Amount],Table1[Customer_ID],J$1,Table1[Month],$A21,Table1[Type],"Purchase")</f>
        <v>0</v>
      </c>
      <c r="K21" s="16">
        <f>SUMIFS(Table1[Amount],Table1[Customer_ID],K$1,Table1[Month],$A21,Table1[Type],"Purchase")</f>
        <v>101</v>
      </c>
      <c r="L21" s="16">
        <f>SUMIFS(Table1[Amount],Table1[Customer_ID],L$1,Table1[Month],$A21,Table1[Type],"Purchase")</f>
        <v>0</v>
      </c>
      <c r="M21" s="16">
        <f>SUMIFS(Table1[Amount],Table1[Customer_ID],M$1,Table1[Month],$A21,Table1[Type],"Purchase")</f>
        <v>0</v>
      </c>
      <c r="N21" s="16">
        <f>SUMIFS(Table1[Amount],Table1[Customer_ID],N$1,Table1[Month],$A21,Table1[Type],"Purchase")</f>
        <v>0</v>
      </c>
      <c r="O21" s="16">
        <f>SUMIFS(Table1[Amount],Table1[Customer_ID],O$1,Table1[Month],$A21,Table1[Type],"Purchase")</f>
        <v>0</v>
      </c>
      <c r="P21" s="16">
        <f>SUMIFS(Table1[Amount],Table1[Customer_ID],P$1,Table1[Month],$A21,Table1[Type],"Purchase")</f>
        <v>0</v>
      </c>
      <c r="Q21" s="16">
        <f>SUMIFS(Table1[Amount],Table1[Customer_ID],Q$1,Table1[Month],$A21,Table1[Type],"Purchase")</f>
        <v>0</v>
      </c>
      <c r="R21" s="16">
        <f>SUMIFS(Table1[Amount],Table1[Customer_ID],R$1,Table1[Month],$A21,Table1[Type],"Purchase")</f>
        <v>0</v>
      </c>
      <c r="S21" s="16">
        <f>SUMIFS(Table1[Amount],Table1[Customer_ID],S$1,Table1[Month],$A21,Table1[Type],"Purchase")</f>
        <v>0</v>
      </c>
      <c r="T21" s="16">
        <f>SUMIFS(Table1[Amount],Table1[Customer_ID],T$1,Table1[Month],$A21,Table1[Type],"Purchase")</f>
        <v>1211</v>
      </c>
      <c r="U21" s="16">
        <f>SUMIFS(Table1[Amount],Table1[Customer_ID],U$1,Table1[Month],$A21,Table1[Type],"Purchase")</f>
        <v>0</v>
      </c>
      <c r="V21" s="16">
        <f>SUMIFS(Table1[Amount],Table1[Customer_ID],V$1,Table1[Month],$A21,Table1[Type],"Purchase")</f>
        <v>0</v>
      </c>
      <c r="W21" s="16">
        <f>SUMIFS(Table1[Amount],Table1[Customer_ID],W$1,Table1[Month],$A21,Table1[Type],"Purchase")</f>
        <v>0</v>
      </c>
      <c r="X21" s="16">
        <f>SUMIFS(Table1[Amount],Table1[Customer_ID],X$1,Table1[Month],$A21,Table1[Type],"Purchase")</f>
        <v>0</v>
      </c>
      <c r="Y21" s="16">
        <f>SUMIFS(Table1[Amount],Table1[Customer_ID],Y$1,Table1[Month],$A21,Table1[Type],"Purchase")</f>
        <v>0</v>
      </c>
      <c r="Z21" s="16">
        <f>SUMIFS(Table1[Amount],Table1[Customer_ID],Z$1,Table1[Month],$A21,Table1[Type],"Purchase")</f>
        <v>0</v>
      </c>
      <c r="AA21" s="16">
        <f>SUMIFS(Table1[Amount],Table1[Customer_ID],AA$1,Table1[Month],$A21,Table1[Type],"Purchase")</f>
        <v>30</v>
      </c>
      <c r="AB21" s="16">
        <f>SUMIFS(Table1[Amount],Table1[Customer_ID],AB$1,Table1[Month],$A21,Table1[Type],"Purchase")</f>
        <v>0</v>
      </c>
      <c r="AC21" s="16">
        <f>SUMIFS(Table1[Amount],Table1[Customer_ID],AC$1,Table1[Month],$A21,Table1[Type],"Purchase")</f>
        <v>0</v>
      </c>
      <c r="AD21" s="16">
        <f>SUMIFS(Table1[Amount],Table1[Customer_ID],AD$1,Table1[Month],$A21,Table1[Type],"Purchase")</f>
        <v>0</v>
      </c>
      <c r="AE21" s="19">
        <f t="shared" si="0"/>
        <v>1342</v>
      </c>
    </row>
    <row r="22" spans="1:31">
      <c r="A22" s="27" t="s">
        <v>714</v>
      </c>
      <c r="B22" s="16">
        <f>SUMIFS(Table1[Amount],Table1[Customer_ID],B$1,Table1[Month],$A22,Table1[Type],"Purchase")</f>
        <v>0</v>
      </c>
      <c r="C22" s="16">
        <f>SUMIFS(Table1[Amount],Table1[Customer_ID],C$1,Table1[Month],$A22,Table1[Type],"Purchase")</f>
        <v>0</v>
      </c>
      <c r="D22" s="16">
        <f>SUMIFS(Table1[Amount],Table1[Customer_ID],D$1,Table1[Month],$A22,Table1[Type],"Purchase")</f>
        <v>0</v>
      </c>
      <c r="E22" s="16">
        <f>SUMIFS(Table1[Amount],Table1[Customer_ID],E$1,Table1[Month],$A22,Table1[Type],"Purchase")</f>
        <v>0</v>
      </c>
      <c r="F22" s="16">
        <f>SUMIFS(Table1[Amount],Table1[Customer_ID],F$1,Table1[Month],$A22,Table1[Type],"Purchase")</f>
        <v>0</v>
      </c>
      <c r="G22" s="16">
        <f>SUMIFS(Table1[Amount],Table1[Customer_ID],G$1,Table1[Month],$A22,Table1[Type],"Purchase")</f>
        <v>0</v>
      </c>
      <c r="H22" s="16">
        <f>SUMIFS(Table1[Amount],Table1[Customer_ID],H$1,Table1[Month],$A22,Table1[Type],"Purchase")</f>
        <v>0</v>
      </c>
      <c r="I22" s="16">
        <f>SUMIFS(Table1[Amount],Table1[Customer_ID],I$1,Table1[Month],$A22,Table1[Type],"Purchase")</f>
        <v>0</v>
      </c>
      <c r="J22" s="16">
        <f>SUMIFS(Table1[Amount],Table1[Customer_ID],J$1,Table1[Month],$A22,Table1[Type],"Purchase")</f>
        <v>0</v>
      </c>
      <c r="K22" s="16">
        <f>SUMIFS(Table1[Amount],Table1[Customer_ID],K$1,Table1[Month],$A22,Table1[Type],"Purchase")</f>
        <v>0</v>
      </c>
      <c r="L22" s="16">
        <f>SUMIFS(Table1[Amount],Table1[Customer_ID],L$1,Table1[Month],$A22,Table1[Type],"Purchase")</f>
        <v>0</v>
      </c>
      <c r="M22" s="16">
        <f>SUMIFS(Table1[Amount],Table1[Customer_ID],M$1,Table1[Month],$A22,Table1[Type],"Purchase")</f>
        <v>0</v>
      </c>
      <c r="N22" s="16">
        <f>SUMIFS(Table1[Amount],Table1[Customer_ID],N$1,Table1[Month],$A22,Table1[Type],"Purchase")</f>
        <v>0</v>
      </c>
      <c r="O22" s="16">
        <f>SUMIFS(Table1[Amount],Table1[Customer_ID],O$1,Table1[Month],$A22,Table1[Type],"Purchase")</f>
        <v>0</v>
      </c>
      <c r="P22" s="16">
        <f>SUMIFS(Table1[Amount],Table1[Customer_ID],P$1,Table1[Month],$A22,Table1[Type],"Purchase")</f>
        <v>0</v>
      </c>
      <c r="Q22" s="16">
        <f>SUMIFS(Table1[Amount],Table1[Customer_ID],Q$1,Table1[Month],$A22,Table1[Type],"Purchase")</f>
        <v>0</v>
      </c>
      <c r="R22" s="16">
        <f>SUMIFS(Table1[Amount],Table1[Customer_ID],R$1,Table1[Month],$A22,Table1[Type],"Purchase")</f>
        <v>0</v>
      </c>
      <c r="S22" s="16">
        <f>SUMIFS(Table1[Amount],Table1[Customer_ID],S$1,Table1[Month],$A22,Table1[Type],"Purchase")</f>
        <v>0</v>
      </c>
      <c r="T22" s="16">
        <f>SUMIFS(Table1[Amount],Table1[Customer_ID],T$1,Table1[Month],$A22,Table1[Type],"Purchase")</f>
        <v>0</v>
      </c>
      <c r="U22" s="16">
        <f>SUMIFS(Table1[Amount],Table1[Customer_ID],U$1,Table1[Month],$A22,Table1[Type],"Purchase")</f>
        <v>0</v>
      </c>
      <c r="V22" s="16">
        <f>SUMIFS(Table1[Amount],Table1[Customer_ID],V$1,Table1[Month],$A22,Table1[Type],"Purchase")</f>
        <v>0</v>
      </c>
      <c r="W22" s="16">
        <f>SUMIFS(Table1[Amount],Table1[Customer_ID],W$1,Table1[Month],$A22,Table1[Type],"Purchase")</f>
        <v>0</v>
      </c>
      <c r="X22" s="16">
        <f>SUMIFS(Table1[Amount],Table1[Customer_ID],X$1,Table1[Month],$A22,Table1[Type],"Purchase")</f>
        <v>0</v>
      </c>
      <c r="Y22" s="16">
        <f>SUMIFS(Table1[Amount],Table1[Customer_ID],Y$1,Table1[Month],$A22,Table1[Type],"Purchase")</f>
        <v>0</v>
      </c>
      <c r="Z22" s="16">
        <f>SUMIFS(Table1[Amount],Table1[Customer_ID],Z$1,Table1[Month],$A22,Table1[Type],"Purchase")</f>
        <v>0</v>
      </c>
      <c r="AA22" s="16">
        <f>SUMIFS(Table1[Amount],Table1[Customer_ID],AA$1,Table1[Month],$A22,Table1[Type],"Purchase")</f>
        <v>0</v>
      </c>
      <c r="AB22" s="16">
        <f>SUMIFS(Table1[Amount],Table1[Customer_ID],AB$1,Table1[Month],$A22,Table1[Type],"Purchase")</f>
        <v>0</v>
      </c>
      <c r="AC22" s="16">
        <f>SUMIFS(Table1[Amount],Table1[Customer_ID],AC$1,Table1[Month],$A22,Table1[Type],"Purchase")</f>
        <v>0</v>
      </c>
      <c r="AD22" s="16">
        <f>SUMIFS(Table1[Amount],Table1[Customer_ID],AD$1,Table1[Month],$A22,Table1[Type],"Purchase")</f>
        <v>0</v>
      </c>
      <c r="AE22" s="19">
        <f t="shared" si="0"/>
        <v>0</v>
      </c>
    </row>
    <row r="23" spans="1:31">
      <c r="A23" s="27" t="s">
        <v>715</v>
      </c>
      <c r="B23" s="16">
        <f>SUMIFS(Table1[Amount],Table1[Customer_ID],B$1,Table1[Month],$A23,Table1[Type],"Purchase")</f>
        <v>0</v>
      </c>
      <c r="C23" s="16">
        <f>SUMIFS(Table1[Amount],Table1[Customer_ID],C$1,Table1[Month],$A23,Table1[Type],"Purchase")</f>
        <v>0</v>
      </c>
      <c r="D23" s="16">
        <f>SUMIFS(Table1[Amount],Table1[Customer_ID],D$1,Table1[Month],$A23,Table1[Type],"Purchase")</f>
        <v>0</v>
      </c>
      <c r="E23" s="16">
        <f>SUMIFS(Table1[Amount],Table1[Customer_ID],E$1,Table1[Month],$A23,Table1[Type],"Purchase")</f>
        <v>0</v>
      </c>
      <c r="F23" s="16">
        <f>SUMIFS(Table1[Amount],Table1[Customer_ID],F$1,Table1[Month],$A23,Table1[Type],"Purchase")</f>
        <v>0</v>
      </c>
      <c r="G23" s="16">
        <f>SUMIFS(Table1[Amount],Table1[Customer_ID],G$1,Table1[Month],$A23,Table1[Type],"Purchase")</f>
        <v>0</v>
      </c>
      <c r="H23" s="16">
        <f>SUMIFS(Table1[Amount],Table1[Customer_ID],H$1,Table1[Month],$A23,Table1[Type],"Purchase")</f>
        <v>0</v>
      </c>
      <c r="I23" s="16">
        <f>SUMIFS(Table1[Amount],Table1[Customer_ID],I$1,Table1[Month],$A23,Table1[Type],"Purchase")</f>
        <v>0</v>
      </c>
      <c r="J23" s="16">
        <f>SUMIFS(Table1[Amount],Table1[Customer_ID],J$1,Table1[Month],$A23,Table1[Type],"Purchase")</f>
        <v>0</v>
      </c>
      <c r="K23" s="16">
        <f>SUMIFS(Table1[Amount],Table1[Customer_ID],K$1,Table1[Month],$A23,Table1[Type],"Purchase")</f>
        <v>0</v>
      </c>
      <c r="L23" s="16">
        <f>SUMIFS(Table1[Amount],Table1[Customer_ID],L$1,Table1[Month],$A23,Table1[Type],"Purchase")</f>
        <v>0</v>
      </c>
      <c r="M23" s="16">
        <f>SUMIFS(Table1[Amount],Table1[Customer_ID],M$1,Table1[Month],$A23,Table1[Type],"Purchase")</f>
        <v>0</v>
      </c>
      <c r="N23" s="16">
        <f>SUMIFS(Table1[Amount],Table1[Customer_ID],N$1,Table1[Month],$A23,Table1[Type],"Purchase")</f>
        <v>0</v>
      </c>
      <c r="O23" s="16">
        <f>SUMIFS(Table1[Amount],Table1[Customer_ID],O$1,Table1[Month],$A23,Table1[Type],"Purchase")</f>
        <v>0</v>
      </c>
      <c r="P23" s="16">
        <f>SUMIFS(Table1[Amount],Table1[Customer_ID],P$1,Table1[Month],$A23,Table1[Type],"Purchase")</f>
        <v>0</v>
      </c>
      <c r="Q23" s="16">
        <f>SUMIFS(Table1[Amount],Table1[Customer_ID],Q$1,Table1[Month],$A23,Table1[Type],"Purchase")</f>
        <v>0</v>
      </c>
      <c r="R23" s="16">
        <f>SUMIFS(Table1[Amount],Table1[Customer_ID],R$1,Table1[Month],$A23,Table1[Type],"Purchase")</f>
        <v>0</v>
      </c>
      <c r="S23" s="16">
        <f>SUMIFS(Table1[Amount],Table1[Customer_ID],S$1,Table1[Month],$A23,Table1[Type],"Purchase")</f>
        <v>0</v>
      </c>
      <c r="T23" s="16">
        <f>SUMIFS(Table1[Amount],Table1[Customer_ID],T$1,Table1[Month],$A23,Table1[Type],"Purchase")</f>
        <v>0</v>
      </c>
      <c r="U23" s="16">
        <f>SUMIFS(Table1[Amount],Table1[Customer_ID],U$1,Table1[Month],$A23,Table1[Type],"Purchase")</f>
        <v>0</v>
      </c>
      <c r="V23" s="16">
        <f>SUMIFS(Table1[Amount],Table1[Customer_ID],V$1,Table1[Month],$A23,Table1[Type],"Purchase")</f>
        <v>0</v>
      </c>
      <c r="W23" s="16">
        <f>SUMIFS(Table1[Amount],Table1[Customer_ID],W$1,Table1[Month],$A23,Table1[Type],"Purchase")</f>
        <v>0</v>
      </c>
      <c r="X23" s="16">
        <f>SUMIFS(Table1[Amount],Table1[Customer_ID],X$1,Table1[Month],$A23,Table1[Type],"Purchase")</f>
        <v>0</v>
      </c>
      <c r="Y23" s="16">
        <f>SUMIFS(Table1[Amount],Table1[Customer_ID],Y$1,Table1[Month],$A23,Table1[Type],"Purchase")</f>
        <v>0</v>
      </c>
      <c r="Z23" s="16">
        <f>SUMIFS(Table1[Amount],Table1[Customer_ID],Z$1,Table1[Month],$A23,Table1[Type],"Purchase")</f>
        <v>0</v>
      </c>
      <c r="AA23" s="16">
        <f>SUMIFS(Table1[Amount],Table1[Customer_ID],AA$1,Table1[Month],$A23,Table1[Type],"Purchase")</f>
        <v>0</v>
      </c>
      <c r="AB23" s="16">
        <f>SUMIFS(Table1[Amount],Table1[Customer_ID],AB$1,Table1[Month],$A23,Table1[Type],"Purchase")</f>
        <v>0</v>
      </c>
      <c r="AC23" s="16">
        <f>SUMIFS(Table1[Amount],Table1[Customer_ID],AC$1,Table1[Month],$A23,Table1[Type],"Purchase")</f>
        <v>0</v>
      </c>
      <c r="AD23" s="16">
        <f>SUMIFS(Table1[Amount],Table1[Customer_ID],AD$1,Table1[Month],$A23,Table1[Type],"Purchase")</f>
        <v>0</v>
      </c>
      <c r="AE23" s="19">
        <f t="shared" si="0"/>
        <v>0</v>
      </c>
    </row>
    <row r="24" spans="1:31">
      <c r="A24" s="27" t="s">
        <v>716</v>
      </c>
      <c r="B24" s="16">
        <f>SUMIFS(Table1[Amount],Table1[Customer_ID],B$1,Table1[Month],$A24,Table1[Type],"Purchase")</f>
        <v>0</v>
      </c>
      <c r="C24" s="16">
        <f>SUMIFS(Table1[Amount],Table1[Customer_ID],C$1,Table1[Month],$A24,Table1[Type],"Purchase")</f>
        <v>0</v>
      </c>
      <c r="D24" s="16">
        <f>SUMIFS(Table1[Amount],Table1[Customer_ID],D$1,Table1[Month],$A24,Table1[Type],"Purchase")</f>
        <v>0</v>
      </c>
      <c r="E24" s="16">
        <f>SUMIFS(Table1[Amount],Table1[Customer_ID],E$1,Table1[Month],$A24,Table1[Type],"Purchase")</f>
        <v>0</v>
      </c>
      <c r="F24" s="16">
        <f>SUMIFS(Table1[Amount],Table1[Customer_ID],F$1,Table1[Month],$A24,Table1[Type],"Purchase")</f>
        <v>0</v>
      </c>
      <c r="G24" s="16">
        <f>SUMIFS(Table1[Amount],Table1[Customer_ID],G$1,Table1[Month],$A24,Table1[Type],"Purchase")</f>
        <v>0</v>
      </c>
      <c r="H24" s="16">
        <f>SUMIFS(Table1[Amount],Table1[Customer_ID],H$1,Table1[Month],$A24,Table1[Type],"Purchase")</f>
        <v>0</v>
      </c>
      <c r="I24" s="16">
        <f>SUMIFS(Table1[Amount],Table1[Customer_ID],I$1,Table1[Month],$A24,Table1[Type],"Purchase")</f>
        <v>0</v>
      </c>
      <c r="J24" s="16">
        <f>SUMIFS(Table1[Amount],Table1[Customer_ID],J$1,Table1[Month],$A24,Table1[Type],"Purchase")</f>
        <v>0</v>
      </c>
      <c r="K24" s="16">
        <f>SUMIFS(Table1[Amount],Table1[Customer_ID],K$1,Table1[Month],$A24,Table1[Type],"Purchase")</f>
        <v>0</v>
      </c>
      <c r="L24" s="16">
        <f>SUMIFS(Table1[Amount],Table1[Customer_ID],L$1,Table1[Month],$A24,Table1[Type],"Purchase")</f>
        <v>0</v>
      </c>
      <c r="M24" s="16">
        <f>SUMIFS(Table1[Amount],Table1[Customer_ID],M$1,Table1[Month],$A24,Table1[Type],"Purchase")</f>
        <v>0</v>
      </c>
      <c r="N24" s="16">
        <f>SUMIFS(Table1[Amount],Table1[Customer_ID],N$1,Table1[Month],$A24,Table1[Type],"Purchase")</f>
        <v>0</v>
      </c>
      <c r="O24" s="16">
        <f>SUMIFS(Table1[Amount],Table1[Customer_ID],O$1,Table1[Month],$A24,Table1[Type],"Purchase")</f>
        <v>0</v>
      </c>
      <c r="P24" s="16">
        <f>SUMIFS(Table1[Amount],Table1[Customer_ID],P$1,Table1[Month],$A24,Table1[Type],"Purchase")</f>
        <v>0</v>
      </c>
      <c r="Q24" s="16">
        <f>SUMIFS(Table1[Amount],Table1[Customer_ID],Q$1,Table1[Month],$A24,Table1[Type],"Purchase")</f>
        <v>0</v>
      </c>
      <c r="R24" s="16">
        <f>SUMIFS(Table1[Amount],Table1[Customer_ID],R$1,Table1[Month],$A24,Table1[Type],"Purchase")</f>
        <v>0</v>
      </c>
      <c r="S24" s="16">
        <f>SUMIFS(Table1[Amount],Table1[Customer_ID],S$1,Table1[Month],$A24,Table1[Type],"Purchase")</f>
        <v>0</v>
      </c>
      <c r="T24" s="16">
        <f>SUMIFS(Table1[Amount],Table1[Customer_ID],T$1,Table1[Month],$A24,Table1[Type],"Purchase")</f>
        <v>0</v>
      </c>
      <c r="U24" s="16">
        <f>SUMIFS(Table1[Amount],Table1[Customer_ID],U$1,Table1[Month],$A24,Table1[Type],"Purchase")</f>
        <v>0</v>
      </c>
      <c r="V24" s="16">
        <f>SUMIFS(Table1[Amount],Table1[Customer_ID],V$1,Table1[Month],$A24,Table1[Type],"Purchase")</f>
        <v>0</v>
      </c>
      <c r="W24" s="16">
        <f>SUMIFS(Table1[Amount],Table1[Customer_ID],W$1,Table1[Month],$A24,Table1[Type],"Purchase")</f>
        <v>0</v>
      </c>
      <c r="X24" s="16">
        <f>SUMIFS(Table1[Amount],Table1[Customer_ID],X$1,Table1[Month],$A24,Table1[Type],"Purchase")</f>
        <v>0</v>
      </c>
      <c r="Y24" s="16">
        <f>SUMIFS(Table1[Amount],Table1[Customer_ID],Y$1,Table1[Month],$A24,Table1[Type],"Purchase")</f>
        <v>0</v>
      </c>
      <c r="Z24" s="16">
        <f>SUMIFS(Table1[Amount],Table1[Customer_ID],Z$1,Table1[Month],$A24,Table1[Type],"Purchase")</f>
        <v>0</v>
      </c>
      <c r="AA24" s="16">
        <f>SUMIFS(Table1[Amount],Table1[Customer_ID],AA$1,Table1[Month],$A24,Table1[Type],"Purchase")</f>
        <v>0</v>
      </c>
      <c r="AB24" s="16">
        <f>SUMIFS(Table1[Amount],Table1[Customer_ID],AB$1,Table1[Month],$A24,Table1[Type],"Purchase")</f>
        <v>0</v>
      </c>
      <c r="AC24" s="16">
        <f>SUMIFS(Table1[Amount],Table1[Customer_ID],AC$1,Table1[Month],$A24,Table1[Type],"Purchase")</f>
        <v>0</v>
      </c>
      <c r="AD24" s="16">
        <f>SUMIFS(Table1[Amount],Table1[Customer_ID],AD$1,Table1[Month],$A24,Table1[Type],"Purchase")</f>
        <v>0</v>
      </c>
      <c r="AE24" s="19">
        <f t="shared" si="0"/>
        <v>0</v>
      </c>
    </row>
    <row r="25" spans="1:31">
      <c r="A25" s="27" t="s">
        <v>717</v>
      </c>
      <c r="B25" s="16">
        <f>SUMIFS(Table1[Amount],Table1[Customer_ID],B$1,Table1[Month],$A25,Table1[Type],"Purchase")</f>
        <v>0</v>
      </c>
      <c r="C25" s="16">
        <f>SUMIFS(Table1[Amount],Table1[Customer_ID],C$1,Table1[Month],$A25,Table1[Type],"Purchase")</f>
        <v>0</v>
      </c>
      <c r="D25" s="16">
        <f>SUMIFS(Table1[Amount],Table1[Customer_ID],D$1,Table1[Month],$A25,Table1[Type],"Purchase")</f>
        <v>0</v>
      </c>
      <c r="E25" s="16">
        <f>SUMIFS(Table1[Amount],Table1[Customer_ID],E$1,Table1[Month],$A25,Table1[Type],"Purchase")</f>
        <v>0</v>
      </c>
      <c r="F25" s="16">
        <f>SUMIFS(Table1[Amount],Table1[Customer_ID],F$1,Table1[Month],$A25,Table1[Type],"Purchase")</f>
        <v>0</v>
      </c>
      <c r="G25" s="16">
        <f>SUMIFS(Table1[Amount],Table1[Customer_ID],G$1,Table1[Month],$A25,Table1[Type],"Purchase")</f>
        <v>0</v>
      </c>
      <c r="H25" s="16">
        <f>SUMIFS(Table1[Amount],Table1[Customer_ID],H$1,Table1[Month],$A25,Table1[Type],"Purchase")</f>
        <v>0</v>
      </c>
      <c r="I25" s="16">
        <f>SUMIFS(Table1[Amount],Table1[Customer_ID],I$1,Table1[Month],$A25,Table1[Type],"Purchase")</f>
        <v>0</v>
      </c>
      <c r="J25" s="16">
        <f>SUMIFS(Table1[Amount],Table1[Customer_ID],J$1,Table1[Month],$A25,Table1[Type],"Purchase")</f>
        <v>0</v>
      </c>
      <c r="K25" s="16">
        <f>SUMIFS(Table1[Amount],Table1[Customer_ID],K$1,Table1[Month],$A25,Table1[Type],"Purchase")</f>
        <v>0</v>
      </c>
      <c r="L25" s="16">
        <f>SUMIFS(Table1[Amount],Table1[Customer_ID],L$1,Table1[Month],$A25,Table1[Type],"Purchase")</f>
        <v>0</v>
      </c>
      <c r="M25" s="16">
        <f>SUMIFS(Table1[Amount],Table1[Customer_ID],M$1,Table1[Month],$A25,Table1[Type],"Purchase")</f>
        <v>0</v>
      </c>
      <c r="N25" s="16">
        <f>SUMIFS(Table1[Amount],Table1[Customer_ID],N$1,Table1[Month],$A25,Table1[Type],"Purchase")</f>
        <v>0</v>
      </c>
      <c r="O25" s="16">
        <f>SUMIFS(Table1[Amount],Table1[Customer_ID],O$1,Table1[Month],$A25,Table1[Type],"Purchase")</f>
        <v>0</v>
      </c>
      <c r="P25" s="16">
        <f>SUMIFS(Table1[Amount],Table1[Customer_ID],P$1,Table1[Month],$A25,Table1[Type],"Purchase")</f>
        <v>0</v>
      </c>
      <c r="Q25" s="16">
        <f>SUMIFS(Table1[Amount],Table1[Customer_ID],Q$1,Table1[Month],$A25,Table1[Type],"Purchase")</f>
        <v>0</v>
      </c>
      <c r="R25" s="16">
        <f>SUMIFS(Table1[Amount],Table1[Customer_ID],R$1,Table1[Month],$A25,Table1[Type],"Purchase")</f>
        <v>0</v>
      </c>
      <c r="S25" s="16">
        <f>SUMIFS(Table1[Amount],Table1[Customer_ID],S$1,Table1[Month],$A25,Table1[Type],"Purchase")</f>
        <v>0</v>
      </c>
      <c r="T25" s="16">
        <f>SUMIFS(Table1[Amount],Table1[Customer_ID],T$1,Table1[Month],$A25,Table1[Type],"Purchase")</f>
        <v>0</v>
      </c>
      <c r="U25" s="16">
        <f>SUMIFS(Table1[Amount],Table1[Customer_ID],U$1,Table1[Month],$A25,Table1[Type],"Purchase")</f>
        <v>0</v>
      </c>
      <c r="V25" s="16">
        <f>SUMIFS(Table1[Amount],Table1[Customer_ID],V$1,Table1[Month],$A25,Table1[Type],"Purchase")</f>
        <v>0</v>
      </c>
      <c r="W25" s="16">
        <f>SUMIFS(Table1[Amount],Table1[Customer_ID],W$1,Table1[Month],$A25,Table1[Type],"Purchase")</f>
        <v>0</v>
      </c>
      <c r="X25" s="16">
        <f>SUMIFS(Table1[Amount],Table1[Customer_ID],X$1,Table1[Month],$A25,Table1[Type],"Purchase")</f>
        <v>0</v>
      </c>
      <c r="Y25" s="16">
        <f>SUMIFS(Table1[Amount],Table1[Customer_ID],Y$1,Table1[Month],$A25,Table1[Type],"Purchase")</f>
        <v>0</v>
      </c>
      <c r="Z25" s="16">
        <f>SUMIFS(Table1[Amount],Table1[Customer_ID],Z$1,Table1[Month],$A25,Table1[Type],"Purchase")</f>
        <v>0</v>
      </c>
      <c r="AA25" s="16">
        <f>SUMIFS(Table1[Amount],Table1[Customer_ID],AA$1,Table1[Month],$A25,Table1[Type],"Purchase")</f>
        <v>0</v>
      </c>
      <c r="AB25" s="16">
        <f>SUMIFS(Table1[Amount],Table1[Customer_ID],AB$1,Table1[Month],$A25,Table1[Type],"Purchase")</f>
        <v>0</v>
      </c>
      <c r="AC25" s="16">
        <f>SUMIFS(Table1[Amount],Table1[Customer_ID],AC$1,Table1[Month],$A25,Table1[Type],"Purchase")</f>
        <v>0</v>
      </c>
      <c r="AD25" s="16">
        <f>SUMIFS(Table1[Amount],Table1[Customer_ID],AD$1,Table1[Month],$A25,Table1[Type],"Purchase")</f>
        <v>0</v>
      </c>
      <c r="AE25" s="19">
        <f t="shared" si="0"/>
        <v>0</v>
      </c>
    </row>
    <row r="26" spans="1:31">
      <c r="A26" s="27" t="s">
        <v>718</v>
      </c>
      <c r="B26" s="16">
        <f>SUMIFS(Table1[Amount],Table1[Customer_ID],B$1,Table1[Month],$A26,Table1[Type],"Purchase")</f>
        <v>0</v>
      </c>
      <c r="C26" s="16">
        <f>SUMIFS(Table1[Amount],Table1[Customer_ID],C$1,Table1[Month],$A26,Table1[Type],"Purchase")</f>
        <v>0</v>
      </c>
      <c r="D26" s="16">
        <f>SUMIFS(Table1[Amount],Table1[Customer_ID],D$1,Table1[Month],$A26,Table1[Type],"Purchase")</f>
        <v>0</v>
      </c>
      <c r="E26" s="16">
        <f>SUMIFS(Table1[Amount],Table1[Customer_ID],E$1,Table1[Month],$A26,Table1[Type],"Purchase")</f>
        <v>0</v>
      </c>
      <c r="F26" s="16">
        <f>SUMIFS(Table1[Amount],Table1[Customer_ID],F$1,Table1[Month],$A26,Table1[Type],"Purchase")</f>
        <v>0</v>
      </c>
      <c r="G26" s="16">
        <f>SUMIFS(Table1[Amount],Table1[Customer_ID],G$1,Table1[Month],$A26,Table1[Type],"Purchase")</f>
        <v>0</v>
      </c>
      <c r="H26" s="16">
        <f>SUMIFS(Table1[Amount],Table1[Customer_ID],H$1,Table1[Month],$A26,Table1[Type],"Purchase")</f>
        <v>0</v>
      </c>
      <c r="I26" s="16">
        <f>SUMIFS(Table1[Amount],Table1[Customer_ID],I$1,Table1[Month],$A26,Table1[Type],"Purchase")</f>
        <v>0</v>
      </c>
      <c r="J26" s="16">
        <f>SUMIFS(Table1[Amount],Table1[Customer_ID],J$1,Table1[Month],$A26,Table1[Type],"Purchase")</f>
        <v>0</v>
      </c>
      <c r="K26" s="16">
        <f>SUMIFS(Table1[Amount],Table1[Customer_ID],K$1,Table1[Month],$A26,Table1[Type],"Purchase")</f>
        <v>0</v>
      </c>
      <c r="L26" s="16">
        <f>SUMIFS(Table1[Amount],Table1[Customer_ID],L$1,Table1[Month],$A26,Table1[Type],"Purchase")</f>
        <v>0</v>
      </c>
      <c r="M26" s="16">
        <f>SUMIFS(Table1[Amount],Table1[Customer_ID],M$1,Table1[Month],$A26,Table1[Type],"Purchase")</f>
        <v>0</v>
      </c>
      <c r="N26" s="16">
        <f>SUMIFS(Table1[Amount],Table1[Customer_ID],N$1,Table1[Month],$A26,Table1[Type],"Purchase")</f>
        <v>0</v>
      </c>
      <c r="O26" s="16">
        <f>SUMIFS(Table1[Amount],Table1[Customer_ID],O$1,Table1[Month],$A26,Table1[Type],"Purchase")</f>
        <v>0</v>
      </c>
      <c r="P26" s="16">
        <f>SUMIFS(Table1[Amount],Table1[Customer_ID],P$1,Table1[Month],$A26,Table1[Type],"Purchase")</f>
        <v>0</v>
      </c>
      <c r="Q26" s="16">
        <f>SUMIFS(Table1[Amount],Table1[Customer_ID],Q$1,Table1[Month],$A26,Table1[Type],"Purchase")</f>
        <v>0</v>
      </c>
      <c r="R26" s="16">
        <f>SUMIFS(Table1[Amount],Table1[Customer_ID],R$1,Table1[Month],$A26,Table1[Type],"Purchase")</f>
        <v>0</v>
      </c>
      <c r="S26" s="16">
        <f>SUMIFS(Table1[Amount],Table1[Customer_ID],S$1,Table1[Month],$A26,Table1[Type],"Purchase")</f>
        <v>0</v>
      </c>
      <c r="T26" s="16">
        <f>SUMIFS(Table1[Amount],Table1[Customer_ID],T$1,Table1[Month],$A26,Table1[Type],"Purchase")</f>
        <v>0</v>
      </c>
      <c r="U26" s="16">
        <f>SUMIFS(Table1[Amount],Table1[Customer_ID],U$1,Table1[Month],$A26,Table1[Type],"Purchase")</f>
        <v>0</v>
      </c>
      <c r="V26" s="16">
        <f>SUMIFS(Table1[Amount],Table1[Customer_ID],V$1,Table1[Month],$A26,Table1[Type],"Purchase")</f>
        <v>0</v>
      </c>
      <c r="W26" s="16">
        <f>SUMIFS(Table1[Amount],Table1[Customer_ID],W$1,Table1[Month],$A26,Table1[Type],"Purchase")</f>
        <v>0</v>
      </c>
      <c r="X26" s="16">
        <f>SUMIFS(Table1[Amount],Table1[Customer_ID],X$1,Table1[Month],$A26,Table1[Type],"Purchase")</f>
        <v>0</v>
      </c>
      <c r="Y26" s="16">
        <f>SUMIFS(Table1[Amount],Table1[Customer_ID],Y$1,Table1[Month],$A26,Table1[Type],"Purchase")</f>
        <v>0</v>
      </c>
      <c r="Z26" s="16">
        <f>SUMIFS(Table1[Amount],Table1[Customer_ID],Z$1,Table1[Month],$A26,Table1[Type],"Purchase")</f>
        <v>0</v>
      </c>
      <c r="AA26" s="16">
        <f>SUMIFS(Table1[Amount],Table1[Customer_ID],AA$1,Table1[Month],$A26,Table1[Type],"Purchase")</f>
        <v>0</v>
      </c>
      <c r="AB26" s="16">
        <f>SUMIFS(Table1[Amount],Table1[Customer_ID],AB$1,Table1[Month],$A26,Table1[Type],"Purchase")</f>
        <v>0</v>
      </c>
      <c r="AC26" s="16">
        <f>SUMIFS(Table1[Amount],Table1[Customer_ID],AC$1,Table1[Month],$A26,Table1[Type],"Purchase")</f>
        <v>0</v>
      </c>
      <c r="AD26" s="16">
        <f>SUMIFS(Table1[Amount],Table1[Customer_ID],AD$1,Table1[Month],$A26,Table1[Type],"Purchase")</f>
        <v>0</v>
      </c>
      <c r="AE26" s="19">
        <f t="shared" si="0"/>
        <v>0</v>
      </c>
    </row>
    <row r="27" spans="1:31">
      <c r="A27" s="27" t="s">
        <v>682</v>
      </c>
      <c r="B27" s="16">
        <f>SUMIFS(Table1[Amount],Table1[Customer_ID],B$1,Table1[Month],$A27,Table1[Type],"Purchase")</f>
        <v>0</v>
      </c>
      <c r="C27" s="16">
        <f>SUMIFS(Table1[Amount],Table1[Customer_ID],C$1,Table1[Month],$A27,Table1[Type],"Purchase")</f>
        <v>0</v>
      </c>
      <c r="D27" s="16">
        <f>SUMIFS(Table1[Amount],Table1[Customer_ID],D$1,Table1[Month],$A27,Table1[Type],"Purchase")</f>
        <v>0</v>
      </c>
      <c r="E27" s="16">
        <f>SUMIFS(Table1[Amount],Table1[Customer_ID],E$1,Table1[Month],$A27,Table1[Type],"Purchase")</f>
        <v>0</v>
      </c>
      <c r="F27" s="16">
        <f>SUMIFS(Table1[Amount],Table1[Customer_ID],F$1,Table1[Month],$A27,Table1[Type],"Purchase")</f>
        <v>0</v>
      </c>
      <c r="G27" s="16">
        <f>SUMIFS(Table1[Amount],Table1[Customer_ID],G$1,Table1[Month],$A27,Table1[Type],"Purchase")</f>
        <v>0</v>
      </c>
      <c r="H27" s="16">
        <f>SUMIFS(Table1[Amount],Table1[Customer_ID],H$1,Table1[Month],$A27,Table1[Type],"Purchase")</f>
        <v>0</v>
      </c>
      <c r="I27" s="16">
        <f>SUMIFS(Table1[Amount],Table1[Customer_ID],I$1,Table1[Month],$A27,Table1[Type],"Purchase")</f>
        <v>0</v>
      </c>
      <c r="J27" s="16">
        <f>SUMIFS(Table1[Amount],Table1[Customer_ID],J$1,Table1[Month],$A27,Table1[Type],"Purchase")</f>
        <v>0</v>
      </c>
      <c r="K27" s="16">
        <f>SUMIFS(Table1[Amount],Table1[Customer_ID],K$1,Table1[Month],$A27,Table1[Type],"Purchase")</f>
        <v>0</v>
      </c>
      <c r="L27" s="16">
        <f>SUMIFS(Table1[Amount],Table1[Customer_ID],L$1,Table1[Month],$A27,Table1[Type],"Purchase")</f>
        <v>0</v>
      </c>
      <c r="M27" s="16">
        <f>SUMIFS(Table1[Amount],Table1[Customer_ID],M$1,Table1[Month],$A27,Table1[Type],"Purchase")</f>
        <v>0</v>
      </c>
      <c r="N27" s="16">
        <f>SUMIFS(Table1[Amount],Table1[Customer_ID],N$1,Table1[Month],$A27,Table1[Type],"Purchase")</f>
        <v>0</v>
      </c>
      <c r="O27" s="16">
        <f>SUMIFS(Table1[Amount],Table1[Customer_ID],O$1,Table1[Month],$A27,Table1[Type],"Purchase")</f>
        <v>0</v>
      </c>
      <c r="P27" s="16">
        <f>SUMIFS(Table1[Amount],Table1[Customer_ID],P$1,Table1[Month],$A27,Table1[Type],"Purchase")</f>
        <v>2360</v>
      </c>
      <c r="Q27" s="16">
        <f>SUMIFS(Table1[Amount],Table1[Customer_ID],Q$1,Table1[Month],$A27,Table1[Type],"Purchase")</f>
        <v>0</v>
      </c>
      <c r="R27" s="16">
        <f>SUMIFS(Table1[Amount],Table1[Customer_ID],R$1,Table1[Month],$A27,Table1[Type],"Purchase")</f>
        <v>0</v>
      </c>
      <c r="S27" s="16">
        <f>SUMIFS(Table1[Amount],Table1[Customer_ID],S$1,Table1[Month],$A27,Table1[Type],"Purchase")</f>
        <v>0</v>
      </c>
      <c r="T27" s="16">
        <f>SUMIFS(Table1[Amount],Table1[Customer_ID],T$1,Table1[Month],$A27,Table1[Type],"Purchase")</f>
        <v>0</v>
      </c>
      <c r="U27" s="16">
        <f>SUMIFS(Table1[Amount],Table1[Customer_ID],U$1,Table1[Month],$A27,Table1[Type],"Purchase")</f>
        <v>0</v>
      </c>
      <c r="V27" s="16">
        <f>SUMIFS(Table1[Amount],Table1[Customer_ID],V$1,Table1[Month],$A27,Table1[Type],"Purchase")</f>
        <v>0</v>
      </c>
      <c r="W27" s="16">
        <f>SUMIFS(Table1[Amount],Table1[Customer_ID],W$1,Table1[Month],$A27,Table1[Type],"Purchase")</f>
        <v>0</v>
      </c>
      <c r="X27" s="16">
        <f>SUMIFS(Table1[Amount],Table1[Customer_ID],X$1,Table1[Month],$A27,Table1[Type],"Purchase")</f>
        <v>0</v>
      </c>
      <c r="Y27" s="16">
        <f>SUMIFS(Table1[Amount],Table1[Customer_ID],Y$1,Table1[Month],$A27,Table1[Type],"Purchase")</f>
        <v>0</v>
      </c>
      <c r="Z27" s="16">
        <f>SUMIFS(Table1[Amount],Table1[Customer_ID],Z$1,Table1[Month],$A27,Table1[Type],"Purchase")</f>
        <v>0</v>
      </c>
      <c r="AA27" s="16">
        <f>SUMIFS(Table1[Amount],Table1[Customer_ID],AA$1,Table1[Month],$A27,Table1[Type],"Purchase")</f>
        <v>0</v>
      </c>
      <c r="AB27" s="16">
        <f>SUMIFS(Table1[Amount],Table1[Customer_ID],AB$1,Table1[Month],$A27,Table1[Type],"Purchase")</f>
        <v>5985</v>
      </c>
      <c r="AC27" s="16">
        <f>SUMIFS(Table1[Amount],Table1[Customer_ID],AC$1,Table1[Month],$A27,Table1[Type],"Purchase")</f>
        <v>0</v>
      </c>
      <c r="AD27" s="16">
        <f>SUMIFS(Table1[Amount],Table1[Customer_ID],AD$1,Table1[Month],$A27,Table1[Type],"Purchase")</f>
        <v>0</v>
      </c>
      <c r="AE27" s="19">
        <f t="shared" si="0"/>
        <v>8345</v>
      </c>
    </row>
    <row r="28" spans="1:31">
      <c r="A28" s="27" t="s">
        <v>681</v>
      </c>
      <c r="B28" s="16">
        <f>SUMIFS(Table1[Amount],Table1[Customer_ID],B$1,Table1[Month],$A28,Table1[Type],"Purchase")</f>
        <v>0</v>
      </c>
      <c r="C28" s="16">
        <f>SUMIFS(Table1[Amount],Table1[Customer_ID],C$1,Table1[Month],$A28,Table1[Type],"Purchase")</f>
        <v>0</v>
      </c>
      <c r="D28" s="16">
        <f>SUMIFS(Table1[Amount],Table1[Customer_ID],D$1,Table1[Month],$A28,Table1[Type],"Purchase")</f>
        <v>0</v>
      </c>
      <c r="E28" s="16">
        <f>SUMIFS(Table1[Amount],Table1[Customer_ID],E$1,Table1[Month],$A28,Table1[Type],"Purchase")</f>
        <v>0</v>
      </c>
      <c r="F28" s="16">
        <f>SUMIFS(Table1[Amount],Table1[Customer_ID],F$1,Table1[Month],$A28,Table1[Type],"Purchase")</f>
        <v>0</v>
      </c>
      <c r="G28" s="16">
        <f>SUMIFS(Table1[Amount],Table1[Customer_ID],G$1,Table1[Month],$A28,Table1[Type],"Purchase")</f>
        <v>0</v>
      </c>
      <c r="H28" s="16">
        <f>SUMIFS(Table1[Amount],Table1[Customer_ID],H$1,Table1[Month],$A28,Table1[Type],"Purchase")</f>
        <v>0</v>
      </c>
      <c r="I28" s="16">
        <f>SUMIFS(Table1[Amount],Table1[Customer_ID],I$1,Table1[Month],$A28,Table1[Type],"Purchase")</f>
        <v>0</v>
      </c>
      <c r="J28" s="16">
        <f>SUMIFS(Table1[Amount],Table1[Customer_ID],J$1,Table1[Month],$A28,Table1[Type],"Purchase")</f>
        <v>0</v>
      </c>
      <c r="K28" s="16">
        <f>SUMIFS(Table1[Amount],Table1[Customer_ID],K$1,Table1[Month],$A28,Table1[Type],"Purchase")</f>
        <v>0</v>
      </c>
      <c r="L28" s="16">
        <f>SUMIFS(Table1[Amount],Table1[Customer_ID],L$1,Table1[Month],$A28,Table1[Type],"Purchase")</f>
        <v>0</v>
      </c>
      <c r="M28" s="16">
        <f>SUMIFS(Table1[Amount],Table1[Customer_ID],M$1,Table1[Month],$A28,Table1[Type],"Purchase")</f>
        <v>0</v>
      </c>
      <c r="N28" s="16">
        <f>SUMIFS(Table1[Amount],Table1[Customer_ID],N$1,Table1[Month],$A28,Table1[Type],"Purchase")</f>
        <v>0</v>
      </c>
      <c r="O28" s="16">
        <f>SUMIFS(Table1[Amount],Table1[Customer_ID],O$1,Table1[Month],$A28,Table1[Type],"Purchase")</f>
        <v>0</v>
      </c>
      <c r="P28" s="16">
        <f>SUMIFS(Table1[Amount],Table1[Customer_ID],P$1,Table1[Month],$A28,Table1[Type],"Purchase")</f>
        <v>4323</v>
      </c>
      <c r="Q28" s="16">
        <f>SUMIFS(Table1[Amount],Table1[Customer_ID],Q$1,Table1[Month],$A28,Table1[Type],"Purchase")</f>
        <v>0</v>
      </c>
      <c r="R28" s="16">
        <f>SUMIFS(Table1[Amount],Table1[Customer_ID],R$1,Table1[Month],$A28,Table1[Type],"Purchase")</f>
        <v>0</v>
      </c>
      <c r="S28" s="16">
        <f>SUMIFS(Table1[Amount],Table1[Customer_ID],S$1,Table1[Month],$A28,Table1[Type],"Purchase")</f>
        <v>0</v>
      </c>
      <c r="T28" s="16">
        <f>SUMIFS(Table1[Amount],Table1[Customer_ID],T$1,Table1[Month],$A28,Table1[Type],"Purchase")</f>
        <v>0</v>
      </c>
      <c r="U28" s="16">
        <f>SUMIFS(Table1[Amount],Table1[Customer_ID],U$1,Table1[Month],$A28,Table1[Type],"Purchase")</f>
        <v>0</v>
      </c>
      <c r="V28" s="16">
        <f>SUMIFS(Table1[Amount],Table1[Customer_ID],V$1,Table1[Month],$A28,Table1[Type],"Purchase")</f>
        <v>0</v>
      </c>
      <c r="W28" s="16">
        <f>SUMIFS(Table1[Amount],Table1[Customer_ID],W$1,Table1[Month],$A28,Table1[Type],"Purchase")</f>
        <v>0</v>
      </c>
      <c r="X28" s="16">
        <f>SUMIFS(Table1[Amount],Table1[Customer_ID],X$1,Table1[Month],$A28,Table1[Type],"Purchase")</f>
        <v>0</v>
      </c>
      <c r="Y28" s="16">
        <f>SUMIFS(Table1[Amount],Table1[Customer_ID],Y$1,Table1[Month],$A28,Table1[Type],"Purchase")</f>
        <v>0</v>
      </c>
      <c r="Z28" s="16">
        <f>SUMIFS(Table1[Amount],Table1[Customer_ID],Z$1,Table1[Month],$A28,Table1[Type],"Purchase")</f>
        <v>0</v>
      </c>
      <c r="AA28" s="16">
        <f>SUMIFS(Table1[Amount],Table1[Customer_ID],AA$1,Table1[Month],$A28,Table1[Type],"Purchase")</f>
        <v>0</v>
      </c>
      <c r="AB28" s="16">
        <f>SUMIFS(Table1[Amount],Table1[Customer_ID],AB$1,Table1[Month],$A28,Table1[Type],"Purchase")</f>
        <v>13429</v>
      </c>
      <c r="AC28" s="16">
        <f>SUMIFS(Table1[Amount],Table1[Customer_ID],AC$1,Table1[Month],$A28,Table1[Type],"Purchase")</f>
        <v>0</v>
      </c>
      <c r="AD28" s="16">
        <f>SUMIFS(Table1[Amount],Table1[Customer_ID],AD$1,Table1[Month],$A28,Table1[Type],"Purchase")</f>
        <v>0</v>
      </c>
      <c r="AE28" s="19">
        <f t="shared" si="0"/>
        <v>17752</v>
      </c>
    </row>
    <row r="29" spans="1:31">
      <c r="A29" s="27" t="s">
        <v>680</v>
      </c>
      <c r="B29" s="16">
        <f>SUMIFS(Table1[Amount],Table1[Customer_ID],B$1,Table1[Month],$A29,Table1[Type],"Purchase")</f>
        <v>0</v>
      </c>
      <c r="C29" s="16">
        <f>SUMIFS(Table1[Amount],Table1[Customer_ID],C$1,Table1[Month],$A29,Table1[Type],"Purchase")</f>
        <v>0</v>
      </c>
      <c r="D29" s="16">
        <f>SUMIFS(Table1[Amount],Table1[Customer_ID],D$1,Table1[Month],$A29,Table1[Type],"Purchase")</f>
        <v>0</v>
      </c>
      <c r="E29" s="16">
        <f>SUMIFS(Table1[Amount],Table1[Customer_ID],E$1,Table1[Month],$A29,Table1[Type],"Purchase")</f>
        <v>0</v>
      </c>
      <c r="F29" s="16">
        <f>SUMIFS(Table1[Amount],Table1[Customer_ID],F$1,Table1[Month],$A29,Table1[Type],"Purchase")</f>
        <v>0</v>
      </c>
      <c r="G29" s="16">
        <f>SUMIFS(Table1[Amount],Table1[Customer_ID],G$1,Table1[Month],$A29,Table1[Type],"Purchase")</f>
        <v>0</v>
      </c>
      <c r="H29" s="16">
        <f>SUMIFS(Table1[Amount],Table1[Customer_ID],H$1,Table1[Month],$A29,Table1[Type],"Purchase")</f>
        <v>0</v>
      </c>
      <c r="I29" s="16">
        <f>SUMIFS(Table1[Amount],Table1[Customer_ID],I$1,Table1[Month],$A29,Table1[Type],"Purchase")</f>
        <v>0</v>
      </c>
      <c r="J29" s="16">
        <f>SUMIFS(Table1[Amount],Table1[Customer_ID],J$1,Table1[Month],$A29,Table1[Type],"Purchase")</f>
        <v>0</v>
      </c>
      <c r="K29" s="16">
        <f>SUMIFS(Table1[Amount],Table1[Customer_ID],K$1,Table1[Month],$A29,Table1[Type],"Purchase")</f>
        <v>0</v>
      </c>
      <c r="L29" s="16">
        <f>SUMIFS(Table1[Amount],Table1[Customer_ID],L$1,Table1[Month],$A29,Table1[Type],"Purchase")</f>
        <v>0</v>
      </c>
      <c r="M29" s="16">
        <f>SUMIFS(Table1[Amount],Table1[Customer_ID],M$1,Table1[Month],$A29,Table1[Type],"Purchase")</f>
        <v>0</v>
      </c>
      <c r="N29" s="16">
        <f>SUMIFS(Table1[Amount],Table1[Customer_ID],N$1,Table1[Month],$A29,Table1[Type],"Purchase")</f>
        <v>0</v>
      </c>
      <c r="O29" s="16">
        <f>SUMIFS(Table1[Amount],Table1[Customer_ID],O$1,Table1[Month],$A29,Table1[Type],"Purchase")</f>
        <v>2456</v>
      </c>
      <c r="P29" s="16">
        <f>SUMIFS(Table1[Amount],Table1[Customer_ID],P$1,Table1[Month],$A29,Table1[Type],"Purchase")</f>
        <v>4350</v>
      </c>
      <c r="Q29" s="16">
        <f>SUMIFS(Table1[Amount],Table1[Customer_ID],Q$1,Table1[Month],$A29,Table1[Type],"Purchase")</f>
        <v>0</v>
      </c>
      <c r="R29" s="16">
        <f>SUMIFS(Table1[Amount],Table1[Customer_ID],R$1,Table1[Month],$A29,Table1[Type],"Purchase")</f>
        <v>0</v>
      </c>
      <c r="S29" s="16">
        <f>SUMIFS(Table1[Amount],Table1[Customer_ID],S$1,Table1[Month],$A29,Table1[Type],"Purchase")</f>
        <v>0</v>
      </c>
      <c r="T29" s="16">
        <f>SUMIFS(Table1[Amount],Table1[Customer_ID],T$1,Table1[Month],$A29,Table1[Type],"Purchase")</f>
        <v>0</v>
      </c>
      <c r="U29" s="16">
        <f>SUMIFS(Table1[Amount],Table1[Customer_ID],U$1,Table1[Month],$A29,Table1[Type],"Purchase")</f>
        <v>0</v>
      </c>
      <c r="V29" s="16">
        <f>SUMIFS(Table1[Amount],Table1[Customer_ID],V$1,Table1[Month],$A29,Table1[Type],"Purchase")</f>
        <v>0</v>
      </c>
      <c r="W29" s="16">
        <f>SUMIFS(Table1[Amount],Table1[Customer_ID],W$1,Table1[Month],$A29,Table1[Type],"Purchase")</f>
        <v>0</v>
      </c>
      <c r="X29" s="16">
        <f>SUMIFS(Table1[Amount],Table1[Customer_ID],X$1,Table1[Month],$A29,Table1[Type],"Purchase")</f>
        <v>0</v>
      </c>
      <c r="Y29" s="16">
        <f>SUMIFS(Table1[Amount],Table1[Customer_ID],Y$1,Table1[Month],$A29,Table1[Type],"Purchase")</f>
        <v>0</v>
      </c>
      <c r="Z29" s="16">
        <f>SUMIFS(Table1[Amount],Table1[Customer_ID],Z$1,Table1[Month],$A29,Table1[Type],"Purchase")</f>
        <v>0</v>
      </c>
      <c r="AA29" s="16">
        <f>SUMIFS(Table1[Amount],Table1[Customer_ID],AA$1,Table1[Month],$A29,Table1[Type],"Purchase")</f>
        <v>0</v>
      </c>
      <c r="AB29" s="16">
        <f>SUMIFS(Table1[Amount],Table1[Customer_ID],AB$1,Table1[Month],$A29,Table1[Type],"Purchase")</f>
        <v>14000</v>
      </c>
      <c r="AC29" s="16">
        <f>SUMIFS(Table1[Amount],Table1[Customer_ID],AC$1,Table1[Month],$A29,Table1[Type],"Purchase")</f>
        <v>0</v>
      </c>
      <c r="AD29" s="16">
        <f>SUMIFS(Table1[Amount],Table1[Customer_ID],AD$1,Table1[Month],$A29,Table1[Type],"Purchase")</f>
        <v>0</v>
      </c>
      <c r="AE29" s="19">
        <f t="shared" si="0"/>
        <v>20806</v>
      </c>
    </row>
    <row r="30" spans="1:31">
      <c r="A30" s="27" t="s">
        <v>679</v>
      </c>
      <c r="B30" s="16">
        <f>SUMIFS(Table1[Amount],Table1[Customer_ID],B$1,Table1[Month],$A30,Table1[Type],"Purchase")</f>
        <v>0</v>
      </c>
      <c r="C30" s="16">
        <f>SUMIFS(Table1[Amount],Table1[Customer_ID],C$1,Table1[Month],$A30,Table1[Type],"Purchase")</f>
        <v>0</v>
      </c>
      <c r="D30" s="16">
        <f>SUMIFS(Table1[Amount],Table1[Customer_ID],D$1,Table1[Month],$A30,Table1[Type],"Purchase")</f>
        <v>0</v>
      </c>
      <c r="E30" s="16">
        <f>SUMIFS(Table1[Amount],Table1[Customer_ID],E$1,Table1[Month],$A30,Table1[Type],"Purchase")</f>
        <v>0</v>
      </c>
      <c r="F30" s="16">
        <f>SUMIFS(Table1[Amount],Table1[Customer_ID],F$1,Table1[Month],$A30,Table1[Type],"Purchase")</f>
        <v>0</v>
      </c>
      <c r="G30" s="16">
        <f>SUMIFS(Table1[Amount],Table1[Customer_ID],G$1,Table1[Month],$A30,Table1[Type],"Purchase")</f>
        <v>0</v>
      </c>
      <c r="H30" s="16">
        <f>SUMIFS(Table1[Amount],Table1[Customer_ID],H$1,Table1[Month],$A30,Table1[Type],"Purchase")</f>
        <v>0</v>
      </c>
      <c r="I30" s="16">
        <f>SUMIFS(Table1[Amount],Table1[Customer_ID],I$1,Table1[Month],$A30,Table1[Type],"Purchase")</f>
        <v>0</v>
      </c>
      <c r="J30" s="16">
        <f>SUMIFS(Table1[Amount],Table1[Customer_ID],J$1,Table1[Month],$A30,Table1[Type],"Purchase")</f>
        <v>0</v>
      </c>
      <c r="K30" s="16">
        <f>SUMIFS(Table1[Amount],Table1[Customer_ID],K$1,Table1[Month],$A30,Table1[Type],"Purchase")</f>
        <v>0</v>
      </c>
      <c r="L30" s="16">
        <f>SUMIFS(Table1[Amount],Table1[Customer_ID],L$1,Table1[Month],$A30,Table1[Type],"Purchase")</f>
        <v>0</v>
      </c>
      <c r="M30" s="16">
        <f>SUMIFS(Table1[Amount],Table1[Customer_ID],M$1,Table1[Month],$A30,Table1[Type],"Purchase")</f>
        <v>80</v>
      </c>
      <c r="N30" s="16">
        <f>SUMIFS(Table1[Amount],Table1[Customer_ID],N$1,Table1[Month],$A30,Table1[Type],"Purchase")</f>
        <v>17967</v>
      </c>
      <c r="O30" s="16">
        <f>SUMIFS(Table1[Amount],Table1[Customer_ID],O$1,Table1[Month],$A30,Table1[Type],"Purchase")</f>
        <v>3214</v>
      </c>
      <c r="P30" s="16">
        <f>SUMIFS(Table1[Amount],Table1[Customer_ID],P$1,Table1[Month],$A30,Table1[Type],"Purchase")</f>
        <v>4754</v>
      </c>
      <c r="Q30" s="16">
        <f>SUMIFS(Table1[Amount],Table1[Customer_ID],Q$1,Table1[Month],$A30,Table1[Type],"Purchase")</f>
        <v>0</v>
      </c>
      <c r="R30" s="16">
        <f>SUMIFS(Table1[Amount],Table1[Customer_ID],R$1,Table1[Month],$A30,Table1[Type],"Purchase")</f>
        <v>0</v>
      </c>
      <c r="S30" s="16">
        <f>SUMIFS(Table1[Amount],Table1[Customer_ID],S$1,Table1[Month],$A30,Table1[Type],"Purchase")</f>
        <v>0</v>
      </c>
      <c r="T30" s="16">
        <f>SUMIFS(Table1[Amount],Table1[Customer_ID],T$1,Table1[Month],$A30,Table1[Type],"Purchase")</f>
        <v>0</v>
      </c>
      <c r="U30" s="16">
        <f>SUMIFS(Table1[Amount],Table1[Customer_ID],U$1,Table1[Month],$A30,Table1[Type],"Purchase")</f>
        <v>0</v>
      </c>
      <c r="V30" s="16">
        <f>SUMIFS(Table1[Amount],Table1[Customer_ID],V$1,Table1[Month],$A30,Table1[Type],"Purchase")</f>
        <v>0</v>
      </c>
      <c r="W30" s="16">
        <f>SUMIFS(Table1[Amount],Table1[Customer_ID],W$1,Table1[Month],$A30,Table1[Type],"Purchase")</f>
        <v>0</v>
      </c>
      <c r="X30" s="16">
        <f>SUMIFS(Table1[Amount],Table1[Customer_ID],X$1,Table1[Month],$A30,Table1[Type],"Purchase")</f>
        <v>0</v>
      </c>
      <c r="Y30" s="16">
        <f>SUMIFS(Table1[Amount],Table1[Customer_ID],Y$1,Table1[Month],$A30,Table1[Type],"Purchase")</f>
        <v>0</v>
      </c>
      <c r="Z30" s="16">
        <f>SUMIFS(Table1[Amount],Table1[Customer_ID],Z$1,Table1[Month],$A30,Table1[Type],"Purchase")</f>
        <v>0</v>
      </c>
      <c r="AA30" s="16">
        <f>SUMIFS(Table1[Amount],Table1[Customer_ID],AA$1,Table1[Month],$A30,Table1[Type],"Purchase")</f>
        <v>0</v>
      </c>
      <c r="AB30" s="16">
        <f>SUMIFS(Table1[Amount],Table1[Customer_ID],AB$1,Table1[Month],$A30,Table1[Type],"Purchase")</f>
        <v>10150</v>
      </c>
      <c r="AC30" s="16">
        <f>SUMIFS(Table1[Amount],Table1[Customer_ID],AC$1,Table1[Month],$A30,Table1[Type],"Purchase")</f>
        <v>0</v>
      </c>
      <c r="AD30" s="16">
        <f>SUMIFS(Table1[Amount],Table1[Customer_ID],AD$1,Table1[Month],$A30,Table1[Type],"Purchase")</f>
        <v>0</v>
      </c>
      <c r="AE30" s="19">
        <f t="shared" si="0"/>
        <v>36165</v>
      </c>
    </row>
    <row r="31" spans="1:31">
      <c r="A31" s="27" t="s">
        <v>678</v>
      </c>
      <c r="B31" s="16">
        <f>SUMIFS(Table1[Amount],Table1[Customer_ID],B$1,Table1[Month],$A31,Table1[Type],"Purchase")</f>
        <v>0</v>
      </c>
      <c r="C31" s="16">
        <f>SUMIFS(Table1[Amount],Table1[Customer_ID],C$1,Table1[Month],$A31,Table1[Type],"Purchase")</f>
        <v>0</v>
      </c>
      <c r="D31" s="16">
        <f>SUMIFS(Table1[Amount],Table1[Customer_ID],D$1,Table1[Month],$A31,Table1[Type],"Purchase")</f>
        <v>0</v>
      </c>
      <c r="E31" s="16">
        <f>SUMIFS(Table1[Amount],Table1[Customer_ID],E$1,Table1[Month],$A31,Table1[Type],"Purchase")</f>
        <v>0</v>
      </c>
      <c r="F31" s="16">
        <f>SUMIFS(Table1[Amount],Table1[Customer_ID],F$1,Table1[Month],$A31,Table1[Type],"Purchase")</f>
        <v>0</v>
      </c>
      <c r="G31" s="16">
        <f>SUMIFS(Table1[Amount],Table1[Customer_ID],G$1,Table1[Month],$A31,Table1[Type],"Purchase")</f>
        <v>0</v>
      </c>
      <c r="H31" s="16">
        <f>SUMIFS(Table1[Amount],Table1[Customer_ID],H$1,Table1[Month],$A31,Table1[Type],"Purchase")</f>
        <v>0</v>
      </c>
      <c r="I31" s="16">
        <f>SUMIFS(Table1[Amount],Table1[Customer_ID],I$1,Table1[Month],$A31,Table1[Type],"Purchase")</f>
        <v>0</v>
      </c>
      <c r="J31" s="16">
        <f>SUMIFS(Table1[Amount],Table1[Customer_ID],J$1,Table1[Month],$A31,Table1[Type],"Purchase")</f>
        <v>0</v>
      </c>
      <c r="K31" s="16">
        <f>SUMIFS(Table1[Amount],Table1[Customer_ID],K$1,Table1[Month],$A31,Table1[Type],"Purchase")</f>
        <v>0</v>
      </c>
      <c r="L31" s="16">
        <f>SUMIFS(Table1[Amount],Table1[Customer_ID],L$1,Table1[Month],$A31,Table1[Type],"Purchase")</f>
        <v>0</v>
      </c>
      <c r="M31" s="16">
        <f>SUMIFS(Table1[Amount],Table1[Customer_ID],M$1,Table1[Month],$A31,Table1[Type],"Purchase")</f>
        <v>209</v>
      </c>
      <c r="N31" s="16">
        <f>SUMIFS(Table1[Amount],Table1[Customer_ID],N$1,Table1[Month],$A31,Table1[Type],"Purchase")</f>
        <v>12879</v>
      </c>
      <c r="O31" s="16">
        <f>SUMIFS(Table1[Amount],Table1[Customer_ID],O$1,Table1[Month],$A31,Table1[Type],"Purchase")</f>
        <v>1826</v>
      </c>
      <c r="P31" s="16">
        <f>SUMIFS(Table1[Amount],Table1[Customer_ID],P$1,Table1[Month],$A31,Table1[Type],"Purchase")</f>
        <v>5084</v>
      </c>
      <c r="Q31" s="16">
        <f>SUMIFS(Table1[Amount],Table1[Customer_ID],Q$1,Table1[Month],$A31,Table1[Type],"Purchase")</f>
        <v>0</v>
      </c>
      <c r="R31" s="16">
        <f>SUMIFS(Table1[Amount],Table1[Customer_ID],R$1,Table1[Month],$A31,Table1[Type],"Purchase")</f>
        <v>0</v>
      </c>
      <c r="S31" s="16">
        <f>SUMIFS(Table1[Amount],Table1[Customer_ID],S$1,Table1[Month],$A31,Table1[Type],"Purchase")</f>
        <v>0</v>
      </c>
      <c r="T31" s="16">
        <f>SUMIFS(Table1[Amount],Table1[Customer_ID],T$1,Table1[Month],$A31,Table1[Type],"Purchase")</f>
        <v>0</v>
      </c>
      <c r="U31" s="16">
        <f>SUMIFS(Table1[Amount],Table1[Customer_ID],U$1,Table1[Month],$A31,Table1[Type],"Purchase")</f>
        <v>0</v>
      </c>
      <c r="V31" s="16">
        <f>SUMIFS(Table1[Amount],Table1[Customer_ID],V$1,Table1[Month],$A31,Table1[Type],"Purchase")</f>
        <v>0</v>
      </c>
      <c r="W31" s="16">
        <f>SUMIFS(Table1[Amount],Table1[Customer_ID],W$1,Table1[Month],$A31,Table1[Type],"Purchase")</f>
        <v>0</v>
      </c>
      <c r="X31" s="16">
        <f>SUMIFS(Table1[Amount],Table1[Customer_ID],X$1,Table1[Month],$A31,Table1[Type],"Purchase")</f>
        <v>0</v>
      </c>
      <c r="Y31" s="16">
        <f>SUMIFS(Table1[Amount],Table1[Customer_ID],Y$1,Table1[Month],$A31,Table1[Type],"Purchase")</f>
        <v>0</v>
      </c>
      <c r="Z31" s="16">
        <f>SUMIFS(Table1[Amount],Table1[Customer_ID],Z$1,Table1[Month],$A31,Table1[Type],"Purchase")</f>
        <v>0</v>
      </c>
      <c r="AA31" s="16">
        <f>SUMIFS(Table1[Amount],Table1[Customer_ID],AA$1,Table1[Month],$A31,Table1[Type],"Purchase")</f>
        <v>0</v>
      </c>
      <c r="AB31" s="16">
        <f>SUMIFS(Table1[Amount],Table1[Customer_ID],AB$1,Table1[Month],$A31,Table1[Type],"Purchase")</f>
        <v>14783</v>
      </c>
      <c r="AC31" s="16">
        <f>SUMIFS(Table1[Amount],Table1[Customer_ID],AC$1,Table1[Month],$A31,Table1[Type],"Purchase")</f>
        <v>0</v>
      </c>
      <c r="AD31" s="16">
        <f>SUMIFS(Table1[Amount],Table1[Customer_ID],AD$1,Table1[Month],$A31,Table1[Type],"Purchase")</f>
        <v>0</v>
      </c>
      <c r="AE31" s="19">
        <f t="shared" si="0"/>
        <v>34781</v>
      </c>
    </row>
    <row r="32" spans="1:31">
      <c r="A32" s="27" t="s">
        <v>677</v>
      </c>
      <c r="B32" s="16">
        <f>SUMIFS(Table1[Amount],Table1[Customer_ID],B$1,Table1[Month],$A32,Table1[Type],"Purchase")</f>
        <v>0</v>
      </c>
      <c r="C32" s="16">
        <f>SUMIFS(Table1[Amount],Table1[Customer_ID],C$1,Table1[Month],$A32,Table1[Type],"Purchase")</f>
        <v>0</v>
      </c>
      <c r="D32" s="16">
        <f>SUMIFS(Table1[Amount],Table1[Customer_ID],D$1,Table1[Month],$A32,Table1[Type],"Purchase")</f>
        <v>0</v>
      </c>
      <c r="E32" s="16">
        <f>SUMIFS(Table1[Amount],Table1[Customer_ID],E$1,Table1[Month],$A32,Table1[Type],"Purchase")</f>
        <v>0</v>
      </c>
      <c r="F32" s="16">
        <f>SUMIFS(Table1[Amount],Table1[Customer_ID],F$1,Table1[Month],$A32,Table1[Type],"Purchase")</f>
        <v>0</v>
      </c>
      <c r="G32" s="16">
        <f>SUMIFS(Table1[Amount],Table1[Customer_ID],G$1,Table1[Month],$A32,Table1[Type],"Purchase")</f>
        <v>0</v>
      </c>
      <c r="H32" s="16">
        <f>SUMIFS(Table1[Amount],Table1[Customer_ID],H$1,Table1[Month],$A32,Table1[Type],"Purchase")</f>
        <v>0</v>
      </c>
      <c r="I32" s="16">
        <f>SUMIFS(Table1[Amount],Table1[Customer_ID],I$1,Table1[Month],$A32,Table1[Type],"Purchase")</f>
        <v>0</v>
      </c>
      <c r="J32" s="16">
        <f>SUMIFS(Table1[Amount],Table1[Customer_ID],J$1,Table1[Month],$A32,Table1[Type],"Purchase")</f>
        <v>0</v>
      </c>
      <c r="K32" s="16">
        <f>SUMIFS(Table1[Amount],Table1[Customer_ID],K$1,Table1[Month],$A32,Table1[Type],"Purchase")</f>
        <v>0</v>
      </c>
      <c r="L32" s="16">
        <f>SUMIFS(Table1[Amount],Table1[Customer_ID],L$1,Table1[Month],$A32,Table1[Type],"Purchase")</f>
        <v>0</v>
      </c>
      <c r="M32" s="16">
        <f>SUMIFS(Table1[Amount],Table1[Customer_ID],M$1,Table1[Month],$A32,Table1[Type],"Purchase")</f>
        <v>802</v>
      </c>
      <c r="N32" s="16">
        <f>SUMIFS(Table1[Amount],Table1[Customer_ID],N$1,Table1[Month],$A32,Table1[Type],"Purchase")</f>
        <v>1446</v>
      </c>
      <c r="O32" s="16">
        <f>SUMIFS(Table1[Amount],Table1[Customer_ID],O$1,Table1[Month],$A32,Table1[Type],"Purchase")</f>
        <v>1134</v>
      </c>
      <c r="P32" s="16">
        <f>SUMIFS(Table1[Amount],Table1[Customer_ID],P$1,Table1[Month],$A32,Table1[Type],"Purchase")</f>
        <v>2010</v>
      </c>
      <c r="Q32" s="16">
        <f>SUMIFS(Table1[Amount],Table1[Customer_ID],Q$1,Table1[Month],$A32,Table1[Type],"Purchase")</f>
        <v>0</v>
      </c>
      <c r="R32" s="16">
        <f>SUMIFS(Table1[Amount],Table1[Customer_ID],R$1,Table1[Month],$A32,Table1[Type],"Purchase")</f>
        <v>0</v>
      </c>
      <c r="S32" s="16">
        <f>SUMIFS(Table1[Amount],Table1[Customer_ID],S$1,Table1[Month],$A32,Table1[Type],"Purchase")</f>
        <v>0</v>
      </c>
      <c r="T32" s="16">
        <f>SUMIFS(Table1[Amount],Table1[Customer_ID],T$1,Table1[Month],$A32,Table1[Type],"Purchase")</f>
        <v>0</v>
      </c>
      <c r="U32" s="16">
        <f>SUMIFS(Table1[Amount],Table1[Customer_ID],U$1,Table1[Month],$A32,Table1[Type],"Purchase")</f>
        <v>0</v>
      </c>
      <c r="V32" s="16">
        <f>SUMIFS(Table1[Amount],Table1[Customer_ID],V$1,Table1[Month],$A32,Table1[Type],"Purchase")</f>
        <v>0</v>
      </c>
      <c r="W32" s="16">
        <f>SUMIFS(Table1[Amount],Table1[Customer_ID],W$1,Table1[Month],$A32,Table1[Type],"Purchase")</f>
        <v>0</v>
      </c>
      <c r="X32" s="16">
        <f>SUMIFS(Table1[Amount],Table1[Customer_ID],X$1,Table1[Month],$A32,Table1[Type],"Purchase")</f>
        <v>0</v>
      </c>
      <c r="Y32" s="16">
        <f>SUMIFS(Table1[Amount],Table1[Customer_ID],Y$1,Table1[Month],$A32,Table1[Type],"Purchase")</f>
        <v>0</v>
      </c>
      <c r="Z32" s="16">
        <f>SUMIFS(Table1[Amount],Table1[Customer_ID],Z$1,Table1[Month],$A32,Table1[Type],"Purchase")</f>
        <v>0</v>
      </c>
      <c r="AA32" s="16">
        <f>SUMIFS(Table1[Amount],Table1[Customer_ID],AA$1,Table1[Month],$A32,Table1[Type],"Purchase")</f>
        <v>0</v>
      </c>
      <c r="AB32" s="16">
        <f>SUMIFS(Table1[Amount],Table1[Customer_ID],AB$1,Table1[Month],$A32,Table1[Type],"Purchase")</f>
        <v>15838</v>
      </c>
      <c r="AC32" s="16">
        <f>SUMIFS(Table1[Amount],Table1[Customer_ID],AC$1,Table1[Month],$A32,Table1[Type],"Purchase")</f>
        <v>0</v>
      </c>
      <c r="AD32" s="16">
        <f>SUMIFS(Table1[Amount],Table1[Customer_ID],AD$1,Table1[Month],$A32,Table1[Type],"Purchase")</f>
        <v>0</v>
      </c>
      <c r="AE32" s="19">
        <f t="shared" si="0"/>
        <v>21230</v>
      </c>
    </row>
    <row r="33" spans="1:31">
      <c r="A33" s="27" t="s">
        <v>676</v>
      </c>
      <c r="B33" s="16">
        <f>SUMIFS(Table1[Amount],Table1[Customer_ID],B$1,Table1[Month],$A33,Table1[Type],"Purchase")</f>
        <v>0</v>
      </c>
      <c r="C33" s="16">
        <f>SUMIFS(Table1[Amount],Table1[Customer_ID],C$1,Table1[Month],$A33,Table1[Type],"Purchase")</f>
        <v>0</v>
      </c>
      <c r="D33" s="16">
        <f>SUMIFS(Table1[Amount],Table1[Customer_ID],D$1,Table1[Month],$A33,Table1[Type],"Purchase")</f>
        <v>0</v>
      </c>
      <c r="E33" s="16">
        <f>SUMIFS(Table1[Amount],Table1[Customer_ID],E$1,Table1[Month],$A33,Table1[Type],"Purchase")</f>
        <v>0</v>
      </c>
      <c r="F33" s="16">
        <f>SUMIFS(Table1[Amount],Table1[Customer_ID],F$1,Table1[Month],$A33,Table1[Type],"Purchase")</f>
        <v>0</v>
      </c>
      <c r="G33" s="16">
        <f>SUMIFS(Table1[Amount],Table1[Customer_ID],G$1,Table1[Month],$A33,Table1[Type],"Purchase")</f>
        <v>0</v>
      </c>
      <c r="H33" s="16">
        <f>SUMIFS(Table1[Amount],Table1[Customer_ID],H$1,Table1[Month],$A33,Table1[Type],"Purchase")</f>
        <v>0</v>
      </c>
      <c r="I33" s="16">
        <f>SUMIFS(Table1[Amount],Table1[Customer_ID],I$1,Table1[Month],$A33,Table1[Type],"Purchase")</f>
        <v>0</v>
      </c>
      <c r="J33" s="16">
        <f>SUMIFS(Table1[Amount],Table1[Customer_ID],J$1,Table1[Month],$A33,Table1[Type],"Purchase")</f>
        <v>0</v>
      </c>
      <c r="K33" s="16">
        <f>SUMIFS(Table1[Amount],Table1[Customer_ID],K$1,Table1[Month],$A33,Table1[Type],"Purchase")</f>
        <v>0</v>
      </c>
      <c r="L33" s="16">
        <f>SUMIFS(Table1[Amount],Table1[Customer_ID],L$1,Table1[Month],$A33,Table1[Type],"Purchase")</f>
        <v>0</v>
      </c>
      <c r="M33" s="16">
        <f>SUMIFS(Table1[Amount],Table1[Customer_ID],M$1,Table1[Month],$A33,Table1[Type],"Purchase")</f>
        <v>834</v>
      </c>
      <c r="N33" s="16">
        <f>SUMIFS(Table1[Amount],Table1[Customer_ID],N$1,Table1[Month],$A33,Table1[Type],"Purchase")</f>
        <v>0</v>
      </c>
      <c r="O33" s="16">
        <f>SUMIFS(Table1[Amount],Table1[Customer_ID],O$1,Table1[Month],$A33,Table1[Type],"Purchase")</f>
        <v>2333</v>
      </c>
      <c r="P33" s="16">
        <f>SUMIFS(Table1[Amount],Table1[Customer_ID],P$1,Table1[Month],$A33,Table1[Type],"Purchase")</f>
        <v>2786</v>
      </c>
      <c r="Q33" s="16">
        <f>SUMIFS(Table1[Amount],Table1[Customer_ID],Q$1,Table1[Month],$A33,Table1[Type],"Purchase")</f>
        <v>0</v>
      </c>
      <c r="R33" s="16">
        <f>SUMIFS(Table1[Amount],Table1[Customer_ID],R$1,Table1[Month],$A33,Table1[Type],"Purchase")</f>
        <v>0</v>
      </c>
      <c r="S33" s="16">
        <f>SUMIFS(Table1[Amount],Table1[Customer_ID],S$1,Table1[Month],$A33,Table1[Type],"Purchase")</f>
        <v>0</v>
      </c>
      <c r="T33" s="16">
        <f>SUMIFS(Table1[Amount],Table1[Customer_ID],T$1,Table1[Month],$A33,Table1[Type],"Purchase")</f>
        <v>0</v>
      </c>
      <c r="U33" s="16">
        <f>SUMIFS(Table1[Amount],Table1[Customer_ID],U$1,Table1[Month],$A33,Table1[Type],"Purchase")</f>
        <v>0</v>
      </c>
      <c r="V33" s="16">
        <f>SUMIFS(Table1[Amount],Table1[Customer_ID],V$1,Table1[Month],$A33,Table1[Type],"Purchase")</f>
        <v>0</v>
      </c>
      <c r="W33" s="16">
        <f>SUMIFS(Table1[Amount],Table1[Customer_ID],W$1,Table1[Month],$A33,Table1[Type],"Purchase")</f>
        <v>0</v>
      </c>
      <c r="X33" s="16">
        <f>SUMIFS(Table1[Amount],Table1[Customer_ID],X$1,Table1[Month],$A33,Table1[Type],"Purchase")</f>
        <v>0</v>
      </c>
      <c r="Y33" s="16">
        <f>SUMIFS(Table1[Amount],Table1[Customer_ID],Y$1,Table1[Month],$A33,Table1[Type],"Purchase")</f>
        <v>0</v>
      </c>
      <c r="Z33" s="16">
        <f>SUMIFS(Table1[Amount],Table1[Customer_ID],Z$1,Table1[Month],$A33,Table1[Type],"Purchase")</f>
        <v>0</v>
      </c>
      <c r="AA33" s="16">
        <f>SUMIFS(Table1[Amount],Table1[Customer_ID],AA$1,Table1[Month],$A33,Table1[Type],"Purchase")</f>
        <v>0</v>
      </c>
      <c r="AB33" s="16">
        <f>SUMIFS(Table1[Amount],Table1[Customer_ID],AB$1,Table1[Month],$A33,Table1[Type],"Purchase")</f>
        <v>15838</v>
      </c>
      <c r="AC33" s="16">
        <f>SUMIFS(Table1[Amount],Table1[Customer_ID],AC$1,Table1[Month],$A33,Table1[Type],"Purchase")</f>
        <v>0</v>
      </c>
      <c r="AD33" s="16">
        <f>SUMIFS(Table1[Amount],Table1[Customer_ID],AD$1,Table1[Month],$A33,Table1[Type],"Purchase")</f>
        <v>0</v>
      </c>
      <c r="AE33" s="19">
        <f t="shared" si="0"/>
        <v>21791</v>
      </c>
    </row>
    <row r="34" spans="1:31">
      <c r="A34" s="27" t="s">
        <v>675</v>
      </c>
      <c r="B34" s="16">
        <f>SUMIFS(Table1[Amount],Table1[Customer_ID],B$1,Table1[Month],$A34,Table1[Type],"Purchase")</f>
        <v>0</v>
      </c>
      <c r="C34" s="16">
        <f>SUMIFS(Table1[Amount],Table1[Customer_ID],C$1,Table1[Month],$A34,Table1[Type],"Purchase")</f>
        <v>0</v>
      </c>
      <c r="D34" s="16">
        <f>SUMIFS(Table1[Amount],Table1[Customer_ID],D$1,Table1[Month],$A34,Table1[Type],"Purchase")</f>
        <v>0</v>
      </c>
      <c r="E34" s="16">
        <f>SUMIFS(Table1[Amount],Table1[Customer_ID],E$1,Table1[Month],$A34,Table1[Type],"Purchase")</f>
        <v>0</v>
      </c>
      <c r="F34" s="16">
        <f>SUMIFS(Table1[Amount],Table1[Customer_ID],F$1,Table1[Month],$A34,Table1[Type],"Purchase")</f>
        <v>0</v>
      </c>
      <c r="G34" s="16">
        <f>SUMIFS(Table1[Amount],Table1[Customer_ID],G$1,Table1[Month],$A34,Table1[Type],"Purchase")</f>
        <v>0</v>
      </c>
      <c r="H34" s="16">
        <f>SUMIFS(Table1[Amount],Table1[Customer_ID],H$1,Table1[Month],$A34,Table1[Type],"Purchase")</f>
        <v>0</v>
      </c>
      <c r="I34" s="16">
        <f>SUMIFS(Table1[Amount],Table1[Customer_ID],I$1,Table1[Month],$A34,Table1[Type],"Purchase")</f>
        <v>0</v>
      </c>
      <c r="J34" s="16">
        <f>SUMIFS(Table1[Amount],Table1[Customer_ID],J$1,Table1[Month],$A34,Table1[Type],"Purchase")</f>
        <v>0</v>
      </c>
      <c r="K34" s="16">
        <f>SUMIFS(Table1[Amount],Table1[Customer_ID],K$1,Table1[Month],$A34,Table1[Type],"Purchase")</f>
        <v>0</v>
      </c>
      <c r="L34" s="16">
        <f>SUMIFS(Table1[Amount],Table1[Customer_ID],L$1,Table1[Month],$A34,Table1[Type],"Purchase")</f>
        <v>0</v>
      </c>
      <c r="M34" s="16">
        <f>SUMIFS(Table1[Amount],Table1[Customer_ID],M$1,Table1[Month],$A34,Table1[Type],"Purchase")</f>
        <v>40</v>
      </c>
      <c r="N34" s="16">
        <f>SUMIFS(Table1[Amount],Table1[Customer_ID],N$1,Table1[Month],$A34,Table1[Type],"Purchase")</f>
        <v>0</v>
      </c>
      <c r="O34" s="16">
        <f>SUMIFS(Table1[Amount],Table1[Customer_ID],O$1,Table1[Month],$A34,Table1[Type],"Purchase")</f>
        <v>2430</v>
      </c>
      <c r="P34" s="16">
        <f>SUMIFS(Table1[Amount],Table1[Customer_ID],P$1,Table1[Month],$A34,Table1[Type],"Purchase")</f>
        <v>1449</v>
      </c>
      <c r="Q34" s="16">
        <f>SUMIFS(Table1[Amount],Table1[Customer_ID],Q$1,Table1[Month],$A34,Table1[Type],"Purchase")</f>
        <v>0</v>
      </c>
      <c r="R34" s="16">
        <f>SUMIFS(Table1[Amount],Table1[Customer_ID],R$1,Table1[Month],$A34,Table1[Type],"Purchase")</f>
        <v>0</v>
      </c>
      <c r="S34" s="16">
        <f>SUMIFS(Table1[Amount],Table1[Customer_ID],S$1,Table1[Month],$A34,Table1[Type],"Purchase")</f>
        <v>0</v>
      </c>
      <c r="T34" s="16">
        <f>SUMIFS(Table1[Amount],Table1[Customer_ID],T$1,Table1[Month],$A34,Table1[Type],"Purchase")</f>
        <v>0</v>
      </c>
      <c r="U34" s="16">
        <f>SUMIFS(Table1[Amount],Table1[Customer_ID],U$1,Table1[Month],$A34,Table1[Type],"Purchase")</f>
        <v>0</v>
      </c>
      <c r="V34" s="16">
        <f>SUMIFS(Table1[Amount],Table1[Customer_ID],V$1,Table1[Month],$A34,Table1[Type],"Purchase")</f>
        <v>0</v>
      </c>
      <c r="W34" s="16">
        <f>SUMIFS(Table1[Amount],Table1[Customer_ID],W$1,Table1[Month],$A34,Table1[Type],"Purchase")</f>
        <v>0</v>
      </c>
      <c r="X34" s="16">
        <f>SUMIFS(Table1[Amount],Table1[Customer_ID],X$1,Table1[Month],$A34,Table1[Type],"Purchase")</f>
        <v>0</v>
      </c>
      <c r="Y34" s="16">
        <f>SUMIFS(Table1[Amount],Table1[Customer_ID],Y$1,Table1[Month],$A34,Table1[Type],"Purchase")</f>
        <v>0</v>
      </c>
      <c r="Z34" s="16">
        <f>SUMIFS(Table1[Amount],Table1[Customer_ID],Z$1,Table1[Month],$A34,Table1[Type],"Purchase")</f>
        <v>0</v>
      </c>
      <c r="AA34" s="16">
        <f>SUMIFS(Table1[Amount],Table1[Customer_ID],AA$1,Table1[Month],$A34,Table1[Type],"Purchase")</f>
        <v>0</v>
      </c>
      <c r="AB34" s="16">
        <f>SUMIFS(Table1[Amount],Table1[Customer_ID],AB$1,Table1[Month],$A34,Table1[Type],"Purchase")</f>
        <v>10304</v>
      </c>
      <c r="AC34" s="16">
        <f>SUMIFS(Table1[Amount],Table1[Customer_ID],AC$1,Table1[Month],$A34,Table1[Type],"Purchase")</f>
        <v>0</v>
      </c>
      <c r="AD34" s="16">
        <f>SUMIFS(Table1[Amount],Table1[Customer_ID],AD$1,Table1[Month],$A34,Table1[Type],"Purchase")</f>
        <v>0</v>
      </c>
      <c r="AE34" s="19">
        <f t="shared" si="0"/>
        <v>14223</v>
      </c>
    </row>
    <row r="35" spans="1:31">
      <c r="A35" s="27" t="s">
        <v>719</v>
      </c>
      <c r="B35" s="16">
        <f>SUMIFS(Table1[Amount],Table1[Customer_ID],B$1,Table1[Month],$A35,Table1[Type],"Purchase")</f>
        <v>0</v>
      </c>
      <c r="C35" s="16">
        <f>SUMIFS(Table1[Amount],Table1[Customer_ID],C$1,Table1[Month],$A35,Table1[Type],"Purchase")</f>
        <v>0</v>
      </c>
      <c r="D35" s="16">
        <f>SUMIFS(Table1[Amount],Table1[Customer_ID],D$1,Table1[Month],$A35,Table1[Type],"Purchase")</f>
        <v>0</v>
      </c>
      <c r="E35" s="16">
        <f>SUMIFS(Table1[Amount],Table1[Customer_ID],E$1,Table1[Month],$A35,Table1[Type],"Purchase")</f>
        <v>0</v>
      </c>
      <c r="F35" s="16">
        <f>SUMIFS(Table1[Amount],Table1[Customer_ID],F$1,Table1[Month],$A35,Table1[Type],"Purchase")</f>
        <v>0</v>
      </c>
      <c r="G35" s="16">
        <f>SUMIFS(Table1[Amount],Table1[Customer_ID],G$1,Table1[Month],$A35,Table1[Type],"Purchase")</f>
        <v>0</v>
      </c>
      <c r="H35" s="16">
        <f>SUMIFS(Table1[Amount],Table1[Customer_ID],H$1,Table1[Month],$A35,Table1[Type],"Purchase")</f>
        <v>0</v>
      </c>
      <c r="I35" s="16">
        <f>SUMIFS(Table1[Amount],Table1[Customer_ID],I$1,Table1[Month],$A35,Table1[Type],"Purchase")</f>
        <v>0</v>
      </c>
      <c r="J35" s="16">
        <f>SUMIFS(Table1[Amount],Table1[Customer_ID],J$1,Table1[Month],$A35,Table1[Type],"Purchase")</f>
        <v>0</v>
      </c>
      <c r="K35" s="16">
        <f>SUMIFS(Table1[Amount],Table1[Customer_ID],K$1,Table1[Month],$A35,Table1[Type],"Purchase")</f>
        <v>0</v>
      </c>
      <c r="L35" s="16">
        <f>SUMIFS(Table1[Amount],Table1[Customer_ID],L$1,Table1[Month],$A35,Table1[Type],"Purchase")</f>
        <v>0</v>
      </c>
      <c r="M35" s="16">
        <f>SUMIFS(Table1[Amount],Table1[Customer_ID],M$1,Table1[Month],$A35,Table1[Type],"Purchase")</f>
        <v>0</v>
      </c>
      <c r="N35" s="16">
        <f>SUMIFS(Table1[Amount],Table1[Customer_ID],N$1,Table1[Month],$A35,Table1[Type],"Purchase")</f>
        <v>0</v>
      </c>
      <c r="O35" s="16">
        <f>SUMIFS(Table1[Amount],Table1[Customer_ID],O$1,Table1[Month],$A35,Table1[Type],"Purchase")</f>
        <v>0</v>
      </c>
      <c r="P35" s="16">
        <f>SUMIFS(Table1[Amount],Table1[Customer_ID],P$1,Table1[Month],$A35,Table1[Type],"Purchase")</f>
        <v>0</v>
      </c>
      <c r="Q35" s="16">
        <f>SUMIFS(Table1[Amount],Table1[Customer_ID],Q$1,Table1[Month],$A35,Table1[Type],"Purchase")</f>
        <v>0</v>
      </c>
      <c r="R35" s="16">
        <f>SUMIFS(Table1[Amount],Table1[Customer_ID],R$1,Table1[Month],$A35,Table1[Type],"Purchase")</f>
        <v>0</v>
      </c>
      <c r="S35" s="16">
        <f>SUMIFS(Table1[Amount],Table1[Customer_ID],S$1,Table1[Month],$A35,Table1[Type],"Purchase")</f>
        <v>0</v>
      </c>
      <c r="T35" s="16">
        <f>SUMIFS(Table1[Amount],Table1[Customer_ID],T$1,Table1[Month],$A35,Table1[Type],"Purchase")</f>
        <v>0</v>
      </c>
      <c r="U35" s="16">
        <f>SUMIFS(Table1[Amount],Table1[Customer_ID],U$1,Table1[Month],$A35,Table1[Type],"Purchase")</f>
        <v>0</v>
      </c>
      <c r="V35" s="16">
        <f>SUMIFS(Table1[Amount],Table1[Customer_ID],V$1,Table1[Month],$A35,Table1[Type],"Purchase")</f>
        <v>0</v>
      </c>
      <c r="W35" s="16">
        <f>SUMIFS(Table1[Amount],Table1[Customer_ID],W$1,Table1[Month],$A35,Table1[Type],"Purchase")</f>
        <v>0</v>
      </c>
      <c r="X35" s="16">
        <f>SUMIFS(Table1[Amount],Table1[Customer_ID],X$1,Table1[Month],$A35,Table1[Type],"Purchase")</f>
        <v>0</v>
      </c>
      <c r="Y35" s="16">
        <f>SUMIFS(Table1[Amount],Table1[Customer_ID],Y$1,Table1[Month],$A35,Table1[Type],"Purchase")</f>
        <v>0</v>
      </c>
      <c r="Z35" s="16">
        <f>SUMIFS(Table1[Amount],Table1[Customer_ID],Z$1,Table1[Month],$A35,Table1[Type],"Purchase")</f>
        <v>0</v>
      </c>
      <c r="AA35" s="16">
        <f>SUMIFS(Table1[Amount],Table1[Customer_ID],AA$1,Table1[Month],$A35,Table1[Type],"Purchase")</f>
        <v>0</v>
      </c>
      <c r="AB35" s="16">
        <f>SUMIFS(Table1[Amount],Table1[Customer_ID],AB$1,Table1[Month],$A35,Table1[Type],"Purchase")</f>
        <v>0</v>
      </c>
      <c r="AC35" s="16">
        <f>SUMIFS(Table1[Amount],Table1[Customer_ID],AC$1,Table1[Month],$A35,Table1[Type],"Purchase")</f>
        <v>0</v>
      </c>
      <c r="AD35" s="16">
        <f>SUMIFS(Table1[Amount],Table1[Customer_ID],AD$1,Table1[Month],$A35,Table1[Type],"Purchase")</f>
        <v>0</v>
      </c>
      <c r="AE35" s="19">
        <f t="shared" si="0"/>
        <v>0</v>
      </c>
    </row>
    <row r="36" spans="1:31">
      <c r="A36" s="27" t="s">
        <v>720</v>
      </c>
      <c r="B36" s="16">
        <f>SUMIFS(Table1[Amount],Table1[Customer_ID],B$1,Table1[Month],$A36,Table1[Type],"Purchase")</f>
        <v>0</v>
      </c>
      <c r="C36" s="16">
        <f>SUMIFS(Table1[Amount],Table1[Customer_ID],C$1,Table1[Month],$A36,Table1[Type],"Purchase")</f>
        <v>0</v>
      </c>
      <c r="D36" s="16">
        <f>SUMIFS(Table1[Amount],Table1[Customer_ID],D$1,Table1[Month],$A36,Table1[Type],"Purchase")</f>
        <v>0</v>
      </c>
      <c r="E36" s="16">
        <f>SUMIFS(Table1[Amount],Table1[Customer_ID],E$1,Table1[Month],$A36,Table1[Type],"Purchase")</f>
        <v>0</v>
      </c>
      <c r="F36" s="16">
        <f>SUMIFS(Table1[Amount],Table1[Customer_ID],F$1,Table1[Month],$A36,Table1[Type],"Purchase")</f>
        <v>0</v>
      </c>
      <c r="G36" s="16">
        <f>SUMIFS(Table1[Amount],Table1[Customer_ID],G$1,Table1[Month],$A36,Table1[Type],"Purchase")</f>
        <v>0</v>
      </c>
      <c r="H36" s="16">
        <f>SUMIFS(Table1[Amount],Table1[Customer_ID],H$1,Table1[Month],$A36,Table1[Type],"Purchase")</f>
        <v>0</v>
      </c>
      <c r="I36" s="16">
        <f>SUMIFS(Table1[Amount],Table1[Customer_ID],I$1,Table1[Month],$A36,Table1[Type],"Purchase")</f>
        <v>0</v>
      </c>
      <c r="J36" s="16">
        <f>SUMIFS(Table1[Amount],Table1[Customer_ID],J$1,Table1[Month],$A36,Table1[Type],"Purchase")</f>
        <v>0</v>
      </c>
      <c r="K36" s="16">
        <f>SUMIFS(Table1[Amount],Table1[Customer_ID],K$1,Table1[Month],$A36,Table1[Type],"Purchase")</f>
        <v>0</v>
      </c>
      <c r="L36" s="16">
        <f>SUMIFS(Table1[Amount],Table1[Customer_ID],L$1,Table1[Month],$A36,Table1[Type],"Purchase")</f>
        <v>0</v>
      </c>
      <c r="M36" s="16">
        <f>SUMIFS(Table1[Amount],Table1[Customer_ID],M$1,Table1[Month],$A36,Table1[Type],"Purchase")</f>
        <v>0</v>
      </c>
      <c r="N36" s="16">
        <f>SUMIFS(Table1[Amount],Table1[Customer_ID],N$1,Table1[Month],$A36,Table1[Type],"Purchase")</f>
        <v>0</v>
      </c>
      <c r="O36" s="16">
        <f>SUMIFS(Table1[Amount],Table1[Customer_ID],O$1,Table1[Month],$A36,Table1[Type],"Purchase")</f>
        <v>0</v>
      </c>
      <c r="P36" s="16">
        <f>SUMIFS(Table1[Amount],Table1[Customer_ID],P$1,Table1[Month],$A36,Table1[Type],"Purchase")</f>
        <v>0</v>
      </c>
      <c r="Q36" s="16">
        <f>SUMIFS(Table1[Amount],Table1[Customer_ID],Q$1,Table1[Month],$A36,Table1[Type],"Purchase")</f>
        <v>0</v>
      </c>
      <c r="R36" s="16">
        <f>SUMIFS(Table1[Amount],Table1[Customer_ID],R$1,Table1[Month],$A36,Table1[Type],"Purchase")</f>
        <v>0</v>
      </c>
      <c r="S36" s="16">
        <f>SUMIFS(Table1[Amount],Table1[Customer_ID],S$1,Table1[Month],$A36,Table1[Type],"Purchase")</f>
        <v>0</v>
      </c>
      <c r="T36" s="16">
        <f>SUMIFS(Table1[Amount],Table1[Customer_ID],T$1,Table1[Month],$A36,Table1[Type],"Purchase")</f>
        <v>0</v>
      </c>
      <c r="U36" s="16">
        <f>SUMIFS(Table1[Amount],Table1[Customer_ID],U$1,Table1[Month],$A36,Table1[Type],"Purchase")</f>
        <v>0</v>
      </c>
      <c r="V36" s="16">
        <f>SUMIFS(Table1[Amount],Table1[Customer_ID],V$1,Table1[Month],$A36,Table1[Type],"Purchase")</f>
        <v>0</v>
      </c>
      <c r="W36" s="16">
        <f>SUMIFS(Table1[Amount],Table1[Customer_ID],W$1,Table1[Month],$A36,Table1[Type],"Purchase")</f>
        <v>0</v>
      </c>
      <c r="X36" s="16">
        <f>SUMIFS(Table1[Amount],Table1[Customer_ID],X$1,Table1[Month],$A36,Table1[Type],"Purchase")</f>
        <v>0</v>
      </c>
      <c r="Y36" s="16">
        <f>SUMIFS(Table1[Amount],Table1[Customer_ID],Y$1,Table1[Month],$A36,Table1[Type],"Purchase")</f>
        <v>0</v>
      </c>
      <c r="Z36" s="16">
        <f>SUMIFS(Table1[Amount],Table1[Customer_ID],Z$1,Table1[Month],$A36,Table1[Type],"Purchase")</f>
        <v>0</v>
      </c>
      <c r="AA36" s="16">
        <f>SUMIFS(Table1[Amount],Table1[Customer_ID],AA$1,Table1[Month],$A36,Table1[Type],"Purchase")</f>
        <v>0</v>
      </c>
      <c r="AB36" s="16">
        <f>SUMIFS(Table1[Amount],Table1[Customer_ID],AB$1,Table1[Month],$A36,Table1[Type],"Purchase")</f>
        <v>0</v>
      </c>
      <c r="AC36" s="16">
        <f>SUMIFS(Table1[Amount],Table1[Customer_ID],AC$1,Table1[Month],$A36,Table1[Type],"Purchase")</f>
        <v>0</v>
      </c>
      <c r="AD36" s="16">
        <f>SUMIFS(Table1[Amount],Table1[Customer_ID],AD$1,Table1[Month],$A36,Table1[Type],"Purchase")</f>
        <v>0</v>
      </c>
      <c r="AE36" s="19">
        <f t="shared" si="0"/>
        <v>0</v>
      </c>
    </row>
    <row r="37" spans="1:31">
      <c r="A37" s="27" t="s">
        <v>721</v>
      </c>
      <c r="B37" s="16">
        <f>SUMIFS(Table1[Amount],Table1[Customer_ID],B$1,Table1[Month],$A37,Table1[Type],"Purchase")</f>
        <v>0</v>
      </c>
      <c r="C37" s="16">
        <f>SUMIFS(Table1[Amount],Table1[Customer_ID],C$1,Table1[Month],$A37,Table1[Type],"Purchase")</f>
        <v>0</v>
      </c>
      <c r="D37" s="16">
        <f>SUMIFS(Table1[Amount],Table1[Customer_ID],D$1,Table1[Month],$A37,Table1[Type],"Purchase")</f>
        <v>0</v>
      </c>
      <c r="E37" s="16">
        <f>SUMIFS(Table1[Amount],Table1[Customer_ID],E$1,Table1[Month],$A37,Table1[Type],"Purchase")</f>
        <v>0</v>
      </c>
      <c r="F37" s="16">
        <f>SUMIFS(Table1[Amount],Table1[Customer_ID],F$1,Table1[Month],$A37,Table1[Type],"Purchase")</f>
        <v>0</v>
      </c>
      <c r="G37" s="16">
        <f>SUMIFS(Table1[Amount],Table1[Customer_ID],G$1,Table1[Month],$A37,Table1[Type],"Purchase")</f>
        <v>0</v>
      </c>
      <c r="H37" s="16">
        <f>SUMIFS(Table1[Amount],Table1[Customer_ID],H$1,Table1[Month],$A37,Table1[Type],"Purchase")</f>
        <v>0</v>
      </c>
      <c r="I37" s="16">
        <f>SUMIFS(Table1[Amount],Table1[Customer_ID],I$1,Table1[Month],$A37,Table1[Type],"Purchase")</f>
        <v>0</v>
      </c>
      <c r="J37" s="16">
        <f>SUMIFS(Table1[Amount],Table1[Customer_ID],J$1,Table1[Month],$A37,Table1[Type],"Purchase")</f>
        <v>0</v>
      </c>
      <c r="K37" s="16">
        <f>SUMIFS(Table1[Amount],Table1[Customer_ID],K$1,Table1[Month],$A37,Table1[Type],"Purchase")</f>
        <v>0</v>
      </c>
      <c r="L37" s="16">
        <f>SUMIFS(Table1[Amount],Table1[Customer_ID],L$1,Table1[Month],$A37,Table1[Type],"Purchase")</f>
        <v>0</v>
      </c>
      <c r="M37" s="16">
        <f>SUMIFS(Table1[Amount],Table1[Customer_ID],M$1,Table1[Month],$A37,Table1[Type],"Purchase")</f>
        <v>0</v>
      </c>
      <c r="N37" s="16">
        <f>SUMIFS(Table1[Amount],Table1[Customer_ID],N$1,Table1[Month],$A37,Table1[Type],"Purchase")</f>
        <v>0</v>
      </c>
      <c r="O37" s="16">
        <f>SUMIFS(Table1[Amount],Table1[Customer_ID],O$1,Table1[Month],$A37,Table1[Type],"Purchase")</f>
        <v>0</v>
      </c>
      <c r="P37" s="16">
        <f>SUMIFS(Table1[Amount],Table1[Customer_ID],P$1,Table1[Month],$A37,Table1[Type],"Purchase")</f>
        <v>0</v>
      </c>
      <c r="Q37" s="16">
        <f>SUMIFS(Table1[Amount],Table1[Customer_ID],Q$1,Table1[Month],$A37,Table1[Type],"Purchase")</f>
        <v>0</v>
      </c>
      <c r="R37" s="16">
        <f>SUMIFS(Table1[Amount],Table1[Customer_ID],R$1,Table1[Month],$A37,Table1[Type],"Purchase")</f>
        <v>0</v>
      </c>
      <c r="S37" s="16">
        <f>SUMIFS(Table1[Amount],Table1[Customer_ID],S$1,Table1[Month],$A37,Table1[Type],"Purchase")</f>
        <v>0</v>
      </c>
      <c r="T37" s="16">
        <f>SUMIFS(Table1[Amount],Table1[Customer_ID],T$1,Table1[Month],$A37,Table1[Type],"Purchase")</f>
        <v>0</v>
      </c>
      <c r="U37" s="16">
        <f>SUMIFS(Table1[Amount],Table1[Customer_ID],U$1,Table1[Month],$A37,Table1[Type],"Purchase")</f>
        <v>0</v>
      </c>
      <c r="V37" s="16">
        <f>SUMIFS(Table1[Amount],Table1[Customer_ID],V$1,Table1[Month],$A37,Table1[Type],"Purchase")</f>
        <v>0</v>
      </c>
      <c r="W37" s="16">
        <f>SUMIFS(Table1[Amount],Table1[Customer_ID],W$1,Table1[Month],$A37,Table1[Type],"Purchase")</f>
        <v>0</v>
      </c>
      <c r="X37" s="16">
        <f>SUMIFS(Table1[Amount],Table1[Customer_ID],X$1,Table1[Month],$A37,Table1[Type],"Purchase")</f>
        <v>0</v>
      </c>
      <c r="Y37" s="16">
        <f>SUMIFS(Table1[Amount],Table1[Customer_ID],Y$1,Table1[Month],$A37,Table1[Type],"Purchase")</f>
        <v>0</v>
      </c>
      <c r="Z37" s="16">
        <f>SUMIFS(Table1[Amount],Table1[Customer_ID],Z$1,Table1[Month],$A37,Table1[Type],"Purchase")</f>
        <v>0</v>
      </c>
      <c r="AA37" s="16">
        <f>SUMIFS(Table1[Amount],Table1[Customer_ID],AA$1,Table1[Month],$A37,Table1[Type],"Purchase")</f>
        <v>0</v>
      </c>
      <c r="AB37" s="16">
        <f>SUMIFS(Table1[Amount],Table1[Customer_ID],AB$1,Table1[Month],$A37,Table1[Type],"Purchase")</f>
        <v>0</v>
      </c>
      <c r="AC37" s="16">
        <f>SUMIFS(Table1[Amount],Table1[Customer_ID],AC$1,Table1[Month],$A37,Table1[Type],"Purchase")</f>
        <v>0</v>
      </c>
      <c r="AD37" s="16">
        <f>SUMIFS(Table1[Amount],Table1[Customer_ID],AD$1,Table1[Month],$A37,Table1[Type],"Purchase")</f>
        <v>0</v>
      </c>
      <c r="AE37" s="19">
        <f t="shared" si="0"/>
        <v>0</v>
      </c>
    </row>
    <row r="38" spans="1:31">
      <c r="A38" s="27" t="s">
        <v>722</v>
      </c>
      <c r="B38" s="16">
        <f>SUMIFS(Table1[Amount],Table1[Customer_ID],B$1,Table1[Month],$A38,Table1[Type],"Purchase")</f>
        <v>302</v>
      </c>
      <c r="C38" s="16">
        <f>SUMIFS(Table1[Amount],Table1[Customer_ID],C$1,Table1[Month],$A38,Table1[Type],"Purchase")</f>
        <v>982</v>
      </c>
      <c r="D38" s="16">
        <f>SUMIFS(Table1[Amount],Table1[Customer_ID],D$1,Table1[Month],$A38,Table1[Type],"Purchase")</f>
        <v>0</v>
      </c>
      <c r="E38" s="16">
        <f>SUMIFS(Table1[Amount],Table1[Customer_ID],E$1,Table1[Month],$A38,Table1[Type],"Purchase")</f>
        <v>0</v>
      </c>
      <c r="F38" s="16">
        <f>SUMIFS(Table1[Amount],Table1[Customer_ID],F$1,Table1[Month],$A38,Table1[Type],"Purchase")</f>
        <v>0</v>
      </c>
      <c r="G38" s="16">
        <f>SUMIFS(Table1[Amount],Table1[Customer_ID],G$1,Table1[Month],$A38,Table1[Type],"Purchase")</f>
        <v>0</v>
      </c>
      <c r="H38" s="16">
        <f>SUMIFS(Table1[Amount],Table1[Customer_ID],H$1,Table1[Month],$A38,Table1[Type],"Purchase")</f>
        <v>0</v>
      </c>
      <c r="I38" s="16">
        <f>SUMIFS(Table1[Amount],Table1[Customer_ID],I$1,Table1[Month],$A38,Table1[Type],"Purchase")</f>
        <v>0</v>
      </c>
      <c r="J38" s="16">
        <f>SUMIFS(Table1[Amount],Table1[Customer_ID],J$1,Table1[Month],$A38,Table1[Type],"Purchase")</f>
        <v>0</v>
      </c>
      <c r="K38" s="16">
        <f>SUMIFS(Table1[Amount],Table1[Customer_ID],K$1,Table1[Month],$A38,Table1[Type],"Purchase")</f>
        <v>0</v>
      </c>
      <c r="L38" s="16">
        <f>SUMIFS(Table1[Amount],Table1[Customer_ID],L$1,Table1[Month],$A38,Table1[Type],"Purchase")</f>
        <v>0</v>
      </c>
      <c r="M38" s="16">
        <f>SUMIFS(Table1[Amount],Table1[Customer_ID],M$1,Table1[Month],$A38,Table1[Type],"Purchase")</f>
        <v>0</v>
      </c>
      <c r="N38" s="16">
        <f>SUMIFS(Table1[Amount],Table1[Customer_ID],N$1,Table1[Month],$A38,Table1[Type],"Purchase")</f>
        <v>0</v>
      </c>
      <c r="O38" s="16">
        <f>SUMIFS(Table1[Amount],Table1[Customer_ID],O$1,Table1[Month],$A38,Table1[Type],"Purchase")</f>
        <v>0</v>
      </c>
      <c r="P38" s="16">
        <f>SUMIFS(Table1[Amount],Table1[Customer_ID],P$1,Table1[Month],$A38,Table1[Type],"Purchase")</f>
        <v>0</v>
      </c>
      <c r="Q38" s="16">
        <f>SUMIFS(Table1[Amount],Table1[Customer_ID],Q$1,Table1[Month],$A38,Table1[Type],"Purchase")</f>
        <v>0</v>
      </c>
      <c r="R38" s="16">
        <f>SUMIFS(Table1[Amount],Table1[Customer_ID],R$1,Table1[Month],$A38,Table1[Type],"Purchase")</f>
        <v>0</v>
      </c>
      <c r="S38" s="16">
        <f>SUMIFS(Table1[Amount],Table1[Customer_ID],S$1,Table1[Month],$A38,Table1[Type],"Purchase")</f>
        <v>0</v>
      </c>
      <c r="T38" s="16">
        <f>SUMIFS(Table1[Amount],Table1[Customer_ID],T$1,Table1[Month],$A38,Table1[Type],"Purchase")</f>
        <v>0</v>
      </c>
      <c r="U38" s="16">
        <f>SUMIFS(Table1[Amount],Table1[Customer_ID],U$1,Table1[Month],$A38,Table1[Type],"Purchase")</f>
        <v>0</v>
      </c>
      <c r="V38" s="16">
        <f>SUMIFS(Table1[Amount],Table1[Customer_ID],V$1,Table1[Month],$A38,Table1[Type],"Purchase")</f>
        <v>0</v>
      </c>
      <c r="W38" s="16">
        <f>SUMIFS(Table1[Amount],Table1[Customer_ID],W$1,Table1[Month],$A38,Table1[Type],"Purchase")</f>
        <v>0</v>
      </c>
      <c r="X38" s="16">
        <f>SUMIFS(Table1[Amount],Table1[Customer_ID],X$1,Table1[Month],$A38,Table1[Type],"Purchase")</f>
        <v>0</v>
      </c>
      <c r="Y38" s="16">
        <f>SUMIFS(Table1[Amount],Table1[Customer_ID],Y$1,Table1[Month],$A38,Table1[Type],"Purchase")</f>
        <v>0</v>
      </c>
      <c r="Z38" s="16">
        <f>SUMIFS(Table1[Amount],Table1[Customer_ID],Z$1,Table1[Month],$A38,Table1[Type],"Purchase")</f>
        <v>0</v>
      </c>
      <c r="AA38" s="16">
        <f>SUMIFS(Table1[Amount],Table1[Customer_ID],AA$1,Table1[Month],$A38,Table1[Type],"Purchase")</f>
        <v>0</v>
      </c>
      <c r="AB38" s="16">
        <f>SUMIFS(Table1[Amount],Table1[Customer_ID],AB$1,Table1[Month],$A38,Table1[Type],"Purchase")</f>
        <v>0</v>
      </c>
      <c r="AC38" s="16">
        <f>SUMIFS(Table1[Amount],Table1[Customer_ID],AC$1,Table1[Month],$A38,Table1[Type],"Purchase")</f>
        <v>700</v>
      </c>
      <c r="AD38" s="16">
        <f>SUMIFS(Table1[Amount],Table1[Customer_ID],AD$1,Table1[Month],$A38,Table1[Type],"Purchase")</f>
        <v>0</v>
      </c>
      <c r="AE38" s="19">
        <f t="shared" si="0"/>
        <v>1984</v>
      </c>
    </row>
    <row r="39" spans="1:31">
      <c r="A39" s="27" t="s">
        <v>723</v>
      </c>
      <c r="B39" s="16">
        <f>SUMIFS(Table1[Amount],Table1[Customer_ID],B$1,Table1[Month],$A39,Table1[Type],"Purchase")</f>
        <v>4184</v>
      </c>
      <c r="C39" s="16">
        <f>SUMIFS(Table1[Amount],Table1[Customer_ID],C$1,Table1[Month],$A39,Table1[Type],"Purchase")</f>
        <v>7091</v>
      </c>
      <c r="D39" s="16">
        <f>SUMIFS(Table1[Amount],Table1[Customer_ID],D$1,Table1[Month],$A39,Table1[Type],"Purchase")</f>
        <v>0</v>
      </c>
      <c r="E39" s="16">
        <f>SUMIFS(Table1[Amount],Table1[Customer_ID],E$1,Table1[Month],$A39,Table1[Type],"Purchase")</f>
        <v>0</v>
      </c>
      <c r="F39" s="16">
        <f>SUMIFS(Table1[Amount],Table1[Customer_ID],F$1,Table1[Month],$A39,Table1[Type],"Purchase")</f>
        <v>0</v>
      </c>
      <c r="G39" s="16">
        <f>SUMIFS(Table1[Amount],Table1[Customer_ID],G$1,Table1[Month],$A39,Table1[Type],"Purchase")</f>
        <v>0</v>
      </c>
      <c r="H39" s="16">
        <f>SUMIFS(Table1[Amount],Table1[Customer_ID],H$1,Table1[Month],$A39,Table1[Type],"Purchase")</f>
        <v>0</v>
      </c>
      <c r="I39" s="16">
        <f>SUMIFS(Table1[Amount],Table1[Customer_ID],I$1,Table1[Month],$A39,Table1[Type],"Purchase")</f>
        <v>0</v>
      </c>
      <c r="J39" s="16">
        <f>SUMIFS(Table1[Amount],Table1[Customer_ID],J$1,Table1[Month],$A39,Table1[Type],"Purchase")</f>
        <v>0</v>
      </c>
      <c r="K39" s="16">
        <f>SUMIFS(Table1[Amount],Table1[Customer_ID],K$1,Table1[Month],$A39,Table1[Type],"Purchase")</f>
        <v>0</v>
      </c>
      <c r="L39" s="16">
        <f>SUMIFS(Table1[Amount],Table1[Customer_ID],L$1,Table1[Month],$A39,Table1[Type],"Purchase")</f>
        <v>0</v>
      </c>
      <c r="M39" s="16">
        <f>SUMIFS(Table1[Amount],Table1[Customer_ID],M$1,Table1[Month],$A39,Table1[Type],"Purchase")</f>
        <v>0</v>
      </c>
      <c r="N39" s="16">
        <f>SUMIFS(Table1[Amount],Table1[Customer_ID],N$1,Table1[Month],$A39,Table1[Type],"Purchase")</f>
        <v>0</v>
      </c>
      <c r="O39" s="16">
        <f>SUMIFS(Table1[Amount],Table1[Customer_ID],O$1,Table1[Month],$A39,Table1[Type],"Purchase")</f>
        <v>0</v>
      </c>
      <c r="P39" s="16">
        <f>SUMIFS(Table1[Amount],Table1[Customer_ID],P$1,Table1[Month],$A39,Table1[Type],"Purchase")</f>
        <v>0</v>
      </c>
      <c r="Q39" s="16">
        <f>SUMIFS(Table1[Amount],Table1[Customer_ID],Q$1,Table1[Month],$A39,Table1[Type],"Purchase")</f>
        <v>0</v>
      </c>
      <c r="R39" s="16">
        <f>SUMIFS(Table1[Amount],Table1[Customer_ID],R$1,Table1[Month],$A39,Table1[Type],"Purchase")</f>
        <v>0</v>
      </c>
      <c r="S39" s="16">
        <f>SUMIFS(Table1[Amount],Table1[Customer_ID],S$1,Table1[Month],$A39,Table1[Type],"Purchase")</f>
        <v>0</v>
      </c>
      <c r="T39" s="16">
        <f>SUMIFS(Table1[Amount],Table1[Customer_ID],T$1,Table1[Month],$A39,Table1[Type],"Purchase")</f>
        <v>0</v>
      </c>
      <c r="U39" s="16">
        <f>SUMIFS(Table1[Amount],Table1[Customer_ID],U$1,Table1[Month],$A39,Table1[Type],"Purchase")</f>
        <v>0</v>
      </c>
      <c r="V39" s="16">
        <f>SUMIFS(Table1[Amount],Table1[Customer_ID],V$1,Table1[Month],$A39,Table1[Type],"Purchase")</f>
        <v>0</v>
      </c>
      <c r="W39" s="16">
        <f>SUMIFS(Table1[Amount],Table1[Customer_ID],W$1,Table1[Month],$A39,Table1[Type],"Purchase")</f>
        <v>0</v>
      </c>
      <c r="X39" s="16">
        <f>SUMIFS(Table1[Amount],Table1[Customer_ID],X$1,Table1[Month],$A39,Table1[Type],"Purchase")</f>
        <v>0</v>
      </c>
      <c r="Y39" s="16">
        <f>SUMIFS(Table1[Amount],Table1[Customer_ID],Y$1,Table1[Month],$A39,Table1[Type],"Purchase")</f>
        <v>0</v>
      </c>
      <c r="Z39" s="16">
        <f>SUMIFS(Table1[Amount],Table1[Customer_ID],Z$1,Table1[Month],$A39,Table1[Type],"Purchase")</f>
        <v>0</v>
      </c>
      <c r="AA39" s="16">
        <f>SUMIFS(Table1[Amount],Table1[Customer_ID],AA$1,Table1[Month],$A39,Table1[Type],"Purchase")</f>
        <v>0</v>
      </c>
      <c r="AB39" s="16">
        <f>SUMIFS(Table1[Amount],Table1[Customer_ID],AB$1,Table1[Month],$A39,Table1[Type],"Purchase")</f>
        <v>0</v>
      </c>
      <c r="AC39" s="16">
        <f>SUMIFS(Table1[Amount],Table1[Customer_ID],AC$1,Table1[Month],$A39,Table1[Type],"Purchase")</f>
        <v>3313</v>
      </c>
      <c r="AD39" s="16">
        <f>SUMIFS(Table1[Amount],Table1[Customer_ID],AD$1,Table1[Month],$A39,Table1[Type],"Purchase")</f>
        <v>9023</v>
      </c>
      <c r="AE39" s="19">
        <f t="shared" si="0"/>
        <v>23611</v>
      </c>
    </row>
    <row r="40" spans="1:31">
      <c r="A40" s="27" t="s">
        <v>724</v>
      </c>
      <c r="B40" s="16">
        <f>SUMIFS(Table1[Amount],Table1[Customer_ID],B$1,Table1[Month],$A40,Table1[Type],"Purchase")</f>
        <v>4702</v>
      </c>
      <c r="C40" s="16">
        <f>SUMIFS(Table1[Amount],Table1[Customer_ID],C$1,Table1[Month],$A40,Table1[Type],"Purchase")</f>
        <v>7005</v>
      </c>
      <c r="D40" s="16">
        <f>SUMIFS(Table1[Amount],Table1[Customer_ID],D$1,Table1[Month],$A40,Table1[Type],"Purchase")</f>
        <v>0</v>
      </c>
      <c r="E40" s="16">
        <f>SUMIFS(Table1[Amount],Table1[Customer_ID],E$1,Table1[Month],$A40,Table1[Type],"Purchase")</f>
        <v>0</v>
      </c>
      <c r="F40" s="16">
        <f>SUMIFS(Table1[Amount],Table1[Customer_ID],F$1,Table1[Month],$A40,Table1[Type],"Purchase")</f>
        <v>0</v>
      </c>
      <c r="G40" s="16">
        <f>SUMIFS(Table1[Amount],Table1[Customer_ID],G$1,Table1[Month],$A40,Table1[Type],"Purchase")</f>
        <v>0</v>
      </c>
      <c r="H40" s="16">
        <f>SUMIFS(Table1[Amount],Table1[Customer_ID],H$1,Table1[Month],$A40,Table1[Type],"Purchase")</f>
        <v>0</v>
      </c>
      <c r="I40" s="16">
        <f>SUMIFS(Table1[Amount],Table1[Customer_ID],I$1,Table1[Month],$A40,Table1[Type],"Purchase")</f>
        <v>0</v>
      </c>
      <c r="J40" s="16">
        <f>SUMIFS(Table1[Amount],Table1[Customer_ID],J$1,Table1[Month],$A40,Table1[Type],"Purchase")</f>
        <v>0</v>
      </c>
      <c r="K40" s="16">
        <f>SUMIFS(Table1[Amount],Table1[Customer_ID],K$1,Table1[Month],$A40,Table1[Type],"Purchase")</f>
        <v>0</v>
      </c>
      <c r="L40" s="16">
        <f>SUMIFS(Table1[Amount],Table1[Customer_ID],L$1,Table1[Month],$A40,Table1[Type],"Purchase")</f>
        <v>0</v>
      </c>
      <c r="M40" s="16">
        <f>SUMIFS(Table1[Amount],Table1[Customer_ID],M$1,Table1[Month],$A40,Table1[Type],"Purchase")</f>
        <v>0</v>
      </c>
      <c r="N40" s="16">
        <f>SUMIFS(Table1[Amount],Table1[Customer_ID],N$1,Table1[Month],$A40,Table1[Type],"Purchase")</f>
        <v>0</v>
      </c>
      <c r="O40" s="16">
        <f>SUMIFS(Table1[Amount],Table1[Customer_ID],O$1,Table1[Month],$A40,Table1[Type],"Purchase")</f>
        <v>0</v>
      </c>
      <c r="P40" s="16">
        <f>SUMIFS(Table1[Amount],Table1[Customer_ID],P$1,Table1[Month],$A40,Table1[Type],"Purchase")</f>
        <v>0</v>
      </c>
      <c r="Q40" s="16">
        <f>SUMIFS(Table1[Amount],Table1[Customer_ID],Q$1,Table1[Month],$A40,Table1[Type],"Purchase")</f>
        <v>0</v>
      </c>
      <c r="R40" s="16">
        <f>SUMIFS(Table1[Amount],Table1[Customer_ID],R$1,Table1[Month],$A40,Table1[Type],"Purchase")</f>
        <v>0</v>
      </c>
      <c r="S40" s="16">
        <f>SUMIFS(Table1[Amount],Table1[Customer_ID],S$1,Table1[Month],$A40,Table1[Type],"Purchase")</f>
        <v>0</v>
      </c>
      <c r="T40" s="16">
        <f>SUMIFS(Table1[Amount],Table1[Customer_ID],T$1,Table1[Month],$A40,Table1[Type],"Purchase")</f>
        <v>0</v>
      </c>
      <c r="U40" s="16">
        <f>SUMIFS(Table1[Amount],Table1[Customer_ID],U$1,Table1[Month],$A40,Table1[Type],"Purchase")</f>
        <v>0</v>
      </c>
      <c r="V40" s="16">
        <f>SUMIFS(Table1[Amount],Table1[Customer_ID],V$1,Table1[Month],$A40,Table1[Type],"Purchase")</f>
        <v>0</v>
      </c>
      <c r="W40" s="16">
        <f>SUMIFS(Table1[Amount],Table1[Customer_ID],W$1,Table1[Month],$A40,Table1[Type],"Purchase")</f>
        <v>0</v>
      </c>
      <c r="X40" s="16">
        <f>SUMIFS(Table1[Amount],Table1[Customer_ID],X$1,Table1[Month],$A40,Table1[Type],"Purchase")</f>
        <v>0</v>
      </c>
      <c r="Y40" s="16">
        <f>SUMIFS(Table1[Amount],Table1[Customer_ID],Y$1,Table1[Month],$A40,Table1[Type],"Purchase")</f>
        <v>0</v>
      </c>
      <c r="Z40" s="16">
        <f>SUMIFS(Table1[Amount],Table1[Customer_ID],Z$1,Table1[Month],$A40,Table1[Type],"Purchase")</f>
        <v>0</v>
      </c>
      <c r="AA40" s="16">
        <f>SUMIFS(Table1[Amount],Table1[Customer_ID],AA$1,Table1[Month],$A40,Table1[Type],"Purchase")</f>
        <v>0</v>
      </c>
      <c r="AB40" s="16">
        <f>SUMIFS(Table1[Amount],Table1[Customer_ID],AB$1,Table1[Month],$A40,Table1[Type],"Purchase")</f>
        <v>0</v>
      </c>
      <c r="AC40" s="16">
        <f>SUMIFS(Table1[Amount],Table1[Customer_ID],AC$1,Table1[Month],$A40,Table1[Type],"Purchase")</f>
        <v>3269</v>
      </c>
      <c r="AD40" s="16">
        <f>SUMIFS(Table1[Amount],Table1[Customer_ID],AD$1,Table1[Month],$A40,Table1[Type],"Purchase")</f>
        <v>8205</v>
      </c>
      <c r="AE40" s="19">
        <f t="shared" si="0"/>
        <v>23181</v>
      </c>
    </row>
    <row r="41" spans="1:31">
      <c r="A41" s="27" t="s">
        <v>725</v>
      </c>
      <c r="B41" s="16">
        <f>SUMIFS(Table1[Amount],Table1[Customer_ID],B$1,Table1[Month],$A41,Table1[Type],"Purchase")</f>
        <v>3167</v>
      </c>
      <c r="C41" s="16">
        <f>SUMIFS(Table1[Amount],Table1[Customer_ID],C$1,Table1[Month],$A41,Table1[Type],"Purchase")</f>
        <v>4541</v>
      </c>
      <c r="D41" s="16">
        <f>SUMIFS(Table1[Amount],Table1[Customer_ID],D$1,Table1[Month],$A41,Table1[Type],"Purchase")</f>
        <v>0</v>
      </c>
      <c r="E41" s="16">
        <f>SUMIFS(Table1[Amount],Table1[Customer_ID],E$1,Table1[Month],$A41,Table1[Type],"Purchase")</f>
        <v>0</v>
      </c>
      <c r="F41" s="16">
        <f>SUMIFS(Table1[Amount],Table1[Customer_ID],F$1,Table1[Month],$A41,Table1[Type],"Purchase")</f>
        <v>0</v>
      </c>
      <c r="G41" s="16">
        <f>SUMIFS(Table1[Amount],Table1[Customer_ID],G$1,Table1[Month],$A41,Table1[Type],"Purchase")</f>
        <v>0</v>
      </c>
      <c r="H41" s="16">
        <f>SUMIFS(Table1[Amount],Table1[Customer_ID],H$1,Table1[Month],$A41,Table1[Type],"Purchase")</f>
        <v>0</v>
      </c>
      <c r="I41" s="16">
        <f>SUMIFS(Table1[Amount],Table1[Customer_ID],I$1,Table1[Month],$A41,Table1[Type],"Purchase")</f>
        <v>0</v>
      </c>
      <c r="J41" s="16">
        <f>SUMIFS(Table1[Amount],Table1[Customer_ID],J$1,Table1[Month],$A41,Table1[Type],"Purchase")</f>
        <v>0</v>
      </c>
      <c r="K41" s="16">
        <f>SUMIFS(Table1[Amount],Table1[Customer_ID],K$1,Table1[Month],$A41,Table1[Type],"Purchase")</f>
        <v>0</v>
      </c>
      <c r="L41" s="16">
        <f>SUMIFS(Table1[Amount],Table1[Customer_ID],L$1,Table1[Month],$A41,Table1[Type],"Purchase")</f>
        <v>0</v>
      </c>
      <c r="M41" s="16">
        <f>SUMIFS(Table1[Amount],Table1[Customer_ID],M$1,Table1[Month],$A41,Table1[Type],"Purchase")</f>
        <v>0</v>
      </c>
      <c r="N41" s="16">
        <f>SUMIFS(Table1[Amount],Table1[Customer_ID],N$1,Table1[Month],$A41,Table1[Type],"Purchase")</f>
        <v>0</v>
      </c>
      <c r="O41" s="16">
        <f>SUMIFS(Table1[Amount],Table1[Customer_ID],O$1,Table1[Month],$A41,Table1[Type],"Purchase")</f>
        <v>0</v>
      </c>
      <c r="P41" s="16">
        <f>SUMIFS(Table1[Amount],Table1[Customer_ID],P$1,Table1[Month],$A41,Table1[Type],"Purchase")</f>
        <v>0</v>
      </c>
      <c r="Q41" s="16">
        <f>SUMIFS(Table1[Amount],Table1[Customer_ID],Q$1,Table1[Month],$A41,Table1[Type],"Purchase")</f>
        <v>0</v>
      </c>
      <c r="R41" s="16">
        <f>SUMIFS(Table1[Amount],Table1[Customer_ID],R$1,Table1[Month],$A41,Table1[Type],"Purchase")</f>
        <v>0</v>
      </c>
      <c r="S41" s="16">
        <f>SUMIFS(Table1[Amount],Table1[Customer_ID],S$1,Table1[Month],$A41,Table1[Type],"Purchase")</f>
        <v>0</v>
      </c>
      <c r="T41" s="16">
        <f>SUMIFS(Table1[Amount],Table1[Customer_ID],T$1,Table1[Month],$A41,Table1[Type],"Purchase")</f>
        <v>0</v>
      </c>
      <c r="U41" s="16">
        <f>SUMIFS(Table1[Amount],Table1[Customer_ID],U$1,Table1[Month],$A41,Table1[Type],"Purchase")</f>
        <v>0</v>
      </c>
      <c r="V41" s="16">
        <f>SUMIFS(Table1[Amount],Table1[Customer_ID],V$1,Table1[Month],$A41,Table1[Type],"Purchase")</f>
        <v>0</v>
      </c>
      <c r="W41" s="16">
        <f>SUMIFS(Table1[Amount],Table1[Customer_ID],W$1,Table1[Month],$A41,Table1[Type],"Purchase")</f>
        <v>0</v>
      </c>
      <c r="X41" s="16">
        <f>SUMIFS(Table1[Amount],Table1[Customer_ID],X$1,Table1[Month],$A41,Table1[Type],"Purchase")</f>
        <v>0</v>
      </c>
      <c r="Y41" s="16">
        <f>SUMIFS(Table1[Amount],Table1[Customer_ID],Y$1,Table1[Month],$A41,Table1[Type],"Purchase")</f>
        <v>0</v>
      </c>
      <c r="Z41" s="16">
        <f>SUMIFS(Table1[Amount],Table1[Customer_ID],Z$1,Table1[Month],$A41,Table1[Type],"Purchase")</f>
        <v>0</v>
      </c>
      <c r="AA41" s="16">
        <f>SUMIFS(Table1[Amount],Table1[Customer_ID],AA$1,Table1[Month],$A41,Table1[Type],"Purchase")</f>
        <v>0</v>
      </c>
      <c r="AB41" s="16">
        <f>SUMIFS(Table1[Amount],Table1[Customer_ID],AB$1,Table1[Month],$A41,Table1[Type],"Purchase")</f>
        <v>0</v>
      </c>
      <c r="AC41" s="16">
        <f>SUMIFS(Table1[Amount],Table1[Customer_ID],AC$1,Table1[Month],$A41,Table1[Type],"Purchase")</f>
        <v>0</v>
      </c>
      <c r="AD41" s="16">
        <f>SUMIFS(Table1[Amount],Table1[Customer_ID],AD$1,Table1[Month],$A41,Table1[Type],"Purchase")</f>
        <v>6151</v>
      </c>
      <c r="AE41" s="19">
        <f t="shared" si="0"/>
        <v>13859</v>
      </c>
    </row>
    <row r="42" spans="1:31">
      <c r="A42" s="27" t="s">
        <v>726</v>
      </c>
      <c r="B42" s="16">
        <f>SUMIFS(Table1[Amount],Table1[Customer_ID],B$1,Table1[Month],$A42,Table1[Type],"Purchase")</f>
        <v>1621</v>
      </c>
      <c r="C42" s="16">
        <f>SUMIFS(Table1[Amount],Table1[Customer_ID],C$1,Table1[Month],$A42,Table1[Type],"Purchase")</f>
        <v>4711</v>
      </c>
      <c r="D42" s="16">
        <f>SUMIFS(Table1[Amount],Table1[Customer_ID],D$1,Table1[Month],$A42,Table1[Type],"Purchase")</f>
        <v>0</v>
      </c>
      <c r="E42" s="16">
        <f>SUMIFS(Table1[Amount],Table1[Customer_ID],E$1,Table1[Month],$A42,Table1[Type],"Purchase")</f>
        <v>0</v>
      </c>
      <c r="F42" s="16">
        <f>SUMIFS(Table1[Amount],Table1[Customer_ID],F$1,Table1[Month],$A42,Table1[Type],"Purchase")</f>
        <v>0</v>
      </c>
      <c r="G42" s="16">
        <f>SUMIFS(Table1[Amount],Table1[Customer_ID],G$1,Table1[Month],$A42,Table1[Type],"Purchase")</f>
        <v>0</v>
      </c>
      <c r="H42" s="16">
        <f>SUMIFS(Table1[Amount],Table1[Customer_ID],H$1,Table1[Month],$A42,Table1[Type],"Purchase")</f>
        <v>0</v>
      </c>
      <c r="I42" s="16">
        <f>SUMIFS(Table1[Amount],Table1[Customer_ID],I$1,Table1[Month],$A42,Table1[Type],"Purchase")</f>
        <v>0</v>
      </c>
      <c r="J42" s="16">
        <f>SUMIFS(Table1[Amount],Table1[Customer_ID],J$1,Table1[Month],$A42,Table1[Type],"Purchase")</f>
        <v>0</v>
      </c>
      <c r="K42" s="16">
        <f>SUMIFS(Table1[Amount],Table1[Customer_ID],K$1,Table1[Month],$A42,Table1[Type],"Purchase")</f>
        <v>0</v>
      </c>
      <c r="L42" s="16">
        <f>SUMIFS(Table1[Amount],Table1[Customer_ID],L$1,Table1[Month],$A42,Table1[Type],"Purchase")</f>
        <v>0</v>
      </c>
      <c r="M42" s="16">
        <f>SUMIFS(Table1[Amount],Table1[Customer_ID],M$1,Table1[Month],$A42,Table1[Type],"Purchase")</f>
        <v>0</v>
      </c>
      <c r="N42" s="16">
        <f>SUMIFS(Table1[Amount],Table1[Customer_ID],N$1,Table1[Month],$A42,Table1[Type],"Purchase")</f>
        <v>0</v>
      </c>
      <c r="O42" s="16">
        <f>SUMIFS(Table1[Amount],Table1[Customer_ID],O$1,Table1[Month],$A42,Table1[Type],"Purchase")</f>
        <v>0</v>
      </c>
      <c r="P42" s="16">
        <f>SUMIFS(Table1[Amount],Table1[Customer_ID],P$1,Table1[Month],$A42,Table1[Type],"Purchase")</f>
        <v>0</v>
      </c>
      <c r="Q42" s="16">
        <f>SUMIFS(Table1[Amount],Table1[Customer_ID],Q$1,Table1[Month],$A42,Table1[Type],"Purchase")</f>
        <v>0</v>
      </c>
      <c r="R42" s="16">
        <f>SUMIFS(Table1[Amount],Table1[Customer_ID],R$1,Table1[Month],$A42,Table1[Type],"Purchase")</f>
        <v>0</v>
      </c>
      <c r="S42" s="16">
        <f>SUMIFS(Table1[Amount],Table1[Customer_ID],S$1,Table1[Month],$A42,Table1[Type],"Purchase")</f>
        <v>0</v>
      </c>
      <c r="T42" s="16">
        <f>SUMIFS(Table1[Amount],Table1[Customer_ID],T$1,Table1[Month],$A42,Table1[Type],"Purchase")</f>
        <v>0</v>
      </c>
      <c r="U42" s="16">
        <f>SUMIFS(Table1[Amount],Table1[Customer_ID],U$1,Table1[Month],$A42,Table1[Type],"Purchase")</f>
        <v>0</v>
      </c>
      <c r="V42" s="16">
        <f>SUMIFS(Table1[Amount],Table1[Customer_ID],V$1,Table1[Month],$A42,Table1[Type],"Purchase")</f>
        <v>0</v>
      </c>
      <c r="W42" s="16">
        <f>SUMIFS(Table1[Amount],Table1[Customer_ID],W$1,Table1[Month],$A42,Table1[Type],"Purchase")</f>
        <v>0</v>
      </c>
      <c r="X42" s="16">
        <f>SUMIFS(Table1[Amount],Table1[Customer_ID],X$1,Table1[Month],$A42,Table1[Type],"Purchase")</f>
        <v>0</v>
      </c>
      <c r="Y42" s="16">
        <f>SUMIFS(Table1[Amount],Table1[Customer_ID],Y$1,Table1[Month],$A42,Table1[Type],"Purchase")</f>
        <v>0</v>
      </c>
      <c r="Z42" s="16">
        <f>SUMIFS(Table1[Amount],Table1[Customer_ID],Z$1,Table1[Month],$A42,Table1[Type],"Purchase")</f>
        <v>0</v>
      </c>
      <c r="AA42" s="16">
        <f>SUMIFS(Table1[Amount],Table1[Customer_ID],AA$1,Table1[Month],$A42,Table1[Type],"Purchase")</f>
        <v>0</v>
      </c>
      <c r="AB42" s="16">
        <f>SUMIFS(Table1[Amount],Table1[Customer_ID],AB$1,Table1[Month],$A42,Table1[Type],"Purchase")</f>
        <v>0</v>
      </c>
      <c r="AC42" s="16">
        <f>SUMIFS(Table1[Amount],Table1[Customer_ID],AC$1,Table1[Month],$A42,Table1[Type],"Purchase")</f>
        <v>0</v>
      </c>
      <c r="AD42" s="16">
        <f>SUMIFS(Table1[Amount],Table1[Customer_ID],AD$1,Table1[Month],$A42,Table1[Type],"Purchase")</f>
        <v>0</v>
      </c>
      <c r="AE42" s="19">
        <f t="shared" si="0"/>
        <v>6332</v>
      </c>
    </row>
    <row r="43" spans="1:31">
      <c r="A43" s="27" t="s">
        <v>727</v>
      </c>
      <c r="B43" s="16">
        <f>SUMIFS(Table1[Amount],Table1[Customer_ID],B$1,Table1[Month],$A43,Table1[Type],"Purchase")</f>
        <v>0</v>
      </c>
      <c r="C43" s="16">
        <f>SUMIFS(Table1[Amount],Table1[Customer_ID],C$1,Table1[Month],$A43,Table1[Type],"Purchase")</f>
        <v>4522</v>
      </c>
      <c r="D43" s="16">
        <f>SUMIFS(Table1[Amount],Table1[Customer_ID],D$1,Table1[Month],$A43,Table1[Type],"Purchase")</f>
        <v>0</v>
      </c>
      <c r="E43" s="16">
        <f>SUMIFS(Table1[Amount],Table1[Customer_ID],E$1,Table1[Month],$A43,Table1[Type],"Purchase")</f>
        <v>0</v>
      </c>
      <c r="F43" s="16">
        <f>SUMIFS(Table1[Amount],Table1[Customer_ID],F$1,Table1[Month],$A43,Table1[Type],"Purchase")</f>
        <v>0</v>
      </c>
      <c r="G43" s="16">
        <f>SUMIFS(Table1[Amount],Table1[Customer_ID],G$1,Table1[Month],$A43,Table1[Type],"Purchase")</f>
        <v>0</v>
      </c>
      <c r="H43" s="16">
        <f>SUMIFS(Table1[Amount],Table1[Customer_ID],H$1,Table1[Month],$A43,Table1[Type],"Purchase")</f>
        <v>0</v>
      </c>
      <c r="I43" s="16">
        <f>SUMIFS(Table1[Amount],Table1[Customer_ID],I$1,Table1[Month],$A43,Table1[Type],"Purchase")</f>
        <v>0</v>
      </c>
      <c r="J43" s="16">
        <f>SUMIFS(Table1[Amount],Table1[Customer_ID],J$1,Table1[Month],$A43,Table1[Type],"Purchase")</f>
        <v>0</v>
      </c>
      <c r="K43" s="16">
        <f>SUMIFS(Table1[Amount],Table1[Customer_ID],K$1,Table1[Month],$A43,Table1[Type],"Purchase")</f>
        <v>0</v>
      </c>
      <c r="L43" s="16">
        <f>SUMIFS(Table1[Amount],Table1[Customer_ID],L$1,Table1[Month],$A43,Table1[Type],"Purchase")</f>
        <v>0</v>
      </c>
      <c r="M43" s="16">
        <f>SUMIFS(Table1[Amount],Table1[Customer_ID],M$1,Table1[Month],$A43,Table1[Type],"Purchase")</f>
        <v>0</v>
      </c>
      <c r="N43" s="16">
        <f>SUMIFS(Table1[Amount],Table1[Customer_ID],N$1,Table1[Month],$A43,Table1[Type],"Purchase")</f>
        <v>0</v>
      </c>
      <c r="O43" s="16">
        <f>SUMIFS(Table1[Amount],Table1[Customer_ID],O$1,Table1[Month],$A43,Table1[Type],"Purchase")</f>
        <v>0</v>
      </c>
      <c r="P43" s="16">
        <f>SUMIFS(Table1[Amount],Table1[Customer_ID],P$1,Table1[Month],$A43,Table1[Type],"Purchase")</f>
        <v>0</v>
      </c>
      <c r="Q43" s="16">
        <f>SUMIFS(Table1[Amount],Table1[Customer_ID],Q$1,Table1[Month],$A43,Table1[Type],"Purchase")</f>
        <v>0</v>
      </c>
      <c r="R43" s="16">
        <f>SUMIFS(Table1[Amount],Table1[Customer_ID],R$1,Table1[Month],$A43,Table1[Type],"Purchase")</f>
        <v>0</v>
      </c>
      <c r="S43" s="16">
        <f>SUMIFS(Table1[Amount],Table1[Customer_ID],S$1,Table1[Month],$A43,Table1[Type],"Purchase")</f>
        <v>0</v>
      </c>
      <c r="T43" s="16">
        <f>SUMIFS(Table1[Amount],Table1[Customer_ID],T$1,Table1[Month],$A43,Table1[Type],"Purchase")</f>
        <v>0</v>
      </c>
      <c r="U43" s="16">
        <f>SUMIFS(Table1[Amount],Table1[Customer_ID],U$1,Table1[Month],$A43,Table1[Type],"Purchase")</f>
        <v>0</v>
      </c>
      <c r="V43" s="16">
        <f>SUMIFS(Table1[Amount],Table1[Customer_ID],V$1,Table1[Month],$A43,Table1[Type],"Purchase")</f>
        <v>0</v>
      </c>
      <c r="W43" s="16">
        <f>SUMIFS(Table1[Amount],Table1[Customer_ID],W$1,Table1[Month],$A43,Table1[Type],"Purchase")</f>
        <v>0</v>
      </c>
      <c r="X43" s="16">
        <f>SUMIFS(Table1[Amount],Table1[Customer_ID],X$1,Table1[Month],$A43,Table1[Type],"Purchase")</f>
        <v>0</v>
      </c>
      <c r="Y43" s="16">
        <f>SUMIFS(Table1[Amount],Table1[Customer_ID],Y$1,Table1[Month],$A43,Table1[Type],"Purchase")</f>
        <v>0</v>
      </c>
      <c r="Z43" s="16">
        <f>SUMIFS(Table1[Amount],Table1[Customer_ID],Z$1,Table1[Month],$A43,Table1[Type],"Purchase")</f>
        <v>0</v>
      </c>
      <c r="AA43" s="16">
        <f>SUMIFS(Table1[Amount],Table1[Customer_ID],AA$1,Table1[Month],$A43,Table1[Type],"Purchase")</f>
        <v>0</v>
      </c>
      <c r="AB43" s="16">
        <f>SUMIFS(Table1[Amount],Table1[Customer_ID],AB$1,Table1[Month],$A43,Table1[Type],"Purchase")</f>
        <v>0</v>
      </c>
      <c r="AC43" s="16">
        <f>SUMIFS(Table1[Amount],Table1[Customer_ID],AC$1,Table1[Month],$A43,Table1[Type],"Purchase")</f>
        <v>0</v>
      </c>
      <c r="AD43" s="16">
        <f>SUMIFS(Table1[Amount],Table1[Customer_ID],AD$1,Table1[Month],$A43,Table1[Type],"Purchase")</f>
        <v>0</v>
      </c>
      <c r="AE43" s="19">
        <f t="shared" si="0"/>
        <v>4522</v>
      </c>
    </row>
    <row r="44" spans="1:31" s="15" customFormat="1">
      <c r="A44" s="15" t="s">
        <v>699</v>
      </c>
      <c r="B44" s="19">
        <f t="shared" ref="B44:AB44" si="1">SUM(B2:B43)</f>
        <v>13976</v>
      </c>
      <c r="C44" s="19">
        <f t="shared" si="1"/>
        <v>28852</v>
      </c>
      <c r="D44" s="19">
        <f t="shared" si="1"/>
        <v>17955</v>
      </c>
      <c r="E44" s="19">
        <f t="shared" si="1"/>
        <v>23993</v>
      </c>
      <c r="F44" s="19">
        <f t="shared" si="1"/>
        <v>4750</v>
      </c>
      <c r="G44" s="19">
        <f t="shared" si="1"/>
        <v>53928</v>
      </c>
      <c r="H44" s="19">
        <f t="shared" si="1"/>
        <v>40423</v>
      </c>
      <c r="I44" s="19">
        <f t="shared" si="1"/>
        <v>1634</v>
      </c>
      <c r="J44" s="19">
        <f t="shared" si="1"/>
        <v>634</v>
      </c>
      <c r="K44" s="19">
        <f t="shared" si="1"/>
        <v>14718</v>
      </c>
      <c r="L44" s="19">
        <f t="shared" si="1"/>
        <v>12074</v>
      </c>
      <c r="M44" s="19">
        <f t="shared" si="1"/>
        <v>1965</v>
      </c>
      <c r="N44" s="19">
        <f t="shared" si="1"/>
        <v>32292</v>
      </c>
      <c r="O44" s="19">
        <f t="shared" si="1"/>
        <v>13393</v>
      </c>
      <c r="P44" s="19">
        <f t="shared" si="1"/>
        <v>27116</v>
      </c>
      <c r="Q44" s="19">
        <f t="shared" si="1"/>
        <v>9789</v>
      </c>
      <c r="R44" s="19">
        <f t="shared" si="1"/>
        <v>34226</v>
      </c>
      <c r="S44" s="19">
        <f t="shared" si="1"/>
        <v>14115</v>
      </c>
      <c r="T44" s="19">
        <f t="shared" si="1"/>
        <v>50121</v>
      </c>
      <c r="U44" s="19">
        <f t="shared" si="1"/>
        <v>19824</v>
      </c>
      <c r="V44" s="19">
        <f t="shared" si="1"/>
        <v>26158</v>
      </c>
      <c r="W44" s="19">
        <f t="shared" si="1"/>
        <v>14646</v>
      </c>
      <c r="X44" s="19">
        <f t="shared" si="1"/>
        <v>19807</v>
      </c>
      <c r="Y44" s="19">
        <f t="shared" si="1"/>
        <v>13085</v>
      </c>
      <c r="Z44" s="19">
        <f t="shared" si="1"/>
        <v>11779</v>
      </c>
      <c r="AA44" s="19">
        <f t="shared" si="1"/>
        <v>40660</v>
      </c>
      <c r="AB44" s="19">
        <f t="shared" si="1"/>
        <v>143108</v>
      </c>
      <c r="AC44" s="19">
        <f t="shared" ref="AC44" si="2">SUM(AC2:AC43)</f>
        <v>7282</v>
      </c>
      <c r="AD44" s="19">
        <f t="shared" ref="AD44" si="3">SUM(AD2:AD43)</f>
        <v>23379</v>
      </c>
      <c r="AE44" s="19">
        <f t="shared" si="0"/>
        <v>715682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97776-933D-443A-9211-DBE0BE3D5D5B}">
  <dimension ref="A1:A27"/>
  <sheetViews>
    <sheetView workbookViewId="0"/>
  </sheetViews>
  <sheetFormatPr defaultRowHeight="14.4"/>
  <sheetData>
    <row r="1" spans="1:1">
      <c r="A1" s="15" t="s">
        <v>729</v>
      </c>
    </row>
    <row r="26" spans="1:1">
      <c r="A26" t="s">
        <v>730</v>
      </c>
    </row>
    <row r="27" spans="1:1">
      <c r="A27" t="s">
        <v>731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8A37A-397D-4C23-930C-9D04B999DAFF}">
  <dimension ref="A1:D20"/>
  <sheetViews>
    <sheetView workbookViewId="0"/>
  </sheetViews>
  <sheetFormatPr defaultRowHeight="14.4"/>
  <cols>
    <col min="1" max="1" width="37.109375" bestFit="1" customWidth="1"/>
    <col min="2" max="2" width="10.33203125" bestFit="1" customWidth="1"/>
    <col min="3" max="3" width="8.44140625" bestFit="1" customWidth="1"/>
    <col min="4" max="4" width="88.5546875" bestFit="1" customWidth="1"/>
  </cols>
  <sheetData>
    <row r="1" spans="1:4">
      <c r="A1" s="25" t="s">
        <v>732</v>
      </c>
      <c r="B1" s="25" t="s">
        <v>733</v>
      </c>
      <c r="C1" s="25" t="s">
        <v>734</v>
      </c>
      <c r="D1" s="25" t="s">
        <v>735</v>
      </c>
    </row>
    <row r="2" spans="1:4">
      <c r="A2" t="s">
        <v>736</v>
      </c>
      <c r="B2" s="4">
        <f>ROWS(Table1[])</f>
        <v>3065</v>
      </c>
      <c r="C2" t="str">
        <f>IF(B2&gt;0,"OK","LOOK")</f>
        <v>OK</v>
      </c>
      <c r="D2" t="s">
        <v>737</v>
      </c>
    </row>
    <row r="3" spans="1:4">
      <c r="A3" t="s">
        <v>738</v>
      </c>
      <c r="B3" s="4">
        <f>COUNTBLANK(Table1[Date])</f>
        <v>110</v>
      </c>
      <c r="C3" t="str">
        <f>IF(B3=0,"OK","KNOWN")</f>
        <v>KNOWN</v>
      </c>
      <c r="D3" t="s">
        <v>739</v>
      </c>
    </row>
    <row r="4" spans="1:4">
      <c r="A4" t="s">
        <v>740</v>
      </c>
      <c r="B4" s="4">
        <f>COUNTBLANK(Table1[Customer_ID])</f>
        <v>0</v>
      </c>
      <c r="C4" t="str">
        <f>IF(B4=0,"OK","LOOK")</f>
        <v>OK</v>
      </c>
      <c r="D4" t="s">
        <v>741</v>
      </c>
    </row>
    <row r="5" spans="1:4">
      <c r="A5" t="s">
        <v>742</v>
      </c>
      <c r="B5" s="4">
        <f>COUNTBLANK(Table1[Amount])</f>
        <v>0</v>
      </c>
      <c r="C5" t="str">
        <f>IF(B5=0,"OK","LOOK")</f>
        <v>OK</v>
      </c>
      <c r="D5" t="s">
        <v>743</v>
      </c>
    </row>
    <row r="6" spans="1:4">
      <c r="A6" t="s">
        <v>744</v>
      </c>
      <c r="B6" s="4">
        <f>COUNTIFS(Table1[Type],"Purchase")</f>
        <v>2755</v>
      </c>
    </row>
    <row r="7" spans="1:4">
      <c r="A7" t="s">
        <v>745</v>
      </c>
      <c r="B7" s="4">
        <f>COUNTIFS(Table1[Type],"Payment")</f>
        <v>200</v>
      </c>
    </row>
    <row r="8" spans="1:4">
      <c r="A8" t="s">
        <v>746</v>
      </c>
      <c r="B8" s="4">
        <f>COUNTIFS(Table1[Type],"Old_Balance")</f>
        <v>26</v>
      </c>
    </row>
    <row r="9" spans="1:4">
      <c r="A9" t="s">
        <v>747</v>
      </c>
      <c r="B9" s="4">
        <f>COUNTIFS(Table1[Type],"Adjustment")</f>
        <v>84</v>
      </c>
    </row>
    <row r="10" spans="1:4">
      <c r="A10" t="s">
        <v>748</v>
      </c>
      <c r="B10" s="4">
        <f>B2-SUM(B6:B9)</f>
        <v>0</v>
      </c>
      <c r="C10" t="str">
        <f>IF(B10=0,"OK","LOOK")</f>
        <v>OK</v>
      </c>
      <c r="D10" t="s">
        <v>749</v>
      </c>
    </row>
    <row r="11" spans="1:4">
      <c r="A11" t="s">
        <v>750</v>
      </c>
      <c r="B11" s="16">
        <f>SUMIFS(Table1[Amount],Table1[Type],"Adjustment")</f>
        <v>-2347</v>
      </c>
      <c r="C11" t="str">
        <f>IF(ABS(B11)&lt;5000,"OK","LOOK")</f>
        <v>OK</v>
      </c>
      <c r="D11" t="s">
        <v>751</v>
      </c>
    </row>
    <row r="12" spans="1:4">
      <c r="A12" t="s">
        <v>752</v>
      </c>
      <c r="B12" s="4">
        <f>COUNTIF(Table1[Notes],"CHECK:*")</f>
        <v>31</v>
      </c>
      <c r="C12" t="str">
        <f>IF(B12=0,"OK","ASK DAD")</f>
        <v>ASK DAD</v>
      </c>
      <c r="D12" t="s">
        <v>766</v>
      </c>
    </row>
    <row r="13" spans="1:4">
      <c r="A13" t="s">
        <v>753</v>
      </c>
      <c r="B13" s="4">
        <f>COUNTIFS(Table1[Type],"Purchase",Table1[Amount],"&lt;0")</f>
        <v>0</v>
      </c>
      <c r="C13" t="str">
        <f>IF(B13=0,"OK","LOOK")</f>
        <v>OK</v>
      </c>
      <c r="D13" t="s">
        <v>754</v>
      </c>
    </row>
    <row r="14" spans="1:4">
      <c r="A14" t="s">
        <v>755</v>
      </c>
      <c r="B14" s="4">
        <f>COUNTIF(Table1[Customer_Type],"Not found")</f>
        <v>0</v>
      </c>
      <c r="C14" t="str">
        <f>IF(B14=0,"OK","LOOK")</f>
        <v>OK</v>
      </c>
      <c r="D14" t="s">
        <v>756</v>
      </c>
    </row>
    <row r="15" spans="1:4">
      <c r="A15" t="s">
        <v>757</v>
      </c>
      <c r="B15" s="9">
        <f>MIN(Table1[Date])</f>
        <v>44520</v>
      </c>
    </row>
    <row r="16" spans="1:4">
      <c r="A16" t="s">
        <v>758</v>
      </c>
      <c r="B16" s="9">
        <f>MAX(Table1[Date])</f>
        <v>45759</v>
      </c>
    </row>
    <row r="17" spans="1:4">
      <c r="A17" t="s">
        <v>759</v>
      </c>
      <c r="B17" s="16">
        <f>SUMIFS(Table1[Amount],Table1[Type],"Purchase")</f>
        <v>715682</v>
      </c>
    </row>
    <row r="18" spans="1:4">
      <c r="A18" t="s">
        <v>760</v>
      </c>
      <c r="B18" s="16">
        <f>Customer_Summary!B32</f>
        <v>715682</v>
      </c>
      <c r="C18" t="str">
        <f>IF(B18=B17,"OK","LOOK")</f>
        <v>OK</v>
      </c>
      <c r="D18" t="s">
        <v>761</v>
      </c>
    </row>
    <row r="19" spans="1:4">
      <c r="A19" t="s">
        <v>762</v>
      </c>
      <c r="B19" s="16">
        <f>Monthly_Purchases!AE44</f>
        <v>715682</v>
      </c>
      <c r="C19" t="str">
        <f>IF(B19=B17,"OK","LOOK")</f>
        <v>OK</v>
      </c>
      <c r="D19" t="s">
        <v>763</v>
      </c>
    </row>
    <row r="20" spans="1:4">
      <c r="A20" t="s">
        <v>764</v>
      </c>
      <c r="B20" s="16">
        <f>Customer_Summary!F32</f>
        <v>125321</v>
      </c>
      <c r="D20" t="s">
        <v>765</v>
      </c>
    </row>
  </sheetData>
  <conditionalFormatting sqref="C2:C20">
    <cfRule type="cellIs" dxfId="1" priority="1" stopIfTrue="1" operator="equal">
      <formula>"OK"</formula>
    </cfRule>
    <cfRule type="cellIs" dxfId="0" priority="2" stopIfTrue="1" operator="notEqual">
      <formula>"OK"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72924-FB62-4A89-992F-2CB64B4E28C0}">
  <dimension ref="A1:D24"/>
  <sheetViews>
    <sheetView workbookViewId="0"/>
  </sheetViews>
  <sheetFormatPr defaultRowHeight="14.4"/>
  <cols>
    <col min="1" max="1" width="34.77734375" customWidth="1"/>
    <col min="2" max="2" width="60.77734375" customWidth="1"/>
    <col min="3" max="3" width="70.77734375" customWidth="1"/>
    <col min="4" max="4" width="50.77734375" customWidth="1"/>
  </cols>
  <sheetData>
    <row r="1" spans="1:4">
      <c r="A1" s="29" t="s">
        <v>767</v>
      </c>
      <c r="B1" s="29" t="s">
        <v>768</v>
      </c>
      <c r="C1" s="29" t="s">
        <v>769</v>
      </c>
      <c r="D1" s="29" t="s">
        <v>770</v>
      </c>
    </row>
    <row r="2" spans="1:4">
      <c r="A2" s="30" t="s">
        <v>771</v>
      </c>
      <c r="B2" s="30" t="s">
        <v>772</v>
      </c>
      <c r="C2" s="30" t="s">
        <v>773</v>
      </c>
      <c r="D2" s="30" t="s">
        <v>774</v>
      </c>
    </row>
    <row r="3" spans="1:4" ht="28.8">
      <c r="A3" s="30" t="s">
        <v>775</v>
      </c>
      <c r="B3" s="30" t="s">
        <v>776</v>
      </c>
      <c r="C3" s="30" t="s">
        <v>777</v>
      </c>
      <c r="D3" s="30" t="s">
        <v>778</v>
      </c>
    </row>
    <row r="4" spans="1:4" ht="28.8">
      <c r="A4" s="30" t="s">
        <v>779</v>
      </c>
      <c r="B4" s="30" t="s">
        <v>780</v>
      </c>
      <c r="C4" s="30" t="s">
        <v>781</v>
      </c>
      <c r="D4" s="30" t="s">
        <v>782</v>
      </c>
    </row>
    <row r="5" spans="1:4">
      <c r="A5" s="30" t="s">
        <v>783</v>
      </c>
      <c r="B5" s="30" t="s">
        <v>784</v>
      </c>
      <c r="C5" s="30" t="s">
        <v>785</v>
      </c>
      <c r="D5" s="30" t="s">
        <v>786</v>
      </c>
    </row>
    <row r="6" spans="1:4">
      <c r="A6" s="30" t="s">
        <v>787</v>
      </c>
      <c r="B6" s="30" t="s">
        <v>788</v>
      </c>
      <c r="C6" s="30" t="s">
        <v>789</v>
      </c>
      <c r="D6" s="30" t="s">
        <v>790</v>
      </c>
    </row>
    <row r="7" spans="1:4">
      <c r="A7" s="30" t="s">
        <v>791</v>
      </c>
      <c r="B7" s="30" t="s">
        <v>792</v>
      </c>
      <c r="C7" s="30" t="s">
        <v>793</v>
      </c>
      <c r="D7" s="30" t="s">
        <v>794</v>
      </c>
    </row>
    <row r="8" spans="1:4" ht="28.8">
      <c r="A8" s="30" t="s">
        <v>795</v>
      </c>
      <c r="B8" s="30" t="s">
        <v>796</v>
      </c>
      <c r="C8" s="30" t="s">
        <v>797</v>
      </c>
      <c r="D8" s="30" t="s">
        <v>798</v>
      </c>
    </row>
    <row r="9" spans="1:4" ht="28.8">
      <c r="A9" s="30" t="s">
        <v>799</v>
      </c>
      <c r="B9" s="30" t="s">
        <v>800</v>
      </c>
      <c r="C9" s="30" t="s">
        <v>801</v>
      </c>
      <c r="D9" s="30" t="s">
        <v>802</v>
      </c>
    </row>
    <row r="10" spans="1:4">
      <c r="A10" s="30" t="s">
        <v>803</v>
      </c>
      <c r="B10" s="30" t="s">
        <v>804</v>
      </c>
      <c r="C10" s="30" t="s">
        <v>805</v>
      </c>
      <c r="D10" s="30" t="s">
        <v>806</v>
      </c>
    </row>
    <row r="11" spans="1:4" ht="28.8">
      <c r="A11" s="30" t="s">
        <v>807</v>
      </c>
      <c r="B11" s="30" t="s">
        <v>808</v>
      </c>
      <c r="C11" s="30" t="s">
        <v>809</v>
      </c>
      <c r="D11" s="30" t="s">
        <v>810</v>
      </c>
    </row>
    <row r="12" spans="1:4" ht="28.8">
      <c r="A12" s="30" t="s">
        <v>811</v>
      </c>
      <c r="B12" s="30" t="s">
        <v>812</v>
      </c>
      <c r="C12" s="30" t="s">
        <v>813</v>
      </c>
      <c r="D12" s="30" t="s">
        <v>814</v>
      </c>
    </row>
    <row r="13" spans="1:4" ht="28.8">
      <c r="A13" s="30" t="s">
        <v>815</v>
      </c>
      <c r="B13" s="30" t="s">
        <v>816</v>
      </c>
      <c r="C13" s="30" t="s">
        <v>817</v>
      </c>
      <c r="D13" s="30" t="s">
        <v>818</v>
      </c>
    </row>
    <row r="14" spans="1:4" ht="28.8">
      <c r="A14" s="30" t="s">
        <v>819</v>
      </c>
      <c r="B14" s="30" t="s">
        <v>820</v>
      </c>
      <c r="C14" s="30" t="s">
        <v>821</v>
      </c>
      <c r="D14" s="30" t="s">
        <v>822</v>
      </c>
    </row>
    <row r="15" spans="1:4" ht="28.8">
      <c r="A15" s="30" t="s">
        <v>823</v>
      </c>
      <c r="B15" s="30" t="s">
        <v>824</v>
      </c>
      <c r="C15" s="30" t="s">
        <v>825</v>
      </c>
      <c r="D15" s="30" t="s">
        <v>826</v>
      </c>
    </row>
    <row r="16" spans="1:4">
      <c r="A16" s="30" t="s">
        <v>827</v>
      </c>
      <c r="B16" s="30" t="s">
        <v>828</v>
      </c>
      <c r="C16" s="30" t="s">
        <v>829</v>
      </c>
      <c r="D16" s="30" t="s">
        <v>830</v>
      </c>
    </row>
    <row r="17" spans="1:4">
      <c r="A17" s="30" t="s">
        <v>831</v>
      </c>
      <c r="B17" s="30" t="s">
        <v>832</v>
      </c>
      <c r="C17" s="30" t="s">
        <v>833</v>
      </c>
      <c r="D17" s="30" t="s">
        <v>834</v>
      </c>
    </row>
    <row r="18" spans="1:4">
      <c r="A18" s="31"/>
      <c r="B18" s="31"/>
      <c r="C18" s="31"/>
      <c r="D18" s="31"/>
    </row>
    <row r="19" spans="1:4">
      <c r="A19" s="32" t="s">
        <v>835</v>
      </c>
      <c r="B19" s="31"/>
      <c r="C19" s="31"/>
      <c r="D19" s="31"/>
    </row>
    <row r="20" spans="1:4">
      <c r="A20" s="30" t="s">
        <v>836</v>
      </c>
      <c r="B20" s="31"/>
      <c r="C20" s="30" t="s">
        <v>837</v>
      </c>
      <c r="D20" s="31"/>
    </row>
    <row r="21" spans="1:4" ht="28.8">
      <c r="A21" s="30" t="s">
        <v>838</v>
      </c>
      <c r="B21" s="31"/>
      <c r="C21" s="30" t="s">
        <v>839</v>
      </c>
      <c r="D21" s="31"/>
    </row>
    <row r="22" spans="1:4" ht="28.8">
      <c r="A22" s="30" t="s">
        <v>840</v>
      </c>
      <c r="B22" s="31"/>
      <c r="C22" s="30" t="s">
        <v>841</v>
      </c>
      <c r="D22" s="31"/>
    </row>
    <row r="23" spans="1:4" ht="28.8">
      <c r="A23" s="30" t="s">
        <v>842</v>
      </c>
      <c r="B23" s="31"/>
      <c r="C23" s="30" t="s">
        <v>843</v>
      </c>
      <c r="D23" s="31"/>
    </row>
    <row r="24" spans="1:4" ht="28.8">
      <c r="A24" s="30" t="s">
        <v>844</v>
      </c>
      <c r="B24" s="31"/>
      <c r="C24" s="30" t="s">
        <v>845</v>
      </c>
      <c r="D24" s="3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066"/>
  <sheetViews>
    <sheetView workbookViewId="0">
      <pane ySplit="1" topLeftCell="A57" activePane="bottomLeft" state="frozen"/>
      <selection pane="bottomLeft" activeCell="B5" sqref="B5"/>
    </sheetView>
  </sheetViews>
  <sheetFormatPr defaultRowHeight="14.4"/>
  <cols>
    <col min="1" max="1" width="13" customWidth="1"/>
    <col min="2" max="2" width="14" customWidth="1"/>
    <col min="3" max="3" width="12" customWidth="1"/>
    <col min="4" max="4" width="11" customWidth="1"/>
    <col min="5" max="5" width="17.33203125" customWidth="1"/>
    <col min="6" max="6" width="10.5546875" customWidth="1"/>
    <col min="7" max="7" width="62.77734375" customWidth="1"/>
    <col min="8" max="8" width="9" customWidth="1"/>
    <col min="9" max="9" width="19" bestFit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690</v>
      </c>
      <c r="I1" s="28" t="s">
        <v>698</v>
      </c>
    </row>
    <row r="2" spans="1:9">
      <c r="A2" s="3">
        <v>45626</v>
      </c>
      <c r="B2" t="s">
        <v>7</v>
      </c>
      <c r="C2" t="s">
        <v>8</v>
      </c>
      <c r="D2" s="4">
        <v>202</v>
      </c>
      <c r="E2" s="4"/>
      <c r="F2">
        <v>82</v>
      </c>
      <c r="G2" t="s">
        <v>9</v>
      </c>
      <c r="H2" t="str">
        <f>IF(A2="","",TEXT(A2,"yyyy-mm"))</f>
        <v>2024-11</v>
      </c>
      <c r="I2" t="str">
        <f>_xlfn.XLOOKUP(Table1[[#This Row],[Customer_ID]],Customers!$A$2:$A$30,Customers!$C$2:$C$30,"Not found")</f>
        <v>Carries forward</v>
      </c>
    </row>
    <row r="3" spans="1:9">
      <c r="A3" s="3">
        <v>45626</v>
      </c>
      <c r="B3" t="s">
        <v>7</v>
      </c>
      <c r="C3" t="s">
        <v>8</v>
      </c>
      <c r="D3" s="4">
        <v>100</v>
      </c>
      <c r="E3" s="4"/>
      <c r="F3">
        <v>82</v>
      </c>
      <c r="H3" t="str">
        <f>IF(A3="","",TEXT(A3,"yyyy-mm"))</f>
        <v>2024-11</v>
      </c>
      <c r="I3" t="str">
        <f>_xlfn.XLOOKUP(Table1[[#This Row],[Customer_ID]],Customers!$A$2:$A$30,Customers!$C$2:$C$30,"Not found")</f>
        <v>Carries forward</v>
      </c>
    </row>
    <row r="4" spans="1:9">
      <c r="A4" s="3">
        <v>45628</v>
      </c>
      <c r="B4" t="s">
        <v>7</v>
      </c>
      <c r="C4" t="s">
        <v>8</v>
      </c>
      <c r="D4" s="4">
        <v>70</v>
      </c>
      <c r="E4" s="4"/>
      <c r="F4">
        <v>82</v>
      </c>
      <c r="H4" t="str">
        <f t="shared" ref="H4:H66" si="0">IF(A4="","",TEXT(A4,"yyyy-mm"))</f>
        <v>2024-12</v>
      </c>
      <c r="I4" t="str">
        <f>_xlfn.XLOOKUP(Table1[[#This Row],[Customer_ID]],Customers!$A$2:$A$30,Customers!$C$2:$C$30,"Not found")</f>
        <v>Carries forward</v>
      </c>
    </row>
    <row r="5" spans="1:9">
      <c r="A5" s="3">
        <v>45631</v>
      </c>
      <c r="B5" t="s">
        <v>7</v>
      </c>
      <c r="C5" t="s">
        <v>8</v>
      </c>
      <c r="D5" s="4">
        <v>2348</v>
      </c>
      <c r="E5" s="4"/>
      <c r="F5">
        <v>82</v>
      </c>
      <c r="G5" t="s">
        <v>10</v>
      </c>
      <c r="H5" t="str">
        <f t="shared" si="0"/>
        <v>2024-12</v>
      </c>
      <c r="I5" t="str">
        <f>_xlfn.XLOOKUP(Table1[[#This Row],[Customer_ID]],Customers!$A$2:$A$30,Customers!$C$2:$C$30,"Not found")</f>
        <v>Carries forward</v>
      </c>
    </row>
    <row r="6" spans="1:9">
      <c r="A6" s="3">
        <v>45634</v>
      </c>
      <c r="B6" t="s">
        <v>7</v>
      </c>
      <c r="C6" t="s">
        <v>8</v>
      </c>
      <c r="D6" s="4">
        <v>79</v>
      </c>
      <c r="E6" s="4"/>
      <c r="F6">
        <v>82</v>
      </c>
      <c r="H6" t="str">
        <f t="shared" si="0"/>
        <v>2024-12</v>
      </c>
      <c r="I6" t="str">
        <f>_xlfn.XLOOKUP(Table1[[#This Row],[Customer_ID]],Customers!$A$2:$A$30,Customers!$C$2:$C$30,"Not found")</f>
        <v>Carries forward</v>
      </c>
    </row>
    <row r="7" spans="1:9">
      <c r="A7" s="3">
        <v>45634</v>
      </c>
      <c r="B7" t="s">
        <v>7</v>
      </c>
      <c r="C7" t="s">
        <v>8</v>
      </c>
      <c r="D7" s="4">
        <v>13</v>
      </c>
      <c r="E7" s="4"/>
      <c r="F7">
        <v>82</v>
      </c>
      <c r="H7" t="str">
        <f t="shared" si="0"/>
        <v>2024-12</v>
      </c>
      <c r="I7" t="str">
        <f>_xlfn.XLOOKUP(Table1[[#This Row],[Customer_ID]],Customers!$A$2:$A$30,Customers!$C$2:$C$30,"Not found")</f>
        <v>Carries forward</v>
      </c>
    </row>
    <row r="8" spans="1:9">
      <c r="A8" s="3">
        <v>45634</v>
      </c>
      <c r="B8" t="s">
        <v>7</v>
      </c>
      <c r="C8" t="s">
        <v>8</v>
      </c>
      <c r="D8" s="4">
        <v>110</v>
      </c>
      <c r="E8" s="4"/>
      <c r="F8">
        <v>82</v>
      </c>
      <c r="H8" t="str">
        <f t="shared" si="0"/>
        <v>2024-12</v>
      </c>
      <c r="I8" t="str">
        <f>_xlfn.XLOOKUP(Table1[[#This Row],[Customer_ID]],Customers!$A$2:$A$30,Customers!$C$2:$C$30,"Not found")</f>
        <v>Carries forward</v>
      </c>
    </row>
    <row r="9" spans="1:9">
      <c r="A9" s="3">
        <v>45637</v>
      </c>
      <c r="B9" t="s">
        <v>7</v>
      </c>
      <c r="C9" t="s">
        <v>8</v>
      </c>
      <c r="D9" s="4">
        <v>15</v>
      </c>
      <c r="E9" s="4"/>
      <c r="F9">
        <v>82</v>
      </c>
      <c r="G9" t="s">
        <v>10</v>
      </c>
      <c r="H9" t="str">
        <f t="shared" si="0"/>
        <v>2024-12</v>
      </c>
      <c r="I9" t="str">
        <f>_xlfn.XLOOKUP(Table1[[#This Row],[Customer_ID]],Customers!$A$2:$A$30,Customers!$C$2:$C$30,"Not found")</f>
        <v>Carries forward</v>
      </c>
    </row>
    <row r="10" spans="1:9">
      <c r="A10" s="3">
        <v>45642</v>
      </c>
      <c r="B10" t="s">
        <v>7</v>
      </c>
      <c r="C10" t="s">
        <v>8</v>
      </c>
      <c r="D10" s="4">
        <v>142</v>
      </c>
      <c r="E10" s="4"/>
      <c r="F10">
        <v>82</v>
      </c>
      <c r="H10" t="str">
        <f t="shared" si="0"/>
        <v>2024-12</v>
      </c>
      <c r="I10" t="str">
        <f>_xlfn.XLOOKUP(Table1[[#This Row],[Customer_ID]],Customers!$A$2:$A$30,Customers!$C$2:$C$30,"Not found")</f>
        <v>Carries forward</v>
      </c>
    </row>
    <row r="11" spans="1:9">
      <c r="A11" s="3">
        <v>45643</v>
      </c>
      <c r="B11" t="s">
        <v>7</v>
      </c>
      <c r="C11" t="s">
        <v>8</v>
      </c>
      <c r="D11" s="4">
        <v>553</v>
      </c>
      <c r="E11" s="4">
        <v>3632</v>
      </c>
      <c r="F11">
        <v>82</v>
      </c>
      <c r="G11" t="s">
        <v>11</v>
      </c>
      <c r="H11" t="str">
        <f t="shared" si="0"/>
        <v>2024-12</v>
      </c>
      <c r="I11" t="str">
        <f>_xlfn.XLOOKUP(Table1[[#This Row],[Customer_ID]],Customers!$A$2:$A$30,Customers!$C$2:$C$30,"Not found")</f>
        <v>Carries forward</v>
      </c>
    </row>
    <row r="12" spans="1:9">
      <c r="A12" s="3">
        <v>45644</v>
      </c>
      <c r="B12" t="s">
        <v>7</v>
      </c>
      <c r="C12" t="s">
        <v>8</v>
      </c>
      <c r="D12" s="4">
        <v>60</v>
      </c>
      <c r="E12" s="4">
        <v>3692</v>
      </c>
      <c r="F12">
        <v>82</v>
      </c>
      <c r="G12" t="s">
        <v>12</v>
      </c>
      <c r="H12" t="str">
        <f t="shared" si="0"/>
        <v>2024-12</v>
      </c>
      <c r="I12" t="str">
        <f>_xlfn.XLOOKUP(Table1[[#This Row],[Customer_ID]],Customers!$A$2:$A$30,Customers!$C$2:$C$30,"Not found")</f>
        <v>Carries forward</v>
      </c>
    </row>
    <row r="13" spans="1:9">
      <c r="A13" s="3">
        <v>45644</v>
      </c>
      <c r="B13" t="s">
        <v>7</v>
      </c>
      <c r="C13" t="s">
        <v>8</v>
      </c>
      <c r="D13" s="4">
        <v>10</v>
      </c>
      <c r="E13" s="4"/>
      <c r="F13">
        <v>82</v>
      </c>
      <c r="H13" t="str">
        <f t="shared" si="0"/>
        <v>2024-12</v>
      </c>
      <c r="I13" t="str">
        <f>_xlfn.XLOOKUP(Table1[[#This Row],[Customer_ID]],Customers!$A$2:$A$30,Customers!$C$2:$C$30,"Not found")</f>
        <v>Carries forward</v>
      </c>
    </row>
    <row r="14" spans="1:9">
      <c r="A14" s="3">
        <v>45645</v>
      </c>
      <c r="B14" t="s">
        <v>7</v>
      </c>
      <c r="C14" t="s">
        <v>8</v>
      </c>
      <c r="D14" s="4">
        <v>259</v>
      </c>
      <c r="E14" s="4"/>
      <c r="F14">
        <v>82</v>
      </c>
      <c r="H14" t="str">
        <f t="shared" si="0"/>
        <v>2024-12</v>
      </c>
      <c r="I14" t="str">
        <f>_xlfn.XLOOKUP(Table1[[#This Row],[Customer_ID]],Customers!$A$2:$A$30,Customers!$C$2:$C$30,"Not found")</f>
        <v>Carries forward</v>
      </c>
    </row>
    <row r="15" spans="1:9">
      <c r="A15" s="3">
        <v>45645</v>
      </c>
      <c r="B15" t="s">
        <v>7</v>
      </c>
      <c r="C15" t="s">
        <v>8</v>
      </c>
      <c r="D15" s="4">
        <v>75</v>
      </c>
      <c r="E15" s="4">
        <v>4036</v>
      </c>
      <c r="F15">
        <v>82</v>
      </c>
      <c r="G15" t="s">
        <v>13</v>
      </c>
      <c r="H15" t="str">
        <f t="shared" si="0"/>
        <v>2024-12</v>
      </c>
      <c r="I15" t="str">
        <f>_xlfn.XLOOKUP(Table1[[#This Row],[Customer_ID]],Customers!$A$2:$A$30,Customers!$C$2:$C$30,"Not found")</f>
        <v>Carries forward</v>
      </c>
    </row>
    <row r="16" spans="1:9">
      <c r="A16" s="3">
        <v>45657</v>
      </c>
      <c r="B16" t="s">
        <v>7</v>
      </c>
      <c r="C16" t="s">
        <v>14</v>
      </c>
      <c r="D16" s="4">
        <v>3000</v>
      </c>
      <c r="E16" s="4">
        <v>1036</v>
      </c>
      <c r="F16">
        <v>82</v>
      </c>
      <c r="G16" t="s">
        <v>15</v>
      </c>
      <c r="H16" t="str">
        <f t="shared" si="0"/>
        <v>2024-12</v>
      </c>
      <c r="I16" t="str">
        <f>_xlfn.XLOOKUP(Table1[[#This Row],[Customer_ID]],Customers!$A$2:$A$30,Customers!$C$2:$C$30,"Not found")</f>
        <v>Carries forward</v>
      </c>
    </row>
    <row r="17" spans="1:9">
      <c r="A17" s="3">
        <v>45657</v>
      </c>
      <c r="B17" t="s">
        <v>7</v>
      </c>
      <c r="C17" t="s">
        <v>8</v>
      </c>
      <c r="D17" s="4">
        <v>420</v>
      </c>
      <c r="E17" s="4"/>
      <c r="F17">
        <v>82</v>
      </c>
      <c r="H17" t="str">
        <f t="shared" si="0"/>
        <v>2024-12</v>
      </c>
      <c r="I17" t="str">
        <f>_xlfn.XLOOKUP(Table1[[#This Row],[Customer_ID]],Customers!$A$2:$A$30,Customers!$C$2:$C$30,"Not found")</f>
        <v>Carries forward</v>
      </c>
    </row>
    <row r="18" spans="1:9">
      <c r="A18" s="3">
        <v>45657</v>
      </c>
      <c r="B18" t="s">
        <v>7</v>
      </c>
      <c r="C18" t="s">
        <v>8</v>
      </c>
      <c r="D18" s="4">
        <v>30</v>
      </c>
      <c r="E18" s="4"/>
      <c r="F18">
        <v>82</v>
      </c>
      <c r="H18" t="str">
        <f t="shared" si="0"/>
        <v>2024-12</v>
      </c>
      <c r="I18" t="str">
        <f>_xlfn.XLOOKUP(Table1[[#This Row],[Customer_ID]],Customers!$A$2:$A$30,Customers!$C$2:$C$30,"Not found")</f>
        <v>Carries forward</v>
      </c>
    </row>
    <row r="19" spans="1:9">
      <c r="A19" s="3">
        <v>45658</v>
      </c>
      <c r="B19" t="s">
        <v>7</v>
      </c>
      <c r="C19" t="s">
        <v>8</v>
      </c>
      <c r="D19" s="4">
        <v>80</v>
      </c>
      <c r="E19" s="4"/>
      <c r="F19">
        <v>82</v>
      </c>
      <c r="H19" t="str">
        <f t="shared" si="0"/>
        <v>2025-01</v>
      </c>
      <c r="I19" t="str">
        <f>_xlfn.XLOOKUP(Table1[[#This Row],[Customer_ID]],Customers!$A$2:$A$30,Customers!$C$2:$C$30,"Not found")</f>
        <v>Carries forward</v>
      </c>
    </row>
    <row r="20" spans="1:9">
      <c r="A20" s="3">
        <v>45661</v>
      </c>
      <c r="B20" t="s">
        <v>7</v>
      </c>
      <c r="C20" t="s">
        <v>8</v>
      </c>
      <c r="D20" s="4">
        <v>388</v>
      </c>
      <c r="E20" s="4"/>
      <c r="F20">
        <v>82</v>
      </c>
      <c r="H20" t="str">
        <f t="shared" si="0"/>
        <v>2025-01</v>
      </c>
      <c r="I20" t="str">
        <f>_xlfn.XLOOKUP(Table1[[#This Row],[Customer_ID]],Customers!$A$2:$A$30,Customers!$C$2:$C$30,"Not found")</f>
        <v>Carries forward</v>
      </c>
    </row>
    <row r="21" spans="1:9">
      <c r="A21" s="3">
        <v>45663</v>
      </c>
      <c r="B21" t="s">
        <v>7</v>
      </c>
      <c r="C21" t="s">
        <v>8</v>
      </c>
      <c r="D21" s="4">
        <v>55</v>
      </c>
      <c r="E21" s="4"/>
      <c r="F21">
        <v>82</v>
      </c>
      <c r="H21" t="str">
        <f t="shared" si="0"/>
        <v>2025-01</v>
      </c>
      <c r="I21" t="str">
        <f>_xlfn.XLOOKUP(Table1[[#This Row],[Customer_ID]],Customers!$A$2:$A$30,Customers!$C$2:$C$30,"Not found")</f>
        <v>Carries forward</v>
      </c>
    </row>
    <row r="22" spans="1:9">
      <c r="A22" s="3">
        <v>45664</v>
      </c>
      <c r="B22" t="s">
        <v>7</v>
      </c>
      <c r="C22" t="s">
        <v>8</v>
      </c>
      <c r="D22" s="4">
        <v>190</v>
      </c>
      <c r="E22" s="4"/>
      <c r="F22">
        <v>82</v>
      </c>
      <c r="H22" t="str">
        <f t="shared" si="0"/>
        <v>2025-01</v>
      </c>
      <c r="I22" t="str">
        <f>_xlfn.XLOOKUP(Table1[[#This Row],[Customer_ID]],Customers!$A$2:$A$30,Customers!$C$2:$C$30,"Not found")</f>
        <v>Carries forward</v>
      </c>
    </row>
    <row r="23" spans="1:9">
      <c r="A23" s="3">
        <v>45665</v>
      </c>
      <c r="B23" t="s">
        <v>7</v>
      </c>
      <c r="C23" t="s">
        <v>8</v>
      </c>
      <c r="D23" s="4">
        <v>160</v>
      </c>
      <c r="E23" s="4"/>
      <c r="F23">
        <v>82</v>
      </c>
      <c r="H23" t="str">
        <f t="shared" si="0"/>
        <v>2025-01</v>
      </c>
      <c r="I23" t="str">
        <f>_xlfn.XLOOKUP(Table1[[#This Row],[Customer_ID]],Customers!$A$2:$A$30,Customers!$C$2:$C$30,"Not found")</f>
        <v>Carries forward</v>
      </c>
    </row>
    <row r="24" spans="1:9">
      <c r="A24" s="3">
        <v>45667</v>
      </c>
      <c r="B24" t="s">
        <v>7</v>
      </c>
      <c r="C24" t="s">
        <v>8</v>
      </c>
      <c r="D24" s="4">
        <v>194</v>
      </c>
      <c r="E24" s="4"/>
      <c r="F24">
        <v>82</v>
      </c>
      <c r="H24" t="str">
        <f t="shared" si="0"/>
        <v>2025-01</v>
      </c>
      <c r="I24" t="str">
        <f>_xlfn.XLOOKUP(Table1[[#This Row],[Customer_ID]],Customers!$A$2:$A$30,Customers!$C$2:$C$30,"Not found")</f>
        <v>Carries forward</v>
      </c>
    </row>
    <row r="25" spans="1:9">
      <c r="A25" s="3">
        <v>45669</v>
      </c>
      <c r="B25" t="s">
        <v>7</v>
      </c>
      <c r="C25" t="s">
        <v>8</v>
      </c>
      <c r="D25" s="4">
        <v>889</v>
      </c>
      <c r="E25" s="4"/>
      <c r="F25">
        <v>82</v>
      </c>
      <c r="H25" t="str">
        <f t="shared" si="0"/>
        <v>2025-01</v>
      </c>
      <c r="I25" t="str">
        <f>_xlfn.XLOOKUP(Table1[[#This Row],[Customer_ID]],Customers!$A$2:$A$30,Customers!$C$2:$C$30,"Not found")</f>
        <v>Carries forward</v>
      </c>
    </row>
    <row r="26" spans="1:9">
      <c r="A26" s="3">
        <v>45669</v>
      </c>
      <c r="B26" t="s">
        <v>7</v>
      </c>
      <c r="C26" t="s">
        <v>8</v>
      </c>
      <c r="D26" s="4">
        <v>74</v>
      </c>
      <c r="E26" s="4"/>
      <c r="F26">
        <v>82</v>
      </c>
      <c r="G26" t="s">
        <v>10</v>
      </c>
      <c r="H26" t="str">
        <f t="shared" si="0"/>
        <v>2025-01</v>
      </c>
      <c r="I26" t="str">
        <f>_xlfn.XLOOKUP(Table1[[#This Row],[Customer_ID]],Customers!$A$2:$A$30,Customers!$C$2:$C$30,"Not found")</f>
        <v>Carries forward</v>
      </c>
    </row>
    <row r="27" spans="1:9">
      <c r="A27" s="3">
        <v>45671</v>
      </c>
      <c r="B27" t="s">
        <v>7</v>
      </c>
      <c r="C27" t="s">
        <v>8</v>
      </c>
      <c r="D27" s="4">
        <v>252</v>
      </c>
      <c r="E27" s="4"/>
      <c r="F27">
        <v>82</v>
      </c>
      <c r="G27" t="s">
        <v>16</v>
      </c>
      <c r="H27" t="str">
        <f t="shared" si="0"/>
        <v>2025-01</v>
      </c>
      <c r="I27" t="str">
        <f>_xlfn.XLOOKUP(Table1[[#This Row],[Customer_ID]],Customers!$A$2:$A$30,Customers!$C$2:$C$30,"Not found")</f>
        <v>Carries forward</v>
      </c>
    </row>
    <row r="28" spans="1:9">
      <c r="A28" s="3">
        <v>45672</v>
      </c>
      <c r="B28" t="s">
        <v>7</v>
      </c>
      <c r="C28" t="s">
        <v>8</v>
      </c>
      <c r="D28" s="4">
        <v>10</v>
      </c>
      <c r="E28" s="4">
        <v>3778</v>
      </c>
      <c r="F28">
        <v>82</v>
      </c>
      <c r="G28" t="s">
        <v>17</v>
      </c>
      <c r="H28" t="str">
        <f t="shared" si="0"/>
        <v>2025-01</v>
      </c>
      <c r="I28" t="str">
        <f>_xlfn.XLOOKUP(Table1[[#This Row],[Customer_ID]],Customers!$A$2:$A$30,Customers!$C$2:$C$30,"Not found")</f>
        <v>Carries forward</v>
      </c>
    </row>
    <row r="29" spans="1:9">
      <c r="A29" s="3">
        <v>45674</v>
      </c>
      <c r="B29" t="s">
        <v>7</v>
      </c>
      <c r="C29" t="s">
        <v>8</v>
      </c>
      <c r="D29" s="4">
        <v>262</v>
      </c>
      <c r="E29" s="4"/>
      <c r="F29">
        <v>82</v>
      </c>
      <c r="H29" t="str">
        <f t="shared" si="0"/>
        <v>2025-01</v>
      </c>
      <c r="I29" t="str">
        <f>_xlfn.XLOOKUP(Table1[[#This Row],[Customer_ID]],Customers!$A$2:$A$30,Customers!$C$2:$C$30,"Not found")</f>
        <v>Carries forward</v>
      </c>
    </row>
    <row r="30" spans="1:9">
      <c r="A30" s="3">
        <v>45674</v>
      </c>
      <c r="B30" t="s">
        <v>7</v>
      </c>
      <c r="C30" t="s">
        <v>8</v>
      </c>
      <c r="D30" s="4">
        <v>88</v>
      </c>
      <c r="E30" s="4"/>
      <c r="F30">
        <v>82</v>
      </c>
      <c r="H30" t="str">
        <f t="shared" si="0"/>
        <v>2025-01</v>
      </c>
      <c r="I30" t="str">
        <f>_xlfn.XLOOKUP(Table1[[#This Row],[Customer_ID]],Customers!$A$2:$A$30,Customers!$C$2:$C$30,"Not found")</f>
        <v>Carries forward</v>
      </c>
    </row>
    <row r="31" spans="1:9">
      <c r="A31" s="3">
        <v>45674</v>
      </c>
      <c r="B31" t="s">
        <v>7</v>
      </c>
      <c r="C31" t="s">
        <v>8</v>
      </c>
      <c r="D31" s="4">
        <v>70</v>
      </c>
      <c r="E31" s="4"/>
      <c r="F31">
        <v>82</v>
      </c>
      <c r="H31" t="str">
        <f t="shared" si="0"/>
        <v>2025-01</v>
      </c>
      <c r="I31" t="str">
        <f>_xlfn.XLOOKUP(Table1[[#This Row],[Customer_ID]],Customers!$A$2:$A$30,Customers!$C$2:$C$30,"Not found")</f>
        <v>Carries forward</v>
      </c>
    </row>
    <row r="32" spans="1:9">
      <c r="A32" s="3">
        <v>45677</v>
      </c>
      <c r="B32" t="s">
        <v>7</v>
      </c>
      <c r="C32" t="s">
        <v>8</v>
      </c>
      <c r="D32" s="4">
        <v>328</v>
      </c>
      <c r="E32" s="4"/>
      <c r="F32">
        <v>82</v>
      </c>
      <c r="H32" t="str">
        <f t="shared" si="0"/>
        <v>2025-01</v>
      </c>
      <c r="I32" t="str">
        <f>_xlfn.XLOOKUP(Table1[[#This Row],[Customer_ID]],Customers!$A$2:$A$30,Customers!$C$2:$C$30,"Not found")</f>
        <v>Carries forward</v>
      </c>
    </row>
    <row r="33" spans="1:9">
      <c r="A33" s="3">
        <v>45678</v>
      </c>
      <c r="B33" t="s">
        <v>7</v>
      </c>
      <c r="C33" t="s">
        <v>8</v>
      </c>
      <c r="D33" s="4">
        <v>20</v>
      </c>
      <c r="E33" s="4"/>
      <c r="F33">
        <v>82</v>
      </c>
      <c r="H33" t="str">
        <f t="shared" si="0"/>
        <v>2025-01</v>
      </c>
      <c r="I33" t="str">
        <f>_xlfn.XLOOKUP(Table1[[#This Row],[Customer_ID]],Customers!$A$2:$A$30,Customers!$C$2:$C$30,"Not found")</f>
        <v>Carries forward</v>
      </c>
    </row>
    <row r="34" spans="1:9">
      <c r="A34" s="3">
        <v>45679</v>
      </c>
      <c r="B34" t="s">
        <v>7</v>
      </c>
      <c r="C34" t="s">
        <v>8</v>
      </c>
      <c r="D34" s="4">
        <v>185</v>
      </c>
      <c r="E34" s="4"/>
      <c r="F34">
        <v>82</v>
      </c>
      <c r="H34" t="str">
        <f t="shared" si="0"/>
        <v>2025-01</v>
      </c>
      <c r="I34" t="str">
        <f>_xlfn.XLOOKUP(Table1[[#This Row],[Customer_ID]],Customers!$A$2:$A$30,Customers!$C$2:$C$30,"Not found")</f>
        <v>Carries forward</v>
      </c>
    </row>
    <row r="35" spans="1:9">
      <c r="A35" s="3">
        <v>45680</v>
      </c>
      <c r="B35" t="s">
        <v>7</v>
      </c>
      <c r="C35" t="s">
        <v>8</v>
      </c>
      <c r="D35" s="4">
        <v>201</v>
      </c>
      <c r="E35" s="4"/>
      <c r="F35">
        <v>82</v>
      </c>
      <c r="H35" t="str">
        <f t="shared" si="0"/>
        <v>2025-01</v>
      </c>
      <c r="I35" t="str">
        <f>_xlfn.XLOOKUP(Table1[[#This Row],[Customer_ID]],Customers!$A$2:$A$30,Customers!$C$2:$C$30,"Not found")</f>
        <v>Carries forward</v>
      </c>
    </row>
    <row r="36" spans="1:9">
      <c r="A36" s="3">
        <v>45681</v>
      </c>
      <c r="B36" t="s">
        <v>7</v>
      </c>
      <c r="C36" t="s">
        <v>8</v>
      </c>
      <c r="D36" s="4">
        <v>67</v>
      </c>
      <c r="E36" s="4"/>
      <c r="F36">
        <v>82</v>
      </c>
      <c r="H36" t="str">
        <f t="shared" si="0"/>
        <v>2025-01</v>
      </c>
      <c r="I36" t="str">
        <f>_xlfn.XLOOKUP(Table1[[#This Row],[Customer_ID]],Customers!$A$2:$A$30,Customers!$C$2:$C$30,"Not found")</f>
        <v>Carries forward</v>
      </c>
    </row>
    <row r="37" spans="1:9">
      <c r="A37" s="3">
        <v>45682</v>
      </c>
      <c r="B37" t="s">
        <v>7</v>
      </c>
      <c r="C37" t="s">
        <v>8</v>
      </c>
      <c r="D37" s="4">
        <v>395</v>
      </c>
      <c r="E37" s="4"/>
      <c r="F37">
        <v>82</v>
      </c>
      <c r="H37" t="str">
        <f t="shared" si="0"/>
        <v>2025-01</v>
      </c>
      <c r="I37" t="str">
        <f>_xlfn.XLOOKUP(Table1[[#This Row],[Customer_ID]],Customers!$A$2:$A$30,Customers!$C$2:$C$30,"Not found")</f>
        <v>Carries forward</v>
      </c>
    </row>
    <row r="38" spans="1:9">
      <c r="A38" s="3">
        <v>45684</v>
      </c>
      <c r="B38" t="s">
        <v>7</v>
      </c>
      <c r="C38" t="s">
        <v>8</v>
      </c>
      <c r="D38" s="4">
        <v>13</v>
      </c>
      <c r="E38" s="4"/>
      <c r="F38">
        <v>82</v>
      </c>
      <c r="H38" t="str">
        <f t="shared" si="0"/>
        <v>2025-01</v>
      </c>
      <c r="I38" t="str">
        <f>_xlfn.XLOOKUP(Table1[[#This Row],[Customer_ID]],Customers!$A$2:$A$30,Customers!$C$2:$C$30,"Not found")</f>
        <v>Carries forward</v>
      </c>
    </row>
    <row r="39" spans="1:9">
      <c r="A39" s="3">
        <v>45685</v>
      </c>
      <c r="B39" t="s">
        <v>7</v>
      </c>
      <c r="C39" t="s">
        <v>8</v>
      </c>
      <c r="D39" s="4">
        <v>673</v>
      </c>
      <c r="E39" s="4">
        <v>6080</v>
      </c>
      <c r="F39">
        <v>82</v>
      </c>
      <c r="G39" t="s">
        <v>18</v>
      </c>
      <c r="H39" t="str">
        <f t="shared" si="0"/>
        <v>2025-01</v>
      </c>
      <c r="I39" t="str">
        <f>_xlfn.XLOOKUP(Table1[[#This Row],[Customer_ID]],Customers!$A$2:$A$30,Customers!$C$2:$C$30,"Not found")</f>
        <v>Carries forward</v>
      </c>
    </row>
    <row r="40" spans="1:9">
      <c r="A40" s="3">
        <v>45688</v>
      </c>
      <c r="B40" t="s">
        <v>7</v>
      </c>
      <c r="C40" t="s">
        <v>8</v>
      </c>
      <c r="D40" s="4">
        <v>98</v>
      </c>
      <c r="E40" s="4"/>
      <c r="F40">
        <v>82</v>
      </c>
      <c r="G40" t="s">
        <v>10</v>
      </c>
      <c r="H40" t="str">
        <f t="shared" si="0"/>
        <v>2025-01</v>
      </c>
      <c r="I40" t="str">
        <f>_xlfn.XLOOKUP(Table1[[#This Row],[Customer_ID]],Customers!$A$2:$A$30,Customers!$C$2:$C$30,"Not found")</f>
        <v>Carries forward</v>
      </c>
    </row>
    <row r="41" spans="1:9">
      <c r="A41" s="3">
        <v>45688</v>
      </c>
      <c r="B41" t="s">
        <v>7</v>
      </c>
      <c r="C41" t="s">
        <v>8</v>
      </c>
      <c r="D41" s="4">
        <v>10</v>
      </c>
      <c r="E41" s="4"/>
      <c r="F41">
        <v>82</v>
      </c>
      <c r="H41" t="str">
        <f t="shared" si="0"/>
        <v>2025-01</v>
      </c>
      <c r="I41" t="str">
        <f>_xlfn.XLOOKUP(Table1[[#This Row],[Customer_ID]],Customers!$A$2:$A$30,Customers!$C$2:$C$30,"Not found")</f>
        <v>Carries forward</v>
      </c>
    </row>
    <row r="42" spans="1:9">
      <c r="A42" s="3">
        <v>45691</v>
      </c>
      <c r="B42" t="s">
        <v>7</v>
      </c>
      <c r="C42" t="s">
        <v>14</v>
      </c>
      <c r="D42" s="4">
        <v>3000</v>
      </c>
      <c r="E42" s="4">
        <v>3080</v>
      </c>
      <c r="F42">
        <v>82</v>
      </c>
      <c r="G42" t="s">
        <v>19</v>
      </c>
      <c r="H42" t="str">
        <f t="shared" si="0"/>
        <v>2025-02</v>
      </c>
      <c r="I42" t="str">
        <f>_xlfn.XLOOKUP(Table1[[#This Row],[Customer_ID]],Customers!$A$2:$A$30,Customers!$C$2:$C$30,"Not found")</f>
        <v>Carries forward</v>
      </c>
    </row>
    <row r="43" spans="1:9">
      <c r="A43" s="3">
        <v>45691</v>
      </c>
      <c r="B43" t="s">
        <v>7</v>
      </c>
      <c r="C43" t="s">
        <v>8</v>
      </c>
      <c r="D43" s="4">
        <v>800</v>
      </c>
      <c r="E43" s="4"/>
      <c r="F43">
        <v>82</v>
      </c>
      <c r="G43" t="s">
        <v>20</v>
      </c>
      <c r="H43" t="str">
        <f t="shared" si="0"/>
        <v>2025-02</v>
      </c>
      <c r="I43" t="str">
        <f>_xlfn.XLOOKUP(Table1[[#This Row],[Customer_ID]],Customers!$A$2:$A$30,Customers!$C$2:$C$30,"Not found")</f>
        <v>Carries forward</v>
      </c>
    </row>
    <row r="44" spans="1:9">
      <c r="A44" s="3">
        <v>45693</v>
      </c>
      <c r="B44" t="s">
        <v>7</v>
      </c>
      <c r="C44" t="s">
        <v>8</v>
      </c>
      <c r="D44" s="4">
        <v>38</v>
      </c>
      <c r="E44" s="4"/>
      <c r="F44">
        <v>82</v>
      </c>
      <c r="H44" t="str">
        <f t="shared" si="0"/>
        <v>2025-02</v>
      </c>
      <c r="I44" t="str">
        <f>_xlfn.XLOOKUP(Table1[[#This Row],[Customer_ID]],Customers!$A$2:$A$30,Customers!$C$2:$C$30,"Not found")</f>
        <v>Carries forward</v>
      </c>
    </row>
    <row r="45" spans="1:9">
      <c r="A45" s="3">
        <v>45694</v>
      </c>
      <c r="B45" t="s">
        <v>7</v>
      </c>
      <c r="C45" t="s">
        <v>8</v>
      </c>
      <c r="D45" s="4">
        <v>250</v>
      </c>
      <c r="E45" s="4"/>
      <c r="F45">
        <v>82</v>
      </c>
      <c r="H45" t="str">
        <f t="shared" si="0"/>
        <v>2025-02</v>
      </c>
      <c r="I45" t="str">
        <f>_xlfn.XLOOKUP(Table1[[#This Row],[Customer_ID]],Customers!$A$2:$A$30,Customers!$C$2:$C$30,"Not found")</f>
        <v>Carries forward</v>
      </c>
    </row>
    <row r="46" spans="1:9">
      <c r="A46" s="3">
        <v>45697</v>
      </c>
      <c r="B46" t="s">
        <v>7</v>
      </c>
      <c r="C46" t="s">
        <v>8</v>
      </c>
      <c r="D46" s="4">
        <v>90</v>
      </c>
      <c r="E46" s="4"/>
      <c r="F46">
        <v>82</v>
      </c>
      <c r="H46" t="str">
        <f t="shared" si="0"/>
        <v>2025-02</v>
      </c>
      <c r="I46" t="str">
        <f>_xlfn.XLOOKUP(Table1[[#This Row],[Customer_ID]],Customers!$A$2:$A$30,Customers!$C$2:$C$30,"Not found")</f>
        <v>Carries forward</v>
      </c>
    </row>
    <row r="47" spans="1:9">
      <c r="A47" s="3">
        <v>45697</v>
      </c>
      <c r="B47" t="s">
        <v>7</v>
      </c>
      <c r="C47" t="s">
        <v>8</v>
      </c>
      <c r="D47" s="4">
        <v>26</v>
      </c>
      <c r="E47" s="4"/>
      <c r="F47">
        <v>82</v>
      </c>
      <c r="H47" t="str">
        <f t="shared" si="0"/>
        <v>2025-02</v>
      </c>
      <c r="I47" t="str">
        <f>_xlfn.XLOOKUP(Table1[[#This Row],[Customer_ID]],Customers!$A$2:$A$30,Customers!$C$2:$C$30,"Not found")</f>
        <v>Carries forward</v>
      </c>
    </row>
    <row r="48" spans="1:9">
      <c r="A48" s="3">
        <v>45700</v>
      </c>
      <c r="B48" t="s">
        <v>7</v>
      </c>
      <c r="C48" t="s">
        <v>8</v>
      </c>
      <c r="D48" s="4">
        <v>99</v>
      </c>
      <c r="E48" s="4"/>
      <c r="F48">
        <v>82</v>
      </c>
      <c r="G48" t="s">
        <v>10</v>
      </c>
      <c r="H48" t="str">
        <f t="shared" si="0"/>
        <v>2025-02</v>
      </c>
      <c r="I48" t="str">
        <f>_xlfn.XLOOKUP(Table1[[#This Row],[Customer_ID]],Customers!$A$2:$A$30,Customers!$C$2:$C$30,"Not found")</f>
        <v>Carries forward</v>
      </c>
    </row>
    <row r="49" spans="1:9">
      <c r="A49" s="3">
        <v>45702</v>
      </c>
      <c r="B49" t="s">
        <v>7</v>
      </c>
      <c r="C49" t="s">
        <v>8</v>
      </c>
      <c r="D49" s="4">
        <v>73</v>
      </c>
      <c r="E49" s="4"/>
      <c r="F49">
        <v>83</v>
      </c>
      <c r="H49" t="str">
        <f t="shared" si="0"/>
        <v>2025-02</v>
      </c>
      <c r="I49" t="str">
        <f>_xlfn.XLOOKUP(Table1[[#This Row],[Customer_ID]],Customers!$A$2:$A$30,Customers!$C$2:$C$30,"Not found")</f>
        <v>Carries forward</v>
      </c>
    </row>
    <row r="50" spans="1:9">
      <c r="A50" s="3">
        <v>45704</v>
      </c>
      <c r="B50" t="s">
        <v>7</v>
      </c>
      <c r="C50" t="s">
        <v>8</v>
      </c>
      <c r="D50" s="4">
        <v>215</v>
      </c>
      <c r="E50" s="4"/>
      <c r="F50">
        <v>83</v>
      </c>
      <c r="G50" t="s">
        <v>21</v>
      </c>
      <c r="H50" t="str">
        <f t="shared" si="0"/>
        <v>2025-02</v>
      </c>
      <c r="I50" t="str">
        <f>_xlfn.XLOOKUP(Table1[[#This Row],[Customer_ID]],Customers!$A$2:$A$30,Customers!$C$2:$C$30,"Not found")</f>
        <v>Carries forward</v>
      </c>
    </row>
    <row r="51" spans="1:9">
      <c r="A51" s="3">
        <v>45704</v>
      </c>
      <c r="B51" t="s">
        <v>7</v>
      </c>
      <c r="C51" t="s">
        <v>22</v>
      </c>
      <c r="D51" s="4">
        <v>-69</v>
      </c>
      <c r="E51" s="4"/>
      <c r="F51">
        <v>83</v>
      </c>
      <c r="G51" t="s">
        <v>23</v>
      </c>
      <c r="H51" t="str">
        <f t="shared" si="0"/>
        <v>2025-02</v>
      </c>
      <c r="I51" t="str">
        <f>_xlfn.XLOOKUP(Table1[[#This Row],[Customer_ID]],Customers!$A$2:$A$30,Customers!$C$2:$C$30,"Not found")</f>
        <v>Carries forward</v>
      </c>
    </row>
    <row r="52" spans="1:9">
      <c r="A52" s="3">
        <v>45706</v>
      </c>
      <c r="B52" t="s">
        <v>7</v>
      </c>
      <c r="C52" t="s">
        <v>8</v>
      </c>
      <c r="D52" s="4">
        <v>660</v>
      </c>
      <c r="E52" s="4"/>
      <c r="F52">
        <v>83</v>
      </c>
      <c r="H52" t="str">
        <f t="shared" si="0"/>
        <v>2025-02</v>
      </c>
      <c r="I52" t="str">
        <f>_xlfn.XLOOKUP(Table1[[#This Row],[Customer_ID]],Customers!$A$2:$A$30,Customers!$C$2:$C$30,"Not found")</f>
        <v>Carries forward</v>
      </c>
    </row>
    <row r="53" spans="1:9">
      <c r="A53" s="3">
        <v>45707</v>
      </c>
      <c r="B53" t="s">
        <v>7</v>
      </c>
      <c r="C53" t="s">
        <v>8</v>
      </c>
      <c r="D53" s="4">
        <v>116</v>
      </c>
      <c r="E53" s="4"/>
      <c r="F53">
        <v>83</v>
      </c>
      <c r="H53" t="str">
        <f t="shared" si="0"/>
        <v>2025-02</v>
      </c>
      <c r="I53" t="str">
        <f>_xlfn.XLOOKUP(Table1[[#This Row],[Customer_ID]],Customers!$A$2:$A$30,Customers!$C$2:$C$30,"Not found")</f>
        <v>Carries forward</v>
      </c>
    </row>
    <row r="54" spans="1:9">
      <c r="A54" s="3">
        <v>45709</v>
      </c>
      <c r="B54" t="s">
        <v>7</v>
      </c>
      <c r="C54" t="s">
        <v>8</v>
      </c>
      <c r="D54" s="4">
        <v>20</v>
      </c>
      <c r="E54" s="4"/>
      <c r="F54">
        <v>83</v>
      </c>
      <c r="H54" t="str">
        <f t="shared" si="0"/>
        <v>2025-02</v>
      </c>
      <c r="I54" t="str">
        <f>_xlfn.XLOOKUP(Table1[[#This Row],[Customer_ID]],Customers!$A$2:$A$30,Customers!$C$2:$C$30,"Not found")</f>
        <v>Carries forward</v>
      </c>
    </row>
    <row r="55" spans="1:9">
      <c r="A55" s="3">
        <v>45712</v>
      </c>
      <c r="B55" t="s">
        <v>7</v>
      </c>
      <c r="C55" t="s">
        <v>8</v>
      </c>
      <c r="D55" s="4">
        <v>528</v>
      </c>
      <c r="E55" s="4"/>
      <c r="F55">
        <v>83</v>
      </c>
      <c r="H55" t="str">
        <f t="shared" si="0"/>
        <v>2025-02</v>
      </c>
      <c r="I55" t="str">
        <f>_xlfn.XLOOKUP(Table1[[#This Row],[Customer_ID]],Customers!$A$2:$A$30,Customers!$C$2:$C$30,"Not found")</f>
        <v>Carries forward</v>
      </c>
    </row>
    <row r="56" spans="1:9">
      <c r="A56" s="3">
        <v>45715</v>
      </c>
      <c r="B56" t="s">
        <v>7</v>
      </c>
      <c r="C56" t="s">
        <v>8</v>
      </c>
      <c r="D56" s="4">
        <v>252</v>
      </c>
      <c r="E56" s="4"/>
      <c r="F56">
        <v>83</v>
      </c>
      <c r="G56" t="s">
        <v>24</v>
      </c>
      <c r="H56" t="str">
        <f t="shared" si="0"/>
        <v>2025-02</v>
      </c>
      <c r="I56" t="str">
        <f>_xlfn.XLOOKUP(Table1[[#This Row],[Customer_ID]],Customers!$A$2:$A$30,Customers!$C$2:$C$30,"Not found")</f>
        <v>Carries forward</v>
      </c>
    </row>
    <row r="57" spans="1:9">
      <c r="A57" s="3">
        <v>45718</v>
      </c>
      <c r="B57" t="s">
        <v>7</v>
      </c>
      <c r="C57" t="s">
        <v>8</v>
      </c>
      <c r="D57" s="4">
        <v>300</v>
      </c>
      <c r="E57" s="4"/>
      <c r="F57">
        <v>83</v>
      </c>
      <c r="H57" t="str">
        <f t="shared" si="0"/>
        <v>2025-03</v>
      </c>
      <c r="I57" t="str">
        <f>_xlfn.XLOOKUP(Table1[[#This Row],[Customer_ID]],Customers!$A$2:$A$30,Customers!$C$2:$C$30,"Not found")</f>
        <v>Carries forward</v>
      </c>
    </row>
    <row r="58" spans="1:9">
      <c r="A58" s="3">
        <v>45719</v>
      </c>
      <c r="B58" t="s">
        <v>7</v>
      </c>
      <c r="C58" t="s">
        <v>8</v>
      </c>
      <c r="D58" s="4">
        <v>198</v>
      </c>
      <c r="E58" s="4"/>
      <c r="F58">
        <v>83</v>
      </c>
      <c r="H58" t="str">
        <f t="shared" si="0"/>
        <v>2025-03</v>
      </c>
      <c r="I58" t="str">
        <f>_xlfn.XLOOKUP(Table1[[#This Row],[Customer_ID]],Customers!$A$2:$A$30,Customers!$C$2:$C$30,"Not found")</f>
        <v>Carries forward</v>
      </c>
    </row>
    <row r="59" spans="1:9">
      <c r="A59" s="3">
        <v>45720</v>
      </c>
      <c r="B59" t="s">
        <v>7</v>
      </c>
      <c r="C59" t="s">
        <v>8</v>
      </c>
      <c r="D59" s="4">
        <v>143</v>
      </c>
      <c r="E59" s="4">
        <v>6927</v>
      </c>
      <c r="F59">
        <v>83</v>
      </c>
      <c r="G59" t="s">
        <v>25</v>
      </c>
      <c r="H59" t="str">
        <f t="shared" si="0"/>
        <v>2025-03</v>
      </c>
      <c r="I59" t="str">
        <f>_xlfn.XLOOKUP(Table1[[#This Row],[Customer_ID]],Customers!$A$2:$A$30,Customers!$C$2:$C$30,"Not found")</f>
        <v>Carries forward</v>
      </c>
    </row>
    <row r="60" spans="1:9">
      <c r="A60" s="3">
        <v>45734</v>
      </c>
      <c r="B60" t="s">
        <v>7</v>
      </c>
      <c r="C60" t="s">
        <v>8</v>
      </c>
      <c r="D60" s="4">
        <v>645</v>
      </c>
      <c r="E60" s="4"/>
      <c r="F60">
        <v>83</v>
      </c>
      <c r="G60" t="s">
        <v>26</v>
      </c>
      <c r="H60" t="str">
        <f t="shared" si="0"/>
        <v>2025-03</v>
      </c>
      <c r="I60" t="str">
        <f>_xlfn.XLOOKUP(Table1[[#This Row],[Customer_ID]],Customers!$A$2:$A$30,Customers!$C$2:$C$30,"Not found")</f>
        <v>Carries forward</v>
      </c>
    </row>
    <row r="61" spans="1:9">
      <c r="A61" s="3">
        <v>45735</v>
      </c>
      <c r="B61" t="s">
        <v>7</v>
      </c>
      <c r="C61" t="s">
        <v>8</v>
      </c>
      <c r="D61" s="4">
        <v>110</v>
      </c>
      <c r="E61" s="4"/>
      <c r="F61">
        <v>83</v>
      </c>
      <c r="H61" t="str">
        <f t="shared" si="0"/>
        <v>2025-03</v>
      </c>
      <c r="I61" t="str">
        <f>_xlfn.XLOOKUP(Table1[[#This Row],[Customer_ID]],Customers!$A$2:$A$30,Customers!$C$2:$C$30,"Not found")</f>
        <v>Carries forward</v>
      </c>
    </row>
    <row r="62" spans="1:9">
      <c r="A62" s="3">
        <v>45739</v>
      </c>
      <c r="B62" t="s">
        <v>7</v>
      </c>
      <c r="C62" t="s">
        <v>8</v>
      </c>
      <c r="D62" s="4">
        <v>85</v>
      </c>
      <c r="E62" s="4"/>
      <c r="F62">
        <v>83</v>
      </c>
      <c r="H62" t="str">
        <f t="shared" si="0"/>
        <v>2025-03</v>
      </c>
      <c r="I62" t="str">
        <f>_xlfn.XLOOKUP(Table1[[#This Row],[Customer_ID]],Customers!$A$2:$A$30,Customers!$C$2:$C$30,"Not found")</f>
        <v>Carries forward</v>
      </c>
    </row>
    <row r="63" spans="1:9">
      <c r="A63" s="3">
        <v>45740</v>
      </c>
      <c r="B63" t="s">
        <v>7</v>
      </c>
      <c r="C63" t="s">
        <v>8</v>
      </c>
      <c r="D63" s="4">
        <v>85</v>
      </c>
      <c r="E63" s="4"/>
      <c r="F63">
        <v>83</v>
      </c>
      <c r="H63" t="str">
        <f t="shared" si="0"/>
        <v>2025-03</v>
      </c>
      <c r="I63" t="str">
        <f>_xlfn.XLOOKUP(Table1[[#This Row],[Customer_ID]],Customers!$A$2:$A$30,Customers!$C$2:$C$30,"Not found")</f>
        <v>Carries forward</v>
      </c>
    </row>
    <row r="64" spans="1:9">
      <c r="A64" s="3">
        <v>45743</v>
      </c>
      <c r="B64" t="s">
        <v>7</v>
      </c>
      <c r="C64" t="s">
        <v>8</v>
      </c>
      <c r="D64" s="4">
        <v>55</v>
      </c>
      <c r="E64" s="4"/>
      <c r="F64">
        <v>83</v>
      </c>
      <c r="G64" t="s">
        <v>27</v>
      </c>
      <c r="H64" t="str">
        <f t="shared" si="0"/>
        <v>2025-03</v>
      </c>
      <c r="I64" t="str">
        <f>_xlfn.XLOOKUP(Table1[[#This Row],[Customer_ID]],Customers!$A$2:$A$30,Customers!$C$2:$C$30,"Not found")</f>
        <v>Carries forward</v>
      </c>
    </row>
    <row r="65" spans="1:9">
      <c r="A65" s="3">
        <v>45743</v>
      </c>
      <c r="B65" t="s">
        <v>7</v>
      </c>
      <c r="C65" t="s">
        <v>28</v>
      </c>
      <c r="D65" s="4">
        <v>3894</v>
      </c>
      <c r="E65" s="4">
        <v>11801</v>
      </c>
      <c r="F65">
        <v>83</v>
      </c>
      <c r="G65" t="s">
        <v>29</v>
      </c>
      <c r="H65" t="str">
        <f t="shared" si="0"/>
        <v>2025-03</v>
      </c>
      <c r="I65" t="str">
        <f>_xlfn.XLOOKUP(Table1[[#This Row],[Customer_ID]],Customers!$A$2:$A$30,Customers!$C$2:$C$30,"Not found")</f>
        <v>Carries forward</v>
      </c>
    </row>
    <row r="66" spans="1:9">
      <c r="A66" s="3"/>
      <c r="B66" t="s">
        <v>7</v>
      </c>
      <c r="C66" t="s">
        <v>14</v>
      </c>
      <c r="D66" s="4">
        <v>1500</v>
      </c>
      <c r="E66" s="4"/>
      <c r="F66">
        <v>83</v>
      </c>
      <c r="G66" t="s">
        <v>30</v>
      </c>
      <c r="H66" t="str">
        <f t="shared" si="0"/>
        <v/>
      </c>
      <c r="I66" t="str">
        <f>_xlfn.XLOOKUP(Table1[[#This Row],[Customer_ID]],Customers!$A$2:$A$30,Customers!$C$2:$C$30,"Not found")</f>
        <v>Carries forward</v>
      </c>
    </row>
    <row r="67" spans="1:9">
      <c r="A67" s="3">
        <v>45623</v>
      </c>
      <c r="B67" t="s">
        <v>31</v>
      </c>
      <c r="C67" t="s">
        <v>28</v>
      </c>
      <c r="D67" s="4">
        <v>5689</v>
      </c>
      <c r="E67" s="4">
        <v>5689</v>
      </c>
      <c r="F67">
        <v>114</v>
      </c>
      <c r="G67" t="s">
        <v>32</v>
      </c>
      <c r="H67" t="str">
        <f t="shared" ref="H67:H130" si="1">IF(A67="","",TEXT(A67,"yyyy-mm"))</f>
        <v>2024-11</v>
      </c>
      <c r="I67" t="str">
        <f>_xlfn.XLOOKUP(Table1[[#This Row],[Customer_ID]],Customers!$A$2:$A$30,Customers!$C$2:$C$30,"Not found")</f>
        <v>Pays full</v>
      </c>
    </row>
    <row r="68" spans="1:9">
      <c r="A68" s="3">
        <v>45623</v>
      </c>
      <c r="B68" t="s">
        <v>31</v>
      </c>
      <c r="C68" t="s">
        <v>8</v>
      </c>
      <c r="D68" s="4">
        <v>116</v>
      </c>
      <c r="E68" s="4"/>
      <c r="F68">
        <v>114</v>
      </c>
      <c r="H68" t="str">
        <f t="shared" si="1"/>
        <v>2024-11</v>
      </c>
      <c r="I68" t="str">
        <f>_xlfn.XLOOKUP(Table1[[#This Row],[Customer_ID]],Customers!$A$2:$A$30,Customers!$C$2:$C$30,"Not found")</f>
        <v>Pays full</v>
      </c>
    </row>
    <row r="69" spans="1:9">
      <c r="A69" s="3">
        <v>45623</v>
      </c>
      <c r="B69" t="s">
        <v>31</v>
      </c>
      <c r="C69" t="s">
        <v>8</v>
      </c>
      <c r="D69" s="4">
        <v>758</v>
      </c>
      <c r="E69" s="4"/>
      <c r="F69">
        <v>114</v>
      </c>
      <c r="H69" t="str">
        <f t="shared" si="1"/>
        <v>2024-11</v>
      </c>
      <c r="I69" t="str">
        <f>_xlfn.XLOOKUP(Table1[[#This Row],[Customer_ID]],Customers!$A$2:$A$30,Customers!$C$2:$C$30,"Not found")</f>
        <v>Pays full</v>
      </c>
    </row>
    <row r="70" spans="1:9">
      <c r="A70" s="3">
        <v>45625</v>
      </c>
      <c r="B70" t="s">
        <v>31</v>
      </c>
      <c r="C70" t="s">
        <v>8</v>
      </c>
      <c r="D70" s="4">
        <v>45</v>
      </c>
      <c r="E70" s="4"/>
      <c r="F70">
        <v>114</v>
      </c>
      <c r="H70" t="str">
        <f t="shared" si="1"/>
        <v>2024-11</v>
      </c>
      <c r="I70" t="str">
        <f>_xlfn.XLOOKUP(Table1[[#This Row],[Customer_ID]],Customers!$A$2:$A$30,Customers!$C$2:$C$30,"Not found")</f>
        <v>Pays full</v>
      </c>
    </row>
    <row r="71" spans="1:9">
      <c r="A71" s="3">
        <v>45626</v>
      </c>
      <c r="B71" t="s">
        <v>31</v>
      </c>
      <c r="C71" t="s">
        <v>8</v>
      </c>
      <c r="D71" s="4">
        <v>30</v>
      </c>
      <c r="E71" s="4"/>
      <c r="F71">
        <v>114</v>
      </c>
      <c r="H71" t="str">
        <f t="shared" si="1"/>
        <v>2024-11</v>
      </c>
      <c r="I71" t="str">
        <f>_xlfn.XLOOKUP(Table1[[#This Row],[Customer_ID]],Customers!$A$2:$A$30,Customers!$C$2:$C$30,"Not found")</f>
        <v>Pays full</v>
      </c>
    </row>
    <row r="72" spans="1:9">
      <c r="A72" s="3">
        <v>45626</v>
      </c>
      <c r="B72" t="s">
        <v>31</v>
      </c>
      <c r="C72" t="s">
        <v>8</v>
      </c>
      <c r="D72" s="4">
        <v>33</v>
      </c>
      <c r="E72" s="4">
        <v>6671</v>
      </c>
      <c r="F72">
        <v>114</v>
      </c>
      <c r="G72" t="s">
        <v>33</v>
      </c>
      <c r="H72" t="str">
        <f t="shared" si="1"/>
        <v>2024-11</v>
      </c>
      <c r="I72" t="str">
        <f>_xlfn.XLOOKUP(Table1[[#This Row],[Customer_ID]],Customers!$A$2:$A$30,Customers!$C$2:$C$30,"Not found")</f>
        <v>Pays full</v>
      </c>
    </row>
    <row r="73" spans="1:9">
      <c r="A73" s="3">
        <v>45626</v>
      </c>
      <c r="B73" t="s">
        <v>31</v>
      </c>
      <c r="C73" t="s">
        <v>14</v>
      </c>
      <c r="D73" s="4">
        <v>6600</v>
      </c>
      <c r="E73" s="4"/>
      <c r="F73">
        <v>114</v>
      </c>
      <c r="G73" t="s">
        <v>34</v>
      </c>
      <c r="H73" t="str">
        <f t="shared" si="1"/>
        <v>2024-11</v>
      </c>
      <c r="I73" t="str">
        <f>_xlfn.XLOOKUP(Table1[[#This Row],[Customer_ID]],Customers!$A$2:$A$30,Customers!$C$2:$C$30,"Not found")</f>
        <v>Pays full</v>
      </c>
    </row>
    <row r="74" spans="1:9">
      <c r="A74" s="3">
        <v>45626</v>
      </c>
      <c r="B74" t="s">
        <v>31</v>
      </c>
      <c r="C74" t="s">
        <v>22</v>
      </c>
      <c r="D74" s="4">
        <v>-71</v>
      </c>
      <c r="E74" s="4"/>
      <c r="F74">
        <v>114</v>
      </c>
      <c r="G74" t="s">
        <v>35</v>
      </c>
      <c r="H74" t="str">
        <f t="shared" si="1"/>
        <v>2024-11</v>
      </c>
      <c r="I74" t="str">
        <f>_xlfn.XLOOKUP(Table1[[#This Row],[Customer_ID]],Customers!$A$2:$A$30,Customers!$C$2:$C$30,"Not found")</f>
        <v>Pays full</v>
      </c>
    </row>
    <row r="75" spans="1:9">
      <c r="A75" s="3">
        <v>45627</v>
      </c>
      <c r="B75" t="s">
        <v>31</v>
      </c>
      <c r="C75" t="s">
        <v>8</v>
      </c>
      <c r="D75" s="4">
        <v>206</v>
      </c>
      <c r="E75" s="4"/>
      <c r="F75">
        <v>114</v>
      </c>
      <c r="H75" t="str">
        <f t="shared" si="1"/>
        <v>2024-12</v>
      </c>
      <c r="I75" t="str">
        <f>_xlfn.XLOOKUP(Table1[[#This Row],[Customer_ID]],Customers!$A$2:$A$30,Customers!$C$2:$C$30,"Not found")</f>
        <v>Pays full</v>
      </c>
    </row>
    <row r="76" spans="1:9">
      <c r="A76" s="3">
        <v>45628</v>
      </c>
      <c r="B76" t="s">
        <v>31</v>
      </c>
      <c r="C76" t="s">
        <v>8</v>
      </c>
      <c r="D76" s="4">
        <v>540</v>
      </c>
      <c r="E76" s="4"/>
      <c r="F76">
        <v>114</v>
      </c>
      <c r="H76" t="str">
        <f t="shared" si="1"/>
        <v>2024-12</v>
      </c>
      <c r="I76" t="str">
        <f>_xlfn.XLOOKUP(Table1[[#This Row],[Customer_ID]],Customers!$A$2:$A$30,Customers!$C$2:$C$30,"Not found")</f>
        <v>Pays full</v>
      </c>
    </row>
    <row r="77" spans="1:9">
      <c r="A77" s="3">
        <v>45628</v>
      </c>
      <c r="B77" t="s">
        <v>31</v>
      </c>
      <c r="C77" t="s">
        <v>8</v>
      </c>
      <c r="D77" s="4">
        <v>1760</v>
      </c>
      <c r="E77" s="4"/>
      <c r="F77">
        <v>114</v>
      </c>
      <c r="H77" t="str">
        <f t="shared" si="1"/>
        <v>2024-12</v>
      </c>
      <c r="I77" t="str">
        <f>_xlfn.XLOOKUP(Table1[[#This Row],[Customer_ID]],Customers!$A$2:$A$30,Customers!$C$2:$C$30,"Not found")</f>
        <v>Pays full</v>
      </c>
    </row>
    <row r="78" spans="1:9">
      <c r="A78" s="3">
        <v>45629</v>
      </c>
      <c r="B78" t="s">
        <v>31</v>
      </c>
      <c r="C78" t="s">
        <v>8</v>
      </c>
      <c r="D78" s="4">
        <v>55</v>
      </c>
      <c r="E78" s="4"/>
      <c r="F78">
        <v>114</v>
      </c>
      <c r="H78" t="str">
        <f t="shared" si="1"/>
        <v>2024-12</v>
      </c>
      <c r="I78" t="str">
        <f>_xlfn.XLOOKUP(Table1[[#This Row],[Customer_ID]],Customers!$A$2:$A$30,Customers!$C$2:$C$30,"Not found")</f>
        <v>Pays full</v>
      </c>
    </row>
    <row r="79" spans="1:9">
      <c r="A79" s="3">
        <v>45630</v>
      </c>
      <c r="B79" t="s">
        <v>31</v>
      </c>
      <c r="C79" t="s">
        <v>8</v>
      </c>
      <c r="D79" s="4">
        <v>301</v>
      </c>
      <c r="E79" s="4"/>
      <c r="F79">
        <v>114</v>
      </c>
      <c r="H79" t="str">
        <f t="shared" si="1"/>
        <v>2024-12</v>
      </c>
      <c r="I79" t="str">
        <f>_xlfn.XLOOKUP(Table1[[#This Row],[Customer_ID]],Customers!$A$2:$A$30,Customers!$C$2:$C$30,"Not found")</f>
        <v>Pays full</v>
      </c>
    </row>
    <row r="80" spans="1:9">
      <c r="A80" s="3">
        <v>45630</v>
      </c>
      <c r="B80" t="s">
        <v>31</v>
      </c>
      <c r="C80" t="s">
        <v>8</v>
      </c>
      <c r="D80" s="4">
        <v>150</v>
      </c>
      <c r="E80" s="4"/>
      <c r="F80">
        <v>114</v>
      </c>
      <c r="H80" t="str">
        <f t="shared" si="1"/>
        <v>2024-12</v>
      </c>
      <c r="I80" t="str">
        <f>_xlfn.XLOOKUP(Table1[[#This Row],[Customer_ID]],Customers!$A$2:$A$30,Customers!$C$2:$C$30,"Not found")</f>
        <v>Pays full</v>
      </c>
    </row>
    <row r="81" spans="1:9">
      <c r="A81" s="3">
        <v>45631</v>
      </c>
      <c r="B81" t="s">
        <v>31</v>
      </c>
      <c r="C81" t="s">
        <v>8</v>
      </c>
      <c r="D81" s="4">
        <v>80</v>
      </c>
      <c r="E81" s="4"/>
      <c r="F81">
        <v>114</v>
      </c>
      <c r="H81" t="str">
        <f t="shared" si="1"/>
        <v>2024-12</v>
      </c>
      <c r="I81" t="str">
        <f>_xlfn.XLOOKUP(Table1[[#This Row],[Customer_ID]],Customers!$A$2:$A$30,Customers!$C$2:$C$30,"Not found")</f>
        <v>Pays full</v>
      </c>
    </row>
    <row r="82" spans="1:9">
      <c r="A82" s="3">
        <v>45631</v>
      </c>
      <c r="B82" t="s">
        <v>31</v>
      </c>
      <c r="C82" t="s">
        <v>8</v>
      </c>
      <c r="D82" s="4">
        <v>40</v>
      </c>
      <c r="E82" s="4"/>
      <c r="F82">
        <v>114</v>
      </c>
      <c r="H82" t="str">
        <f t="shared" si="1"/>
        <v>2024-12</v>
      </c>
      <c r="I82" t="str">
        <f>_xlfn.XLOOKUP(Table1[[#This Row],[Customer_ID]],Customers!$A$2:$A$30,Customers!$C$2:$C$30,"Not found")</f>
        <v>Pays full</v>
      </c>
    </row>
    <row r="83" spans="1:9">
      <c r="A83" s="3">
        <v>45632</v>
      </c>
      <c r="B83" t="s">
        <v>31</v>
      </c>
      <c r="C83" t="s">
        <v>8</v>
      </c>
      <c r="D83" s="4">
        <v>42</v>
      </c>
      <c r="E83" s="4"/>
      <c r="F83">
        <v>114</v>
      </c>
      <c r="G83" t="s">
        <v>36</v>
      </c>
      <c r="H83" t="str">
        <f t="shared" si="1"/>
        <v>2024-12</v>
      </c>
      <c r="I83" t="str">
        <f>_xlfn.XLOOKUP(Table1[[#This Row],[Customer_ID]],Customers!$A$2:$A$30,Customers!$C$2:$C$30,"Not found")</f>
        <v>Pays full</v>
      </c>
    </row>
    <row r="84" spans="1:9">
      <c r="A84" s="3">
        <v>45633</v>
      </c>
      <c r="B84" t="s">
        <v>31</v>
      </c>
      <c r="C84" t="s">
        <v>8</v>
      </c>
      <c r="D84" s="4">
        <v>383</v>
      </c>
      <c r="E84" s="4"/>
      <c r="F84">
        <v>114</v>
      </c>
      <c r="H84" t="str">
        <f t="shared" si="1"/>
        <v>2024-12</v>
      </c>
      <c r="I84" t="str">
        <f>_xlfn.XLOOKUP(Table1[[#This Row],[Customer_ID]],Customers!$A$2:$A$30,Customers!$C$2:$C$30,"Not found")</f>
        <v>Pays full</v>
      </c>
    </row>
    <row r="85" spans="1:9">
      <c r="A85" s="3">
        <v>45633</v>
      </c>
      <c r="B85" t="s">
        <v>31</v>
      </c>
      <c r="C85" t="s">
        <v>8</v>
      </c>
      <c r="D85" s="4">
        <v>47</v>
      </c>
      <c r="E85" s="4"/>
      <c r="F85">
        <v>114</v>
      </c>
      <c r="H85" t="str">
        <f t="shared" si="1"/>
        <v>2024-12</v>
      </c>
      <c r="I85" t="str">
        <f>_xlfn.XLOOKUP(Table1[[#This Row],[Customer_ID]],Customers!$A$2:$A$30,Customers!$C$2:$C$30,"Not found")</f>
        <v>Pays full</v>
      </c>
    </row>
    <row r="86" spans="1:9">
      <c r="A86" s="3">
        <v>45634</v>
      </c>
      <c r="B86" t="s">
        <v>31</v>
      </c>
      <c r="C86" t="s">
        <v>8</v>
      </c>
      <c r="D86" s="4">
        <v>40</v>
      </c>
      <c r="E86" s="4"/>
      <c r="F86">
        <v>114</v>
      </c>
      <c r="H86" t="str">
        <f t="shared" si="1"/>
        <v>2024-12</v>
      </c>
      <c r="I86" t="str">
        <f>_xlfn.XLOOKUP(Table1[[#This Row],[Customer_ID]],Customers!$A$2:$A$30,Customers!$C$2:$C$30,"Not found")</f>
        <v>Pays full</v>
      </c>
    </row>
    <row r="87" spans="1:9">
      <c r="A87" s="3">
        <v>45634</v>
      </c>
      <c r="B87" t="s">
        <v>31</v>
      </c>
      <c r="C87" t="s">
        <v>8</v>
      </c>
      <c r="D87" s="4">
        <v>38</v>
      </c>
      <c r="E87" s="4"/>
      <c r="F87">
        <v>114</v>
      </c>
      <c r="H87" t="str">
        <f t="shared" si="1"/>
        <v>2024-12</v>
      </c>
      <c r="I87" t="str">
        <f>_xlfn.XLOOKUP(Table1[[#This Row],[Customer_ID]],Customers!$A$2:$A$30,Customers!$C$2:$C$30,"Not found")</f>
        <v>Pays full</v>
      </c>
    </row>
    <row r="88" spans="1:9">
      <c r="A88" s="3">
        <v>45638</v>
      </c>
      <c r="B88" t="s">
        <v>31</v>
      </c>
      <c r="C88" t="s">
        <v>8</v>
      </c>
      <c r="D88" s="4">
        <v>70</v>
      </c>
      <c r="E88" s="4"/>
      <c r="F88">
        <v>114</v>
      </c>
      <c r="H88" t="str">
        <f t="shared" si="1"/>
        <v>2024-12</v>
      </c>
      <c r="I88" t="str">
        <f>_xlfn.XLOOKUP(Table1[[#This Row],[Customer_ID]],Customers!$A$2:$A$30,Customers!$C$2:$C$30,"Not found")</f>
        <v>Pays full</v>
      </c>
    </row>
    <row r="89" spans="1:9">
      <c r="A89" s="3">
        <v>45639</v>
      </c>
      <c r="B89" t="s">
        <v>31</v>
      </c>
      <c r="C89" t="s">
        <v>8</v>
      </c>
      <c r="D89" s="4">
        <v>147</v>
      </c>
      <c r="E89" s="4"/>
      <c r="F89">
        <v>114</v>
      </c>
      <c r="H89" t="str">
        <f t="shared" si="1"/>
        <v>2024-12</v>
      </c>
      <c r="I89" t="str">
        <f>_xlfn.XLOOKUP(Table1[[#This Row],[Customer_ID]],Customers!$A$2:$A$30,Customers!$C$2:$C$30,"Not found")</f>
        <v>Pays full</v>
      </c>
    </row>
    <row r="90" spans="1:9">
      <c r="A90" s="3">
        <v>45640</v>
      </c>
      <c r="B90" t="s">
        <v>31</v>
      </c>
      <c r="C90" t="s">
        <v>8</v>
      </c>
      <c r="D90" s="4">
        <v>410</v>
      </c>
      <c r="E90" s="4"/>
      <c r="F90">
        <v>114</v>
      </c>
      <c r="H90" t="str">
        <f t="shared" si="1"/>
        <v>2024-12</v>
      </c>
      <c r="I90" t="str">
        <f>_xlfn.XLOOKUP(Table1[[#This Row],[Customer_ID]],Customers!$A$2:$A$30,Customers!$C$2:$C$30,"Not found")</f>
        <v>Pays full</v>
      </c>
    </row>
    <row r="91" spans="1:9">
      <c r="A91" s="3">
        <v>45640</v>
      </c>
      <c r="B91" t="s">
        <v>31</v>
      </c>
      <c r="C91" t="s">
        <v>8</v>
      </c>
      <c r="D91" s="4">
        <v>58</v>
      </c>
      <c r="E91" s="4"/>
      <c r="F91">
        <v>114</v>
      </c>
      <c r="H91" t="str">
        <f t="shared" si="1"/>
        <v>2024-12</v>
      </c>
      <c r="I91" t="str">
        <f>_xlfn.XLOOKUP(Table1[[#This Row],[Customer_ID]],Customers!$A$2:$A$30,Customers!$C$2:$C$30,"Not found")</f>
        <v>Pays full</v>
      </c>
    </row>
    <row r="92" spans="1:9">
      <c r="A92" s="3">
        <v>45645</v>
      </c>
      <c r="B92" t="s">
        <v>31</v>
      </c>
      <c r="C92" t="s">
        <v>8</v>
      </c>
      <c r="D92" s="4">
        <v>464</v>
      </c>
      <c r="E92" s="4"/>
      <c r="F92">
        <v>114</v>
      </c>
      <c r="H92" t="str">
        <f t="shared" si="1"/>
        <v>2024-12</v>
      </c>
      <c r="I92" t="str">
        <f>_xlfn.XLOOKUP(Table1[[#This Row],[Customer_ID]],Customers!$A$2:$A$30,Customers!$C$2:$C$30,"Not found")</f>
        <v>Pays full</v>
      </c>
    </row>
    <row r="93" spans="1:9">
      <c r="A93" s="3">
        <v>45646</v>
      </c>
      <c r="B93" t="s">
        <v>31</v>
      </c>
      <c r="C93" t="s">
        <v>8</v>
      </c>
      <c r="D93" s="4">
        <v>200</v>
      </c>
      <c r="E93" s="4"/>
      <c r="F93">
        <v>114</v>
      </c>
      <c r="H93" t="str">
        <f t="shared" si="1"/>
        <v>2024-12</v>
      </c>
      <c r="I93" t="str">
        <f>_xlfn.XLOOKUP(Table1[[#This Row],[Customer_ID]],Customers!$A$2:$A$30,Customers!$C$2:$C$30,"Not found")</f>
        <v>Pays full</v>
      </c>
    </row>
    <row r="94" spans="1:9">
      <c r="A94" s="3">
        <v>45646</v>
      </c>
      <c r="B94" t="s">
        <v>31</v>
      </c>
      <c r="C94" t="s">
        <v>8</v>
      </c>
      <c r="D94" s="4">
        <v>48</v>
      </c>
      <c r="E94" s="4"/>
      <c r="F94">
        <v>114</v>
      </c>
      <c r="H94" t="str">
        <f t="shared" si="1"/>
        <v>2024-12</v>
      </c>
      <c r="I94" t="str">
        <f>_xlfn.XLOOKUP(Table1[[#This Row],[Customer_ID]],Customers!$A$2:$A$30,Customers!$C$2:$C$30,"Not found")</f>
        <v>Pays full</v>
      </c>
    </row>
    <row r="95" spans="1:9">
      <c r="A95" s="3">
        <v>45647</v>
      </c>
      <c r="B95" t="s">
        <v>31</v>
      </c>
      <c r="C95" t="s">
        <v>8</v>
      </c>
      <c r="D95" s="4">
        <v>53</v>
      </c>
      <c r="E95" s="4"/>
      <c r="F95">
        <v>114</v>
      </c>
      <c r="H95" t="str">
        <f t="shared" si="1"/>
        <v>2024-12</v>
      </c>
      <c r="I95" t="str">
        <f>_xlfn.XLOOKUP(Table1[[#This Row],[Customer_ID]],Customers!$A$2:$A$30,Customers!$C$2:$C$30,"Not found")</f>
        <v>Pays full</v>
      </c>
    </row>
    <row r="96" spans="1:9">
      <c r="A96" s="3">
        <v>45648</v>
      </c>
      <c r="B96" t="s">
        <v>31</v>
      </c>
      <c r="C96" t="s">
        <v>8</v>
      </c>
      <c r="D96" s="4">
        <v>221</v>
      </c>
      <c r="E96" s="4"/>
      <c r="F96">
        <v>114</v>
      </c>
      <c r="H96" t="str">
        <f t="shared" si="1"/>
        <v>2024-12</v>
      </c>
      <c r="I96" t="str">
        <f>_xlfn.XLOOKUP(Table1[[#This Row],[Customer_ID]],Customers!$A$2:$A$30,Customers!$C$2:$C$30,"Not found")</f>
        <v>Pays full</v>
      </c>
    </row>
    <row r="97" spans="1:9">
      <c r="A97" s="3">
        <v>45649</v>
      </c>
      <c r="B97" t="s">
        <v>31</v>
      </c>
      <c r="C97" t="s">
        <v>8</v>
      </c>
      <c r="D97" s="4">
        <v>165</v>
      </c>
      <c r="E97" s="4"/>
      <c r="F97">
        <v>114</v>
      </c>
      <c r="H97" t="str">
        <f t="shared" si="1"/>
        <v>2024-12</v>
      </c>
      <c r="I97" t="str">
        <f>_xlfn.XLOOKUP(Table1[[#This Row],[Customer_ID]],Customers!$A$2:$A$30,Customers!$C$2:$C$30,"Not found")</f>
        <v>Pays full</v>
      </c>
    </row>
    <row r="98" spans="1:9">
      <c r="A98" s="3">
        <v>45649</v>
      </c>
      <c r="B98" t="s">
        <v>31</v>
      </c>
      <c r="C98" t="s">
        <v>8</v>
      </c>
      <c r="D98" s="4">
        <v>596</v>
      </c>
      <c r="E98" s="4"/>
      <c r="F98">
        <v>114</v>
      </c>
      <c r="G98" t="s">
        <v>37</v>
      </c>
      <c r="H98" t="str">
        <f t="shared" si="1"/>
        <v>2024-12</v>
      </c>
      <c r="I98" t="str">
        <f>_xlfn.XLOOKUP(Table1[[#This Row],[Customer_ID]],Customers!$A$2:$A$30,Customers!$C$2:$C$30,"Not found")</f>
        <v>Pays full</v>
      </c>
    </row>
    <row r="99" spans="1:9">
      <c r="A99" s="3">
        <v>45650</v>
      </c>
      <c r="B99" t="s">
        <v>31</v>
      </c>
      <c r="C99" t="s">
        <v>8</v>
      </c>
      <c r="D99" s="4">
        <v>40</v>
      </c>
      <c r="E99" s="4"/>
      <c r="F99">
        <v>114</v>
      </c>
      <c r="H99" t="str">
        <f t="shared" si="1"/>
        <v>2024-12</v>
      </c>
      <c r="I99" t="str">
        <f>_xlfn.XLOOKUP(Table1[[#This Row],[Customer_ID]],Customers!$A$2:$A$30,Customers!$C$2:$C$30,"Not found")</f>
        <v>Pays full</v>
      </c>
    </row>
    <row r="100" spans="1:9">
      <c r="A100" s="3">
        <v>45650</v>
      </c>
      <c r="B100" t="s">
        <v>31</v>
      </c>
      <c r="C100" t="s">
        <v>8</v>
      </c>
      <c r="D100" s="4">
        <v>80</v>
      </c>
      <c r="E100" s="4"/>
      <c r="F100">
        <v>114</v>
      </c>
      <c r="H100" t="str">
        <f t="shared" si="1"/>
        <v>2024-12</v>
      </c>
      <c r="I100" t="str">
        <f>_xlfn.XLOOKUP(Table1[[#This Row],[Customer_ID]],Customers!$A$2:$A$30,Customers!$C$2:$C$30,"Not found")</f>
        <v>Pays full</v>
      </c>
    </row>
    <row r="101" spans="1:9">
      <c r="A101" s="3">
        <v>45651</v>
      </c>
      <c r="B101" t="s">
        <v>31</v>
      </c>
      <c r="C101" t="s">
        <v>8</v>
      </c>
      <c r="D101" s="4">
        <v>63</v>
      </c>
      <c r="E101" s="4"/>
      <c r="F101">
        <v>114</v>
      </c>
      <c r="H101" t="str">
        <f t="shared" si="1"/>
        <v>2024-12</v>
      </c>
      <c r="I101" t="str">
        <f>_xlfn.XLOOKUP(Table1[[#This Row],[Customer_ID]],Customers!$A$2:$A$30,Customers!$C$2:$C$30,"Not found")</f>
        <v>Pays full</v>
      </c>
    </row>
    <row r="102" spans="1:9">
      <c r="A102" s="3">
        <v>45652</v>
      </c>
      <c r="B102" t="s">
        <v>31</v>
      </c>
      <c r="C102" t="s">
        <v>8</v>
      </c>
      <c r="D102" s="4">
        <v>50</v>
      </c>
      <c r="E102" s="4"/>
      <c r="F102">
        <v>114</v>
      </c>
      <c r="H102" t="str">
        <f t="shared" si="1"/>
        <v>2024-12</v>
      </c>
      <c r="I102" t="str">
        <f>_xlfn.XLOOKUP(Table1[[#This Row],[Customer_ID]],Customers!$A$2:$A$30,Customers!$C$2:$C$30,"Not found")</f>
        <v>Pays full</v>
      </c>
    </row>
    <row r="103" spans="1:9">
      <c r="A103" s="3">
        <v>45652</v>
      </c>
      <c r="B103" t="s">
        <v>31</v>
      </c>
      <c r="C103" t="s">
        <v>8</v>
      </c>
      <c r="D103" s="4">
        <v>25</v>
      </c>
      <c r="E103" s="4"/>
      <c r="F103">
        <v>114</v>
      </c>
      <c r="H103" t="str">
        <f t="shared" si="1"/>
        <v>2024-12</v>
      </c>
      <c r="I103" t="str">
        <f>_xlfn.XLOOKUP(Table1[[#This Row],[Customer_ID]],Customers!$A$2:$A$30,Customers!$C$2:$C$30,"Not found")</f>
        <v>Pays full</v>
      </c>
    </row>
    <row r="104" spans="1:9">
      <c r="A104" s="3">
        <v>45653</v>
      </c>
      <c r="B104" t="s">
        <v>31</v>
      </c>
      <c r="C104" t="s">
        <v>8</v>
      </c>
      <c r="D104" s="4">
        <v>20</v>
      </c>
      <c r="E104" s="4"/>
      <c r="F104">
        <v>114</v>
      </c>
      <c r="H104" t="str">
        <f t="shared" si="1"/>
        <v>2024-12</v>
      </c>
      <c r="I104" t="str">
        <f>_xlfn.XLOOKUP(Table1[[#This Row],[Customer_ID]],Customers!$A$2:$A$30,Customers!$C$2:$C$30,"Not found")</f>
        <v>Pays full</v>
      </c>
    </row>
    <row r="105" spans="1:9">
      <c r="A105" s="3">
        <v>45653</v>
      </c>
      <c r="B105" t="s">
        <v>31</v>
      </c>
      <c r="C105" t="s">
        <v>8</v>
      </c>
      <c r="D105" s="4">
        <v>65</v>
      </c>
      <c r="E105" s="4"/>
      <c r="F105">
        <v>114</v>
      </c>
      <c r="H105" t="str">
        <f t="shared" si="1"/>
        <v>2024-12</v>
      </c>
      <c r="I105" t="str">
        <f>_xlfn.XLOOKUP(Table1[[#This Row],[Customer_ID]],Customers!$A$2:$A$30,Customers!$C$2:$C$30,"Not found")</f>
        <v>Pays full</v>
      </c>
    </row>
    <row r="106" spans="1:9">
      <c r="A106" s="3">
        <v>45654</v>
      </c>
      <c r="B106" t="s">
        <v>31</v>
      </c>
      <c r="C106" t="s">
        <v>8</v>
      </c>
      <c r="D106" s="4">
        <v>25</v>
      </c>
      <c r="E106" s="4"/>
      <c r="F106">
        <v>114</v>
      </c>
      <c r="H106" t="str">
        <f t="shared" si="1"/>
        <v>2024-12</v>
      </c>
      <c r="I106" t="str">
        <f>_xlfn.XLOOKUP(Table1[[#This Row],[Customer_ID]],Customers!$A$2:$A$30,Customers!$C$2:$C$30,"Not found")</f>
        <v>Pays full</v>
      </c>
    </row>
    <row r="107" spans="1:9">
      <c r="A107" s="3">
        <v>45654</v>
      </c>
      <c r="B107" t="s">
        <v>31</v>
      </c>
      <c r="C107" t="s">
        <v>8</v>
      </c>
      <c r="D107" s="4">
        <v>55</v>
      </c>
      <c r="E107" s="4"/>
      <c r="F107">
        <v>114</v>
      </c>
      <c r="G107" t="s">
        <v>38</v>
      </c>
      <c r="H107" t="str">
        <f t="shared" si="1"/>
        <v>2024-12</v>
      </c>
      <c r="I107" t="str">
        <f>_xlfn.XLOOKUP(Table1[[#This Row],[Customer_ID]],Customers!$A$2:$A$30,Customers!$C$2:$C$30,"Not found")</f>
        <v>Pays full</v>
      </c>
    </row>
    <row r="108" spans="1:9">
      <c r="A108" s="3">
        <v>45655</v>
      </c>
      <c r="B108" t="s">
        <v>31</v>
      </c>
      <c r="C108" t="s">
        <v>8</v>
      </c>
      <c r="D108" s="4">
        <v>191</v>
      </c>
      <c r="E108" s="4"/>
      <c r="F108">
        <v>114</v>
      </c>
      <c r="H108" t="str">
        <f t="shared" si="1"/>
        <v>2024-12</v>
      </c>
      <c r="I108" t="str">
        <f>_xlfn.XLOOKUP(Table1[[#This Row],[Customer_ID]],Customers!$A$2:$A$30,Customers!$C$2:$C$30,"Not found")</f>
        <v>Pays full</v>
      </c>
    </row>
    <row r="109" spans="1:9">
      <c r="A109" s="3">
        <v>45655</v>
      </c>
      <c r="B109" t="s">
        <v>31</v>
      </c>
      <c r="C109" t="s">
        <v>8</v>
      </c>
      <c r="D109" s="4">
        <v>208</v>
      </c>
      <c r="E109" s="4"/>
      <c r="F109">
        <v>114</v>
      </c>
      <c r="H109" t="str">
        <f t="shared" si="1"/>
        <v>2024-12</v>
      </c>
      <c r="I109" t="str">
        <f>_xlfn.XLOOKUP(Table1[[#This Row],[Customer_ID]],Customers!$A$2:$A$30,Customers!$C$2:$C$30,"Not found")</f>
        <v>Pays full</v>
      </c>
    </row>
    <row r="110" spans="1:9">
      <c r="A110" s="3">
        <v>45656</v>
      </c>
      <c r="B110" t="s">
        <v>31</v>
      </c>
      <c r="C110" t="s">
        <v>8</v>
      </c>
      <c r="D110" s="4">
        <v>117</v>
      </c>
      <c r="E110" s="4"/>
      <c r="F110">
        <v>114</v>
      </c>
      <c r="H110" t="str">
        <f t="shared" si="1"/>
        <v>2024-12</v>
      </c>
      <c r="I110" t="str">
        <f>_xlfn.XLOOKUP(Table1[[#This Row],[Customer_ID]],Customers!$A$2:$A$30,Customers!$C$2:$C$30,"Not found")</f>
        <v>Pays full</v>
      </c>
    </row>
    <row r="111" spans="1:9">
      <c r="A111" s="3">
        <v>45657</v>
      </c>
      <c r="B111" t="s">
        <v>31</v>
      </c>
      <c r="C111" t="s">
        <v>8</v>
      </c>
      <c r="D111" s="4">
        <v>38</v>
      </c>
      <c r="E111" s="4"/>
      <c r="F111">
        <v>114</v>
      </c>
      <c r="G111" t="s">
        <v>39</v>
      </c>
      <c r="H111" t="str">
        <f t="shared" si="1"/>
        <v>2024-12</v>
      </c>
      <c r="I111" t="str">
        <f>_xlfn.XLOOKUP(Table1[[#This Row],[Customer_ID]],Customers!$A$2:$A$30,Customers!$C$2:$C$30,"Not found")</f>
        <v>Pays full</v>
      </c>
    </row>
    <row r="112" spans="1:9">
      <c r="A112" s="3">
        <v>45657</v>
      </c>
      <c r="B112" t="s">
        <v>31</v>
      </c>
      <c r="C112" t="s">
        <v>22</v>
      </c>
      <c r="D112" s="4">
        <v>3</v>
      </c>
      <c r="E112" s="4"/>
      <c r="F112">
        <v>114</v>
      </c>
      <c r="G112" t="s">
        <v>40</v>
      </c>
      <c r="H112" t="str">
        <f t="shared" si="1"/>
        <v>2024-12</v>
      </c>
      <c r="I112" t="str">
        <f>_xlfn.XLOOKUP(Table1[[#This Row],[Customer_ID]],Customers!$A$2:$A$30,Customers!$C$2:$C$30,"Not found")</f>
        <v>Pays full</v>
      </c>
    </row>
    <row r="113" spans="1:9">
      <c r="A113" s="3">
        <v>45658</v>
      </c>
      <c r="B113" t="s">
        <v>31</v>
      </c>
      <c r="C113" t="s">
        <v>8</v>
      </c>
      <c r="D113" s="4">
        <v>80</v>
      </c>
      <c r="E113" s="4"/>
      <c r="F113">
        <v>114</v>
      </c>
      <c r="H113" t="str">
        <f t="shared" si="1"/>
        <v>2025-01</v>
      </c>
      <c r="I113" t="str">
        <f>_xlfn.XLOOKUP(Table1[[#This Row],[Customer_ID]],Customers!$A$2:$A$30,Customers!$C$2:$C$30,"Not found")</f>
        <v>Pays full</v>
      </c>
    </row>
    <row r="114" spans="1:9">
      <c r="A114" s="3">
        <v>45658</v>
      </c>
      <c r="B114" t="s">
        <v>31</v>
      </c>
      <c r="C114" t="s">
        <v>8</v>
      </c>
      <c r="D114" s="4">
        <v>64</v>
      </c>
      <c r="E114" s="4"/>
      <c r="F114">
        <v>114</v>
      </c>
      <c r="H114" t="str">
        <f t="shared" si="1"/>
        <v>2025-01</v>
      </c>
      <c r="I114" t="str">
        <f>_xlfn.XLOOKUP(Table1[[#This Row],[Customer_ID]],Customers!$A$2:$A$30,Customers!$C$2:$C$30,"Not found")</f>
        <v>Pays full</v>
      </c>
    </row>
    <row r="115" spans="1:9">
      <c r="A115" s="3">
        <v>45658</v>
      </c>
      <c r="B115" t="s">
        <v>31</v>
      </c>
      <c r="C115" t="s">
        <v>8</v>
      </c>
      <c r="D115" s="4">
        <v>15</v>
      </c>
      <c r="E115" s="4"/>
      <c r="F115">
        <v>114</v>
      </c>
      <c r="H115" t="str">
        <f t="shared" si="1"/>
        <v>2025-01</v>
      </c>
      <c r="I115" t="str">
        <f>_xlfn.XLOOKUP(Table1[[#This Row],[Customer_ID]],Customers!$A$2:$A$30,Customers!$C$2:$C$30,"Not found")</f>
        <v>Pays full</v>
      </c>
    </row>
    <row r="116" spans="1:9">
      <c r="A116" s="3">
        <v>45659</v>
      </c>
      <c r="B116" t="s">
        <v>31</v>
      </c>
      <c r="C116" t="s">
        <v>8</v>
      </c>
      <c r="D116" s="4">
        <v>57</v>
      </c>
      <c r="E116" s="4"/>
      <c r="F116">
        <v>114</v>
      </c>
      <c r="H116" t="str">
        <f t="shared" si="1"/>
        <v>2025-01</v>
      </c>
      <c r="I116" t="str">
        <f>_xlfn.XLOOKUP(Table1[[#This Row],[Customer_ID]],Customers!$A$2:$A$30,Customers!$C$2:$C$30,"Not found")</f>
        <v>Pays full</v>
      </c>
    </row>
    <row r="117" spans="1:9">
      <c r="A117" s="3">
        <v>45659</v>
      </c>
      <c r="B117" t="s">
        <v>31</v>
      </c>
      <c r="C117" t="s">
        <v>8</v>
      </c>
      <c r="D117" s="4">
        <v>60</v>
      </c>
      <c r="E117" s="4"/>
      <c r="F117">
        <v>114</v>
      </c>
      <c r="H117" t="str">
        <f t="shared" si="1"/>
        <v>2025-01</v>
      </c>
      <c r="I117" t="str">
        <f>_xlfn.XLOOKUP(Table1[[#This Row],[Customer_ID]],Customers!$A$2:$A$30,Customers!$C$2:$C$30,"Not found")</f>
        <v>Pays full</v>
      </c>
    </row>
    <row r="118" spans="1:9">
      <c r="A118" s="3">
        <v>45660</v>
      </c>
      <c r="B118" t="s">
        <v>31</v>
      </c>
      <c r="C118" t="s">
        <v>8</v>
      </c>
      <c r="D118" s="4">
        <v>315</v>
      </c>
      <c r="E118" s="4"/>
      <c r="F118">
        <v>114</v>
      </c>
      <c r="H118" t="str">
        <f t="shared" si="1"/>
        <v>2025-01</v>
      </c>
      <c r="I118" t="str">
        <f>_xlfn.XLOOKUP(Table1[[#This Row],[Customer_ID]],Customers!$A$2:$A$30,Customers!$C$2:$C$30,"Not found")</f>
        <v>Pays full</v>
      </c>
    </row>
    <row r="119" spans="1:9">
      <c r="A119" s="3">
        <v>45661</v>
      </c>
      <c r="B119" t="s">
        <v>31</v>
      </c>
      <c r="C119" t="s">
        <v>8</v>
      </c>
      <c r="D119" s="4">
        <v>60</v>
      </c>
      <c r="E119" s="4"/>
      <c r="F119">
        <v>114</v>
      </c>
      <c r="H119" t="str">
        <f t="shared" si="1"/>
        <v>2025-01</v>
      </c>
      <c r="I119" t="str">
        <f>_xlfn.XLOOKUP(Table1[[#This Row],[Customer_ID]],Customers!$A$2:$A$30,Customers!$C$2:$C$30,"Not found")</f>
        <v>Pays full</v>
      </c>
    </row>
    <row r="120" spans="1:9">
      <c r="A120" s="3">
        <v>45662</v>
      </c>
      <c r="B120" t="s">
        <v>31</v>
      </c>
      <c r="C120" t="s">
        <v>8</v>
      </c>
      <c r="D120" s="4">
        <v>314</v>
      </c>
      <c r="E120" s="4"/>
      <c r="F120">
        <v>114</v>
      </c>
      <c r="H120" t="str">
        <f t="shared" si="1"/>
        <v>2025-01</v>
      </c>
      <c r="I120" t="str">
        <f>_xlfn.XLOOKUP(Table1[[#This Row],[Customer_ID]],Customers!$A$2:$A$30,Customers!$C$2:$C$30,"Not found")</f>
        <v>Pays full</v>
      </c>
    </row>
    <row r="121" spans="1:9">
      <c r="A121" s="3">
        <v>45662</v>
      </c>
      <c r="B121" t="s">
        <v>31</v>
      </c>
      <c r="C121" t="s">
        <v>8</v>
      </c>
      <c r="D121" s="4">
        <v>15</v>
      </c>
      <c r="E121" s="4"/>
      <c r="F121">
        <v>114</v>
      </c>
      <c r="H121" t="str">
        <f t="shared" si="1"/>
        <v>2025-01</v>
      </c>
      <c r="I121" t="str">
        <f>_xlfn.XLOOKUP(Table1[[#This Row],[Customer_ID]],Customers!$A$2:$A$30,Customers!$C$2:$C$30,"Not found")</f>
        <v>Pays full</v>
      </c>
    </row>
    <row r="122" spans="1:9">
      <c r="A122" s="3">
        <v>45662</v>
      </c>
      <c r="B122" t="s">
        <v>31</v>
      </c>
      <c r="C122" t="s">
        <v>8</v>
      </c>
      <c r="D122" s="4">
        <v>95</v>
      </c>
      <c r="E122" s="4"/>
      <c r="F122">
        <v>114</v>
      </c>
      <c r="H122" t="str">
        <f t="shared" si="1"/>
        <v>2025-01</v>
      </c>
      <c r="I122" t="str">
        <f>_xlfn.XLOOKUP(Table1[[#This Row],[Customer_ID]],Customers!$A$2:$A$30,Customers!$C$2:$C$30,"Not found")</f>
        <v>Pays full</v>
      </c>
    </row>
    <row r="123" spans="1:9">
      <c r="A123" s="3">
        <v>45663</v>
      </c>
      <c r="B123" t="s">
        <v>31</v>
      </c>
      <c r="C123" t="s">
        <v>8</v>
      </c>
      <c r="D123" s="4">
        <v>50</v>
      </c>
      <c r="E123" s="4"/>
      <c r="F123">
        <v>114</v>
      </c>
      <c r="H123" t="str">
        <f t="shared" si="1"/>
        <v>2025-01</v>
      </c>
      <c r="I123" t="str">
        <f>_xlfn.XLOOKUP(Table1[[#This Row],[Customer_ID]],Customers!$A$2:$A$30,Customers!$C$2:$C$30,"Not found")</f>
        <v>Pays full</v>
      </c>
    </row>
    <row r="124" spans="1:9">
      <c r="A124" s="3">
        <v>45664</v>
      </c>
      <c r="B124" t="s">
        <v>31</v>
      </c>
      <c r="C124" t="s">
        <v>8</v>
      </c>
      <c r="D124" s="4">
        <v>63</v>
      </c>
      <c r="E124" s="4"/>
      <c r="F124">
        <v>114</v>
      </c>
      <c r="H124" t="str">
        <f t="shared" si="1"/>
        <v>2025-01</v>
      </c>
      <c r="I124" t="str">
        <f>_xlfn.XLOOKUP(Table1[[#This Row],[Customer_ID]],Customers!$A$2:$A$30,Customers!$C$2:$C$30,"Not found")</f>
        <v>Pays full</v>
      </c>
    </row>
    <row r="125" spans="1:9">
      <c r="A125" s="3">
        <v>45665</v>
      </c>
      <c r="B125" t="s">
        <v>31</v>
      </c>
      <c r="C125" t="s">
        <v>8</v>
      </c>
      <c r="D125" s="4">
        <v>88</v>
      </c>
      <c r="E125" s="4"/>
      <c r="F125">
        <v>114</v>
      </c>
      <c r="H125" t="str">
        <f t="shared" si="1"/>
        <v>2025-01</v>
      </c>
      <c r="I125" t="str">
        <f>_xlfn.XLOOKUP(Table1[[#This Row],[Customer_ID]],Customers!$A$2:$A$30,Customers!$C$2:$C$30,"Not found")</f>
        <v>Pays full</v>
      </c>
    </row>
    <row r="126" spans="1:9">
      <c r="A126" s="3">
        <v>45667</v>
      </c>
      <c r="B126" t="s">
        <v>31</v>
      </c>
      <c r="C126" t="s">
        <v>8</v>
      </c>
      <c r="D126" s="4">
        <v>375</v>
      </c>
      <c r="E126" s="4"/>
      <c r="F126">
        <v>114</v>
      </c>
      <c r="G126" t="s">
        <v>41</v>
      </c>
      <c r="H126" t="str">
        <f t="shared" si="1"/>
        <v>2025-01</v>
      </c>
      <c r="I126" t="str">
        <f>_xlfn.XLOOKUP(Table1[[#This Row],[Customer_ID]],Customers!$A$2:$A$30,Customers!$C$2:$C$30,"Not found")</f>
        <v>Pays full</v>
      </c>
    </row>
    <row r="127" spans="1:9">
      <c r="A127" s="3">
        <v>45667</v>
      </c>
      <c r="B127" t="s">
        <v>31</v>
      </c>
      <c r="C127" t="s">
        <v>8</v>
      </c>
      <c r="D127" s="4">
        <v>81</v>
      </c>
      <c r="E127" s="4"/>
      <c r="F127">
        <v>114</v>
      </c>
      <c r="H127" t="str">
        <f t="shared" si="1"/>
        <v>2025-01</v>
      </c>
      <c r="I127" t="str">
        <f>_xlfn.XLOOKUP(Table1[[#This Row],[Customer_ID]],Customers!$A$2:$A$30,Customers!$C$2:$C$30,"Not found")</f>
        <v>Pays full</v>
      </c>
    </row>
    <row r="128" spans="1:9">
      <c r="A128" s="3">
        <v>45668</v>
      </c>
      <c r="B128" t="s">
        <v>31</v>
      </c>
      <c r="C128" t="s">
        <v>8</v>
      </c>
      <c r="D128" s="4">
        <v>25</v>
      </c>
      <c r="E128" s="4"/>
      <c r="F128">
        <v>114</v>
      </c>
      <c r="H128" t="str">
        <f t="shared" si="1"/>
        <v>2025-01</v>
      </c>
      <c r="I128" t="str">
        <f>_xlfn.XLOOKUP(Table1[[#This Row],[Customer_ID]],Customers!$A$2:$A$30,Customers!$C$2:$C$30,"Not found")</f>
        <v>Pays full</v>
      </c>
    </row>
    <row r="129" spans="1:9">
      <c r="A129" s="3">
        <v>45669</v>
      </c>
      <c r="B129" t="s">
        <v>31</v>
      </c>
      <c r="C129" t="s">
        <v>8</v>
      </c>
      <c r="D129" s="4">
        <v>74</v>
      </c>
      <c r="E129" s="4"/>
      <c r="F129">
        <v>114</v>
      </c>
      <c r="H129" t="str">
        <f t="shared" si="1"/>
        <v>2025-01</v>
      </c>
      <c r="I129" t="str">
        <f>_xlfn.XLOOKUP(Table1[[#This Row],[Customer_ID]],Customers!$A$2:$A$30,Customers!$C$2:$C$30,"Not found")</f>
        <v>Pays full</v>
      </c>
    </row>
    <row r="130" spans="1:9">
      <c r="A130" s="3">
        <v>45669</v>
      </c>
      <c r="B130" t="s">
        <v>31</v>
      </c>
      <c r="C130" t="s">
        <v>8</v>
      </c>
      <c r="D130" s="4">
        <v>40</v>
      </c>
      <c r="E130" s="4"/>
      <c r="F130">
        <v>114</v>
      </c>
      <c r="H130" t="str">
        <f t="shared" si="1"/>
        <v>2025-01</v>
      </c>
      <c r="I130" t="str">
        <f>_xlfn.XLOOKUP(Table1[[#This Row],[Customer_ID]],Customers!$A$2:$A$30,Customers!$C$2:$C$30,"Not found")</f>
        <v>Pays full</v>
      </c>
    </row>
    <row r="131" spans="1:9">
      <c r="A131" s="3">
        <v>45670</v>
      </c>
      <c r="B131" t="s">
        <v>31</v>
      </c>
      <c r="C131" t="s">
        <v>8</v>
      </c>
      <c r="D131" s="4">
        <v>98</v>
      </c>
      <c r="E131" s="4"/>
      <c r="F131">
        <v>114</v>
      </c>
      <c r="H131" t="str">
        <f t="shared" ref="H131:H194" si="2">IF(A131="","",TEXT(A131,"yyyy-mm"))</f>
        <v>2025-01</v>
      </c>
      <c r="I131" t="str">
        <f>_xlfn.XLOOKUP(Table1[[#This Row],[Customer_ID]],Customers!$A$2:$A$30,Customers!$C$2:$C$30,"Not found")</f>
        <v>Pays full</v>
      </c>
    </row>
    <row r="132" spans="1:9">
      <c r="A132" s="3">
        <v>45671</v>
      </c>
      <c r="B132" t="s">
        <v>31</v>
      </c>
      <c r="C132" t="s">
        <v>8</v>
      </c>
      <c r="D132" s="4">
        <v>156</v>
      </c>
      <c r="E132" s="4"/>
      <c r="F132">
        <v>114</v>
      </c>
      <c r="H132" t="str">
        <f t="shared" si="2"/>
        <v>2025-01</v>
      </c>
      <c r="I132" t="str">
        <f>_xlfn.XLOOKUP(Table1[[#This Row],[Customer_ID]],Customers!$A$2:$A$30,Customers!$C$2:$C$30,"Not found")</f>
        <v>Pays full</v>
      </c>
    </row>
    <row r="133" spans="1:9">
      <c r="A133" s="3">
        <v>45671</v>
      </c>
      <c r="B133" t="s">
        <v>31</v>
      </c>
      <c r="C133" t="s">
        <v>8</v>
      </c>
      <c r="D133" s="4">
        <v>130</v>
      </c>
      <c r="E133" s="4"/>
      <c r="F133">
        <v>114</v>
      </c>
      <c r="H133" t="str">
        <f t="shared" si="2"/>
        <v>2025-01</v>
      </c>
      <c r="I133" t="str">
        <f>_xlfn.XLOOKUP(Table1[[#This Row],[Customer_ID]],Customers!$A$2:$A$30,Customers!$C$2:$C$30,"Not found")</f>
        <v>Pays full</v>
      </c>
    </row>
    <row r="134" spans="1:9">
      <c r="A134" s="3">
        <v>45672</v>
      </c>
      <c r="B134" t="s">
        <v>31</v>
      </c>
      <c r="C134" t="s">
        <v>8</v>
      </c>
      <c r="D134" s="4">
        <v>455</v>
      </c>
      <c r="E134" s="4"/>
      <c r="F134">
        <v>114</v>
      </c>
      <c r="G134" t="s">
        <v>42</v>
      </c>
      <c r="H134" t="str">
        <f t="shared" si="2"/>
        <v>2025-01</v>
      </c>
      <c r="I134" t="str">
        <f>_xlfn.XLOOKUP(Table1[[#This Row],[Customer_ID]],Customers!$A$2:$A$30,Customers!$C$2:$C$30,"Not found")</f>
        <v>Pays full</v>
      </c>
    </row>
    <row r="135" spans="1:9">
      <c r="A135" s="3">
        <v>45672</v>
      </c>
      <c r="B135" t="s">
        <v>31</v>
      </c>
      <c r="C135" t="s">
        <v>8</v>
      </c>
      <c r="D135" s="4">
        <v>15</v>
      </c>
      <c r="E135" s="4"/>
      <c r="F135">
        <v>114</v>
      </c>
      <c r="H135" t="str">
        <f t="shared" si="2"/>
        <v>2025-01</v>
      </c>
      <c r="I135" t="str">
        <f>_xlfn.XLOOKUP(Table1[[#This Row],[Customer_ID]],Customers!$A$2:$A$30,Customers!$C$2:$C$30,"Not found")</f>
        <v>Pays full</v>
      </c>
    </row>
    <row r="136" spans="1:9">
      <c r="A136" s="3">
        <v>45673</v>
      </c>
      <c r="B136" t="s">
        <v>31</v>
      </c>
      <c r="C136" t="s">
        <v>8</v>
      </c>
      <c r="D136" s="4">
        <v>500</v>
      </c>
      <c r="E136" s="4"/>
      <c r="F136">
        <v>114</v>
      </c>
      <c r="G136" t="s">
        <v>42</v>
      </c>
      <c r="H136" t="str">
        <f t="shared" si="2"/>
        <v>2025-01</v>
      </c>
      <c r="I136" t="str">
        <f>_xlfn.XLOOKUP(Table1[[#This Row],[Customer_ID]],Customers!$A$2:$A$30,Customers!$C$2:$C$30,"Not found")</f>
        <v>Pays full</v>
      </c>
    </row>
    <row r="137" spans="1:9">
      <c r="A137" s="3">
        <v>45673</v>
      </c>
      <c r="B137" t="s">
        <v>31</v>
      </c>
      <c r="C137" t="s">
        <v>14</v>
      </c>
      <c r="D137" s="4">
        <v>7094</v>
      </c>
      <c r="E137" s="4"/>
      <c r="F137">
        <v>114</v>
      </c>
      <c r="G137" t="s">
        <v>43</v>
      </c>
      <c r="H137" t="str">
        <f t="shared" si="2"/>
        <v>2025-01</v>
      </c>
      <c r="I137" t="str">
        <f>_xlfn.XLOOKUP(Table1[[#This Row],[Customer_ID]],Customers!$A$2:$A$30,Customers!$C$2:$C$30,"Not found")</f>
        <v>Pays full</v>
      </c>
    </row>
    <row r="138" spans="1:9">
      <c r="A138" s="3">
        <v>45674</v>
      </c>
      <c r="B138" t="s">
        <v>31</v>
      </c>
      <c r="C138" t="s">
        <v>8</v>
      </c>
      <c r="D138" s="4">
        <v>299</v>
      </c>
      <c r="E138" s="4"/>
      <c r="F138">
        <v>114</v>
      </c>
      <c r="H138" t="str">
        <f t="shared" si="2"/>
        <v>2025-01</v>
      </c>
      <c r="I138" t="str">
        <f>_xlfn.XLOOKUP(Table1[[#This Row],[Customer_ID]],Customers!$A$2:$A$30,Customers!$C$2:$C$30,"Not found")</f>
        <v>Pays full</v>
      </c>
    </row>
    <row r="139" spans="1:9">
      <c r="A139" s="3">
        <v>45674</v>
      </c>
      <c r="B139" t="s">
        <v>31</v>
      </c>
      <c r="C139" t="s">
        <v>8</v>
      </c>
      <c r="D139" s="4">
        <v>25</v>
      </c>
      <c r="E139" s="4"/>
      <c r="F139">
        <v>114</v>
      </c>
      <c r="H139" t="str">
        <f t="shared" si="2"/>
        <v>2025-01</v>
      </c>
      <c r="I139" t="str">
        <f>_xlfn.XLOOKUP(Table1[[#This Row],[Customer_ID]],Customers!$A$2:$A$30,Customers!$C$2:$C$30,"Not found")</f>
        <v>Pays full</v>
      </c>
    </row>
    <row r="140" spans="1:9">
      <c r="A140" s="3">
        <v>45675</v>
      </c>
      <c r="B140" t="s">
        <v>31</v>
      </c>
      <c r="C140" t="s">
        <v>8</v>
      </c>
      <c r="D140" s="4">
        <v>280</v>
      </c>
      <c r="E140" s="4"/>
      <c r="F140">
        <v>114</v>
      </c>
      <c r="H140" t="str">
        <f t="shared" si="2"/>
        <v>2025-01</v>
      </c>
      <c r="I140" t="str">
        <f>_xlfn.XLOOKUP(Table1[[#This Row],[Customer_ID]],Customers!$A$2:$A$30,Customers!$C$2:$C$30,"Not found")</f>
        <v>Pays full</v>
      </c>
    </row>
    <row r="141" spans="1:9">
      <c r="A141" s="3">
        <v>45675</v>
      </c>
      <c r="B141" t="s">
        <v>31</v>
      </c>
      <c r="C141" t="s">
        <v>8</v>
      </c>
      <c r="D141" s="4">
        <v>78</v>
      </c>
      <c r="E141" s="4"/>
      <c r="F141">
        <v>114</v>
      </c>
      <c r="H141" t="str">
        <f t="shared" si="2"/>
        <v>2025-01</v>
      </c>
      <c r="I141" t="str">
        <f>_xlfn.XLOOKUP(Table1[[#This Row],[Customer_ID]],Customers!$A$2:$A$30,Customers!$C$2:$C$30,"Not found")</f>
        <v>Pays full</v>
      </c>
    </row>
    <row r="142" spans="1:9">
      <c r="A142" s="3">
        <v>45677</v>
      </c>
      <c r="B142" t="s">
        <v>31</v>
      </c>
      <c r="C142" t="s">
        <v>8</v>
      </c>
      <c r="D142" s="4">
        <v>33</v>
      </c>
      <c r="E142" s="4"/>
      <c r="F142">
        <v>114</v>
      </c>
      <c r="H142" t="str">
        <f t="shared" si="2"/>
        <v>2025-01</v>
      </c>
      <c r="I142" t="str">
        <f>_xlfn.XLOOKUP(Table1[[#This Row],[Customer_ID]],Customers!$A$2:$A$30,Customers!$C$2:$C$30,"Not found")</f>
        <v>Pays full</v>
      </c>
    </row>
    <row r="143" spans="1:9">
      <c r="A143" s="3">
        <v>45678</v>
      </c>
      <c r="B143" t="s">
        <v>31</v>
      </c>
      <c r="C143" t="s">
        <v>8</v>
      </c>
      <c r="D143" s="4">
        <v>20</v>
      </c>
      <c r="E143" s="4"/>
      <c r="F143">
        <v>114</v>
      </c>
      <c r="H143" t="str">
        <f t="shared" si="2"/>
        <v>2025-01</v>
      </c>
      <c r="I143" t="str">
        <f>_xlfn.XLOOKUP(Table1[[#This Row],[Customer_ID]],Customers!$A$2:$A$30,Customers!$C$2:$C$30,"Not found")</f>
        <v>Pays full</v>
      </c>
    </row>
    <row r="144" spans="1:9">
      <c r="A144" s="3">
        <v>45678</v>
      </c>
      <c r="B144" t="s">
        <v>31</v>
      </c>
      <c r="C144" t="s">
        <v>8</v>
      </c>
      <c r="D144" s="4">
        <v>85</v>
      </c>
      <c r="E144" s="4"/>
      <c r="F144">
        <v>114</v>
      </c>
      <c r="H144" t="str">
        <f t="shared" si="2"/>
        <v>2025-01</v>
      </c>
      <c r="I144" t="str">
        <f>_xlfn.XLOOKUP(Table1[[#This Row],[Customer_ID]],Customers!$A$2:$A$30,Customers!$C$2:$C$30,"Not found")</f>
        <v>Pays full</v>
      </c>
    </row>
    <row r="145" spans="1:9">
      <c r="A145" s="3">
        <v>45679</v>
      </c>
      <c r="B145" t="s">
        <v>31</v>
      </c>
      <c r="C145" t="s">
        <v>8</v>
      </c>
      <c r="D145" s="4">
        <v>77</v>
      </c>
      <c r="E145" s="4"/>
      <c r="F145">
        <v>114</v>
      </c>
      <c r="H145" t="str">
        <f t="shared" si="2"/>
        <v>2025-01</v>
      </c>
      <c r="I145" t="str">
        <f>_xlfn.XLOOKUP(Table1[[#This Row],[Customer_ID]],Customers!$A$2:$A$30,Customers!$C$2:$C$30,"Not found")</f>
        <v>Pays full</v>
      </c>
    </row>
    <row r="146" spans="1:9">
      <c r="A146" s="3">
        <v>45680</v>
      </c>
      <c r="B146" t="s">
        <v>31</v>
      </c>
      <c r="C146" t="s">
        <v>8</v>
      </c>
      <c r="D146" s="4">
        <v>175</v>
      </c>
      <c r="E146" s="4"/>
      <c r="F146">
        <v>114</v>
      </c>
      <c r="H146" t="str">
        <f t="shared" si="2"/>
        <v>2025-01</v>
      </c>
      <c r="I146" t="str">
        <f>_xlfn.XLOOKUP(Table1[[#This Row],[Customer_ID]],Customers!$A$2:$A$30,Customers!$C$2:$C$30,"Not found")</f>
        <v>Pays full</v>
      </c>
    </row>
    <row r="147" spans="1:9">
      <c r="A147" s="3">
        <v>45681</v>
      </c>
      <c r="B147" t="s">
        <v>31</v>
      </c>
      <c r="C147" t="s">
        <v>8</v>
      </c>
      <c r="D147" s="4">
        <v>95</v>
      </c>
      <c r="E147" s="4"/>
      <c r="F147">
        <v>114</v>
      </c>
      <c r="H147" t="str">
        <f t="shared" si="2"/>
        <v>2025-01</v>
      </c>
      <c r="I147" t="str">
        <f>_xlfn.XLOOKUP(Table1[[#This Row],[Customer_ID]],Customers!$A$2:$A$30,Customers!$C$2:$C$30,"Not found")</f>
        <v>Pays full</v>
      </c>
    </row>
    <row r="148" spans="1:9">
      <c r="A148" s="3">
        <v>45682</v>
      </c>
      <c r="B148" t="s">
        <v>31</v>
      </c>
      <c r="C148" t="s">
        <v>8</v>
      </c>
      <c r="D148" s="4">
        <v>38</v>
      </c>
      <c r="E148" s="4"/>
      <c r="F148">
        <v>114</v>
      </c>
      <c r="H148" t="str">
        <f t="shared" si="2"/>
        <v>2025-01</v>
      </c>
      <c r="I148" t="str">
        <f>_xlfn.XLOOKUP(Table1[[#This Row],[Customer_ID]],Customers!$A$2:$A$30,Customers!$C$2:$C$30,"Not found")</f>
        <v>Pays full</v>
      </c>
    </row>
    <row r="149" spans="1:9">
      <c r="A149" s="3">
        <v>45683</v>
      </c>
      <c r="B149" t="s">
        <v>31</v>
      </c>
      <c r="C149" t="s">
        <v>8</v>
      </c>
      <c r="D149" s="4">
        <v>2125</v>
      </c>
      <c r="E149" s="4"/>
      <c r="F149">
        <v>114</v>
      </c>
      <c r="H149" t="str">
        <f t="shared" si="2"/>
        <v>2025-01</v>
      </c>
      <c r="I149" t="str">
        <f>_xlfn.XLOOKUP(Table1[[#This Row],[Customer_ID]],Customers!$A$2:$A$30,Customers!$C$2:$C$30,"Not found")</f>
        <v>Pays full</v>
      </c>
    </row>
    <row r="150" spans="1:9">
      <c r="A150" s="3">
        <v>45683</v>
      </c>
      <c r="B150" t="s">
        <v>31</v>
      </c>
      <c r="C150" t="s">
        <v>8</v>
      </c>
      <c r="D150" s="4">
        <v>72</v>
      </c>
      <c r="E150" s="4"/>
      <c r="F150">
        <v>114</v>
      </c>
      <c r="H150" t="str">
        <f t="shared" si="2"/>
        <v>2025-01</v>
      </c>
      <c r="I150" t="str">
        <f>_xlfn.XLOOKUP(Table1[[#This Row],[Customer_ID]],Customers!$A$2:$A$30,Customers!$C$2:$C$30,"Not found")</f>
        <v>Pays full</v>
      </c>
    </row>
    <row r="151" spans="1:9">
      <c r="A151" s="3">
        <v>45684</v>
      </c>
      <c r="B151" t="s">
        <v>31</v>
      </c>
      <c r="C151" t="s">
        <v>8</v>
      </c>
      <c r="D151" s="4">
        <v>118</v>
      </c>
      <c r="E151" s="4"/>
      <c r="F151">
        <v>114</v>
      </c>
      <c r="H151" t="str">
        <f t="shared" si="2"/>
        <v>2025-01</v>
      </c>
      <c r="I151" t="str">
        <f>_xlfn.XLOOKUP(Table1[[#This Row],[Customer_ID]],Customers!$A$2:$A$30,Customers!$C$2:$C$30,"Not found")</f>
        <v>Pays full</v>
      </c>
    </row>
    <row r="152" spans="1:9">
      <c r="A152" s="3">
        <v>45687</v>
      </c>
      <c r="B152" t="s">
        <v>31</v>
      </c>
      <c r="C152" t="s">
        <v>8</v>
      </c>
      <c r="D152" s="4">
        <v>229</v>
      </c>
      <c r="E152" s="4"/>
      <c r="F152">
        <v>114</v>
      </c>
      <c r="H152" t="str">
        <f t="shared" si="2"/>
        <v>2025-01</v>
      </c>
      <c r="I152" t="str">
        <f>_xlfn.XLOOKUP(Table1[[#This Row],[Customer_ID]],Customers!$A$2:$A$30,Customers!$C$2:$C$30,"Not found")</f>
        <v>Pays full</v>
      </c>
    </row>
    <row r="153" spans="1:9">
      <c r="A153" s="3">
        <v>45688</v>
      </c>
      <c r="B153" t="s">
        <v>31</v>
      </c>
      <c r="C153" t="s">
        <v>8</v>
      </c>
      <c r="D153" s="4">
        <v>31</v>
      </c>
      <c r="E153" s="4"/>
      <c r="F153">
        <v>114</v>
      </c>
      <c r="G153" t="s">
        <v>44</v>
      </c>
      <c r="H153" t="str">
        <f t="shared" si="2"/>
        <v>2025-01</v>
      </c>
      <c r="I153" t="str">
        <f>_xlfn.XLOOKUP(Table1[[#This Row],[Customer_ID]],Customers!$A$2:$A$30,Customers!$C$2:$C$30,"Not found")</f>
        <v>Pays full</v>
      </c>
    </row>
    <row r="154" spans="1:9">
      <c r="A154" s="3">
        <v>45688</v>
      </c>
      <c r="B154" t="s">
        <v>31</v>
      </c>
      <c r="C154" t="s">
        <v>22</v>
      </c>
      <c r="D154" s="4">
        <v>200</v>
      </c>
      <c r="E154" s="4"/>
      <c r="F154">
        <v>114</v>
      </c>
      <c r="G154" t="s">
        <v>45</v>
      </c>
      <c r="H154" t="str">
        <f t="shared" si="2"/>
        <v>2025-01</v>
      </c>
      <c r="I154" t="str">
        <f>_xlfn.XLOOKUP(Table1[[#This Row],[Customer_ID]],Customers!$A$2:$A$30,Customers!$C$2:$C$30,"Not found")</f>
        <v>Pays full</v>
      </c>
    </row>
    <row r="155" spans="1:9">
      <c r="A155" s="3"/>
      <c r="B155" t="s">
        <v>31</v>
      </c>
      <c r="C155" t="s">
        <v>14</v>
      </c>
      <c r="D155" s="4">
        <v>7205</v>
      </c>
      <c r="E155" s="4"/>
      <c r="F155">
        <v>114</v>
      </c>
      <c r="G155" t="s">
        <v>46</v>
      </c>
      <c r="H155" t="str">
        <f t="shared" si="2"/>
        <v/>
      </c>
      <c r="I155" t="str">
        <f>_xlfn.XLOOKUP(Table1[[#This Row],[Customer_ID]],Customers!$A$2:$A$30,Customers!$C$2:$C$30,"Not found")</f>
        <v>Pays full</v>
      </c>
    </row>
    <row r="156" spans="1:9">
      <c r="A156" s="3">
        <v>45689</v>
      </c>
      <c r="B156" t="s">
        <v>31</v>
      </c>
      <c r="C156" t="s">
        <v>8</v>
      </c>
      <c r="D156" s="4">
        <v>58</v>
      </c>
      <c r="E156" s="4"/>
      <c r="F156">
        <v>115</v>
      </c>
      <c r="H156" t="str">
        <f t="shared" si="2"/>
        <v>2025-02</v>
      </c>
      <c r="I156" t="str">
        <f>_xlfn.XLOOKUP(Table1[[#This Row],[Customer_ID]],Customers!$A$2:$A$30,Customers!$C$2:$C$30,"Not found")</f>
        <v>Pays full</v>
      </c>
    </row>
    <row r="157" spans="1:9">
      <c r="A157" s="3">
        <v>45690</v>
      </c>
      <c r="B157" t="s">
        <v>31</v>
      </c>
      <c r="C157" t="s">
        <v>8</v>
      </c>
      <c r="D157" s="4">
        <v>342</v>
      </c>
      <c r="E157" s="4"/>
      <c r="F157">
        <v>115</v>
      </c>
      <c r="H157" t="str">
        <f t="shared" si="2"/>
        <v>2025-02</v>
      </c>
      <c r="I157" t="str">
        <f>_xlfn.XLOOKUP(Table1[[#This Row],[Customer_ID]],Customers!$A$2:$A$30,Customers!$C$2:$C$30,"Not found")</f>
        <v>Pays full</v>
      </c>
    </row>
    <row r="158" spans="1:9">
      <c r="A158" s="3">
        <v>45691</v>
      </c>
      <c r="B158" t="s">
        <v>31</v>
      </c>
      <c r="C158" t="s">
        <v>8</v>
      </c>
      <c r="D158" s="4">
        <v>33</v>
      </c>
      <c r="E158" s="4"/>
      <c r="F158">
        <v>115</v>
      </c>
      <c r="H158" t="str">
        <f t="shared" si="2"/>
        <v>2025-02</v>
      </c>
      <c r="I158" t="str">
        <f>_xlfn.XLOOKUP(Table1[[#This Row],[Customer_ID]],Customers!$A$2:$A$30,Customers!$C$2:$C$30,"Not found")</f>
        <v>Pays full</v>
      </c>
    </row>
    <row r="159" spans="1:9">
      <c r="A159" s="3">
        <v>45693</v>
      </c>
      <c r="B159" t="s">
        <v>31</v>
      </c>
      <c r="C159" t="s">
        <v>8</v>
      </c>
      <c r="D159" s="4">
        <v>260</v>
      </c>
      <c r="E159" s="4"/>
      <c r="F159">
        <v>115</v>
      </c>
      <c r="H159" t="str">
        <f t="shared" si="2"/>
        <v>2025-02</v>
      </c>
      <c r="I159" t="str">
        <f>_xlfn.XLOOKUP(Table1[[#This Row],[Customer_ID]],Customers!$A$2:$A$30,Customers!$C$2:$C$30,"Not found")</f>
        <v>Pays full</v>
      </c>
    </row>
    <row r="160" spans="1:9">
      <c r="A160" s="3">
        <v>45693</v>
      </c>
      <c r="B160" t="s">
        <v>31</v>
      </c>
      <c r="C160" t="s">
        <v>8</v>
      </c>
      <c r="D160" s="4">
        <v>128</v>
      </c>
      <c r="E160" s="4"/>
      <c r="F160">
        <v>115</v>
      </c>
      <c r="H160" t="str">
        <f t="shared" si="2"/>
        <v>2025-02</v>
      </c>
      <c r="I160" t="str">
        <f>_xlfn.XLOOKUP(Table1[[#This Row],[Customer_ID]],Customers!$A$2:$A$30,Customers!$C$2:$C$30,"Not found")</f>
        <v>Pays full</v>
      </c>
    </row>
    <row r="161" spans="1:9">
      <c r="A161" s="3">
        <v>45694</v>
      </c>
      <c r="B161" t="s">
        <v>31</v>
      </c>
      <c r="C161" t="s">
        <v>8</v>
      </c>
      <c r="D161" s="4">
        <v>160</v>
      </c>
      <c r="E161" s="4"/>
      <c r="F161">
        <v>115</v>
      </c>
      <c r="H161" t="str">
        <f t="shared" si="2"/>
        <v>2025-02</v>
      </c>
      <c r="I161" t="str">
        <f>_xlfn.XLOOKUP(Table1[[#This Row],[Customer_ID]],Customers!$A$2:$A$30,Customers!$C$2:$C$30,"Not found")</f>
        <v>Pays full</v>
      </c>
    </row>
    <row r="162" spans="1:9">
      <c r="A162" s="3">
        <v>45695</v>
      </c>
      <c r="B162" t="s">
        <v>31</v>
      </c>
      <c r="C162" t="s">
        <v>8</v>
      </c>
      <c r="D162" s="4">
        <v>48</v>
      </c>
      <c r="E162" s="4"/>
      <c r="F162">
        <v>115</v>
      </c>
      <c r="H162" t="str">
        <f t="shared" si="2"/>
        <v>2025-02</v>
      </c>
      <c r="I162" t="str">
        <f>_xlfn.XLOOKUP(Table1[[#This Row],[Customer_ID]],Customers!$A$2:$A$30,Customers!$C$2:$C$30,"Not found")</f>
        <v>Pays full</v>
      </c>
    </row>
    <row r="163" spans="1:9">
      <c r="A163" s="3">
        <v>45696</v>
      </c>
      <c r="B163" t="s">
        <v>31</v>
      </c>
      <c r="C163" t="s">
        <v>8</v>
      </c>
      <c r="D163" s="4">
        <v>240</v>
      </c>
      <c r="E163" s="4"/>
      <c r="F163">
        <v>115</v>
      </c>
      <c r="H163" t="str">
        <f t="shared" si="2"/>
        <v>2025-02</v>
      </c>
      <c r="I163" t="str">
        <f>_xlfn.XLOOKUP(Table1[[#This Row],[Customer_ID]],Customers!$A$2:$A$30,Customers!$C$2:$C$30,"Not found")</f>
        <v>Pays full</v>
      </c>
    </row>
    <row r="164" spans="1:9">
      <c r="A164" s="3">
        <v>45696</v>
      </c>
      <c r="B164" t="s">
        <v>31</v>
      </c>
      <c r="C164" t="s">
        <v>8</v>
      </c>
      <c r="D164" s="4">
        <v>33</v>
      </c>
      <c r="E164" s="4"/>
      <c r="F164">
        <v>115</v>
      </c>
      <c r="H164" t="str">
        <f t="shared" si="2"/>
        <v>2025-02</v>
      </c>
      <c r="I164" t="str">
        <f>_xlfn.XLOOKUP(Table1[[#This Row],[Customer_ID]],Customers!$A$2:$A$30,Customers!$C$2:$C$30,"Not found")</f>
        <v>Pays full</v>
      </c>
    </row>
    <row r="165" spans="1:9">
      <c r="A165" s="3">
        <v>45697</v>
      </c>
      <c r="B165" t="s">
        <v>31</v>
      </c>
      <c r="C165" t="s">
        <v>8</v>
      </c>
      <c r="D165" s="4">
        <v>58</v>
      </c>
      <c r="E165" s="4"/>
      <c r="F165">
        <v>115</v>
      </c>
      <c r="H165" t="str">
        <f t="shared" si="2"/>
        <v>2025-02</v>
      </c>
      <c r="I165" t="str">
        <f>_xlfn.XLOOKUP(Table1[[#This Row],[Customer_ID]],Customers!$A$2:$A$30,Customers!$C$2:$C$30,"Not found")</f>
        <v>Pays full</v>
      </c>
    </row>
    <row r="166" spans="1:9">
      <c r="A166" s="3">
        <v>45698</v>
      </c>
      <c r="B166" t="s">
        <v>31</v>
      </c>
      <c r="C166" t="s">
        <v>8</v>
      </c>
      <c r="D166" s="4">
        <v>80</v>
      </c>
      <c r="E166" s="4"/>
      <c r="F166">
        <v>115</v>
      </c>
      <c r="H166" t="str">
        <f t="shared" si="2"/>
        <v>2025-02</v>
      </c>
      <c r="I166" t="str">
        <f>_xlfn.XLOOKUP(Table1[[#This Row],[Customer_ID]],Customers!$A$2:$A$30,Customers!$C$2:$C$30,"Not found")</f>
        <v>Pays full</v>
      </c>
    </row>
    <row r="167" spans="1:9">
      <c r="A167" s="3">
        <v>45698</v>
      </c>
      <c r="B167" t="s">
        <v>31</v>
      </c>
      <c r="C167" t="s">
        <v>8</v>
      </c>
      <c r="D167" s="4">
        <v>63</v>
      </c>
      <c r="E167" s="4"/>
      <c r="F167">
        <v>115</v>
      </c>
      <c r="H167" t="str">
        <f t="shared" si="2"/>
        <v>2025-02</v>
      </c>
      <c r="I167" t="str">
        <f>_xlfn.XLOOKUP(Table1[[#This Row],[Customer_ID]],Customers!$A$2:$A$30,Customers!$C$2:$C$30,"Not found")</f>
        <v>Pays full</v>
      </c>
    </row>
    <row r="168" spans="1:9">
      <c r="A168" s="3">
        <v>45699</v>
      </c>
      <c r="B168" t="s">
        <v>31</v>
      </c>
      <c r="C168" t="s">
        <v>8</v>
      </c>
      <c r="D168" s="4">
        <v>25</v>
      </c>
      <c r="E168" s="4"/>
      <c r="F168">
        <v>115</v>
      </c>
      <c r="H168" t="str">
        <f t="shared" si="2"/>
        <v>2025-02</v>
      </c>
      <c r="I168" t="str">
        <f>_xlfn.XLOOKUP(Table1[[#This Row],[Customer_ID]],Customers!$A$2:$A$30,Customers!$C$2:$C$30,"Not found")</f>
        <v>Pays full</v>
      </c>
    </row>
    <row r="169" spans="1:9">
      <c r="A169" s="3">
        <v>45701</v>
      </c>
      <c r="B169" t="s">
        <v>31</v>
      </c>
      <c r="C169" t="s">
        <v>8</v>
      </c>
      <c r="D169" s="4">
        <v>172</v>
      </c>
      <c r="E169" s="4"/>
      <c r="F169">
        <v>115</v>
      </c>
      <c r="H169" t="str">
        <f t="shared" si="2"/>
        <v>2025-02</v>
      </c>
      <c r="I169" t="str">
        <f>_xlfn.XLOOKUP(Table1[[#This Row],[Customer_ID]],Customers!$A$2:$A$30,Customers!$C$2:$C$30,"Not found")</f>
        <v>Pays full</v>
      </c>
    </row>
    <row r="170" spans="1:9">
      <c r="A170" s="3">
        <v>45702</v>
      </c>
      <c r="B170" t="s">
        <v>31</v>
      </c>
      <c r="C170" t="s">
        <v>8</v>
      </c>
      <c r="D170" s="4">
        <v>60</v>
      </c>
      <c r="E170" s="4"/>
      <c r="F170">
        <v>115</v>
      </c>
      <c r="H170" t="str">
        <f t="shared" si="2"/>
        <v>2025-02</v>
      </c>
      <c r="I170" t="str">
        <f>_xlfn.XLOOKUP(Table1[[#This Row],[Customer_ID]],Customers!$A$2:$A$30,Customers!$C$2:$C$30,"Not found")</f>
        <v>Pays full</v>
      </c>
    </row>
    <row r="171" spans="1:9">
      <c r="A171" s="3">
        <v>45702</v>
      </c>
      <c r="B171" t="s">
        <v>31</v>
      </c>
      <c r="C171" t="s">
        <v>8</v>
      </c>
      <c r="D171" s="4">
        <v>73</v>
      </c>
      <c r="E171" s="4"/>
      <c r="F171">
        <v>115</v>
      </c>
      <c r="H171" t="str">
        <f t="shared" si="2"/>
        <v>2025-02</v>
      </c>
      <c r="I171" t="str">
        <f>_xlfn.XLOOKUP(Table1[[#This Row],[Customer_ID]],Customers!$A$2:$A$30,Customers!$C$2:$C$30,"Not found")</f>
        <v>Pays full</v>
      </c>
    </row>
    <row r="172" spans="1:9">
      <c r="A172" s="3">
        <v>45703</v>
      </c>
      <c r="B172" t="s">
        <v>31</v>
      </c>
      <c r="C172" t="s">
        <v>8</v>
      </c>
      <c r="D172" s="4">
        <v>28</v>
      </c>
      <c r="E172" s="4"/>
      <c r="F172">
        <v>115</v>
      </c>
      <c r="H172" t="str">
        <f t="shared" si="2"/>
        <v>2025-02</v>
      </c>
      <c r="I172" t="str">
        <f>_xlfn.XLOOKUP(Table1[[#This Row],[Customer_ID]],Customers!$A$2:$A$30,Customers!$C$2:$C$30,"Not found")</f>
        <v>Pays full</v>
      </c>
    </row>
    <row r="173" spans="1:9">
      <c r="A173" s="3">
        <v>45704</v>
      </c>
      <c r="B173" t="s">
        <v>31</v>
      </c>
      <c r="C173" t="s">
        <v>8</v>
      </c>
      <c r="D173" s="4">
        <v>425</v>
      </c>
      <c r="E173" s="4"/>
      <c r="F173">
        <v>115</v>
      </c>
      <c r="H173" t="str">
        <f t="shared" si="2"/>
        <v>2025-02</v>
      </c>
      <c r="I173" t="str">
        <f>_xlfn.XLOOKUP(Table1[[#This Row],[Customer_ID]],Customers!$A$2:$A$30,Customers!$C$2:$C$30,"Not found")</f>
        <v>Pays full</v>
      </c>
    </row>
    <row r="174" spans="1:9">
      <c r="A174" s="3">
        <v>45705</v>
      </c>
      <c r="B174" t="s">
        <v>31</v>
      </c>
      <c r="C174" t="s">
        <v>8</v>
      </c>
      <c r="D174" s="4">
        <v>65</v>
      </c>
      <c r="E174" s="4"/>
      <c r="F174">
        <v>115</v>
      </c>
      <c r="H174" t="str">
        <f t="shared" si="2"/>
        <v>2025-02</v>
      </c>
      <c r="I174" t="str">
        <f>_xlfn.XLOOKUP(Table1[[#This Row],[Customer_ID]],Customers!$A$2:$A$30,Customers!$C$2:$C$30,"Not found")</f>
        <v>Pays full</v>
      </c>
    </row>
    <row r="175" spans="1:9">
      <c r="A175" s="3">
        <v>45706</v>
      </c>
      <c r="B175" t="s">
        <v>31</v>
      </c>
      <c r="C175" t="s">
        <v>8</v>
      </c>
      <c r="D175" s="4">
        <v>77</v>
      </c>
      <c r="E175" s="4"/>
      <c r="F175">
        <v>115</v>
      </c>
      <c r="H175" t="str">
        <f t="shared" si="2"/>
        <v>2025-02</v>
      </c>
      <c r="I175" t="str">
        <f>_xlfn.XLOOKUP(Table1[[#This Row],[Customer_ID]],Customers!$A$2:$A$30,Customers!$C$2:$C$30,"Not found")</f>
        <v>Pays full</v>
      </c>
    </row>
    <row r="176" spans="1:9">
      <c r="A176" s="3">
        <v>45708</v>
      </c>
      <c r="B176" t="s">
        <v>31</v>
      </c>
      <c r="C176" t="s">
        <v>8</v>
      </c>
      <c r="D176" s="4">
        <v>88</v>
      </c>
      <c r="E176" s="4"/>
      <c r="F176">
        <v>115</v>
      </c>
      <c r="H176" t="str">
        <f t="shared" si="2"/>
        <v>2025-02</v>
      </c>
      <c r="I176" t="str">
        <f>_xlfn.XLOOKUP(Table1[[#This Row],[Customer_ID]],Customers!$A$2:$A$30,Customers!$C$2:$C$30,"Not found")</f>
        <v>Pays full</v>
      </c>
    </row>
    <row r="177" spans="1:9">
      <c r="A177" s="3">
        <v>45709</v>
      </c>
      <c r="B177" t="s">
        <v>31</v>
      </c>
      <c r="C177" t="s">
        <v>8</v>
      </c>
      <c r="D177" s="4">
        <v>65</v>
      </c>
      <c r="E177" s="4"/>
      <c r="F177">
        <v>115</v>
      </c>
      <c r="H177" t="str">
        <f t="shared" si="2"/>
        <v>2025-02</v>
      </c>
      <c r="I177" t="str">
        <f>_xlfn.XLOOKUP(Table1[[#This Row],[Customer_ID]],Customers!$A$2:$A$30,Customers!$C$2:$C$30,"Not found")</f>
        <v>Pays full</v>
      </c>
    </row>
    <row r="178" spans="1:9">
      <c r="A178" s="3">
        <v>45709</v>
      </c>
      <c r="B178" t="s">
        <v>31</v>
      </c>
      <c r="C178" t="s">
        <v>8</v>
      </c>
      <c r="D178" s="4">
        <v>28</v>
      </c>
      <c r="E178" s="4"/>
      <c r="F178">
        <v>115</v>
      </c>
      <c r="H178" t="str">
        <f t="shared" si="2"/>
        <v>2025-02</v>
      </c>
      <c r="I178" t="str">
        <f>_xlfn.XLOOKUP(Table1[[#This Row],[Customer_ID]],Customers!$A$2:$A$30,Customers!$C$2:$C$30,"Not found")</f>
        <v>Pays full</v>
      </c>
    </row>
    <row r="179" spans="1:9">
      <c r="A179" s="3">
        <v>45710</v>
      </c>
      <c r="B179" t="s">
        <v>31</v>
      </c>
      <c r="C179" t="s">
        <v>8</v>
      </c>
      <c r="D179" s="4">
        <v>360</v>
      </c>
      <c r="E179" s="4"/>
      <c r="F179">
        <v>115</v>
      </c>
      <c r="H179" t="str">
        <f t="shared" si="2"/>
        <v>2025-02</v>
      </c>
      <c r="I179" t="str">
        <f>_xlfn.XLOOKUP(Table1[[#This Row],[Customer_ID]],Customers!$A$2:$A$30,Customers!$C$2:$C$30,"Not found")</f>
        <v>Pays full</v>
      </c>
    </row>
    <row r="180" spans="1:9">
      <c r="A180" s="3">
        <v>45710</v>
      </c>
      <c r="B180" t="s">
        <v>31</v>
      </c>
      <c r="C180" t="s">
        <v>8</v>
      </c>
      <c r="D180" s="4">
        <v>73</v>
      </c>
      <c r="E180" s="4"/>
      <c r="F180">
        <v>115</v>
      </c>
      <c r="H180" t="str">
        <f t="shared" si="2"/>
        <v>2025-02</v>
      </c>
      <c r="I180" t="str">
        <f>_xlfn.XLOOKUP(Table1[[#This Row],[Customer_ID]],Customers!$A$2:$A$30,Customers!$C$2:$C$30,"Not found")</f>
        <v>Pays full</v>
      </c>
    </row>
    <row r="181" spans="1:9">
      <c r="A181" s="3">
        <v>45711</v>
      </c>
      <c r="B181" t="s">
        <v>31</v>
      </c>
      <c r="C181" t="s">
        <v>8</v>
      </c>
      <c r="D181" s="4">
        <v>870</v>
      </c>
      <c r="E181" s="4"/>
      <c r="F181">
        <v>115</v>
      </c>
      <c r="G181" t="s">
        <v>42</v>
      </c>
      <c r="H181" t="str">
        <f t="shared" si="2"/>
        <v>2025-02</v>
      </c>
      <c r="I181" t="str">
        <f>_xlfn.XLOOKUP(Table1[[#This Row],[Customer_ID]],Customers!$A$2:$A$30,Customers!$C$2:$C$30,"Not found")</f>
        <v>Pays full</v>
      </c>
    </row>
    <row r="182" spans="1:9">
      <c r="A182" s="3">
        <v>45711</v>
      </c>
      <c r="B182" t="s">
        <v>31</v>
      </c>
      <c r="C182" t="s">
        <v>8</v>
      </c>
      <c r="D182" s="4">
        <v>28</v>
      </c>
      <c r="E182" s="4"/>
      <c r="F182">
        <v>115</v>
      </c>
      <c r="H182" t="str">
        <f t="shared" si="2"/>
        <v>2025-02</v>
      </c>
      <c r="I182" t="str">
        <f>_xlfn.XLOOKUP(Table1[[#This Row],[Customer_ID]],Customers!$A$2:$A$30,Customers!$C$2:$C$30,"Not found")</f>
        <v>Pays full</v>
      </c>
    </row>
    <row r="183" spans="1:9">
      <c r="A183" s="3">
        <v>45712</v>
      </c>
      <c r="B183" t="s">
        <v>31</v>
      </c>
      <c r="C183" t="s">
        <v>8</v>
      </c>
      <c r="D183" s="4">
        <v>175</v>
      </c>
      <c r="E183" s="4"/>
      <c r="F183">
        <v>115</v>
      </c>
      <c r="H183" t="str">
        <f t="shared" si="2"/>
        <v>2025-02</v>
      </c>
      <c r="I183" t="str">
        <f>_xlfn.XLOOKUP(Table1[[#This Row],[Customer_ID]],Customers!$A$2:$A$30,Customers!$C$2:$C$30,"Not found")</f>
        <v>Pays full</v>
      </c>
    </row>
    <row r="184" spans="1:9">
      <c r="A184" s="3">
        <v>45712</v>
      </c>
      <c r="B184" t="s">
        <v>31</v>
      </c>
      <c r="C184" t="s">
        <v>8</v>
      </c>
      <c r="D184" s="4">
        <v>28</v>
      </c>
      <c r="E184" s="4"/>
      <c r="F184">
        <v>115</v>
      </c>
      <c r="H184" t="str">
        <f t="shared" si="2"/>
        <v>2025-02</v>
      </c>
      <c r="I184" t="str">
        <f>_xlfn.XLOOKUP(Table1[[#This Row],[Customer_ID]],Customers!$A$2:$A$30,Customers!$C$2:$C$30,"Not found")</f>
        <v>Pays full</v>
      </c>
    </row>
    <row r="185" spans="1:9">
      <c r="A185" s="3">
        <v>45714</v>
      </c>
      <c r="B185" t="s">
        <v>31</v>
      </c>
      <c r="C185" t="s">
        <v>8</v>
      </c>
      <c r="D185" s="4">
        <v>158</v>
      </c>
      <c r="E185" s="4"/>
      <c r="F185">
        <v>115</v>
      </c>
      <c r="H185" t="str">
        <f t="shared" si="2"/>
        <v>2025-02</v>
      </c>
      <c r="I185" t="str">
        <f>_xlfn.XLOOKUP(Table1[[#This Row],[Customer_ID]],Customers!$A$2:$A$30,Customers!$C$2:$C$30,"Not found")</f>
        <v>Pays full</v>
      </c>
    </row>
    <row r="186" spans="1:9">
      <c r="A186" s="3">
        <v>45715</v>
      </c>
      <c r="B186" t="s">
        <v>31</v>
      </c>
      <c r="C186" t="s">
        <v>8</v>
      </c>
      <c r="D186" s="4">
        <v>94</v>
      </c>
      <c r="E186" s="4"/>
      <c r="F186">
        <v>115</v>
      </c>
      <c r="H186" t="str">
        <f t="shared" si="2"/>
        <v>2025-02</v>
      </c>
      <c r="I186" t="str">
        <f>_xlfn.XLOOKUP(Table1[[#This Row],[Customer_ID]],Customers!$A$2:$A$30,Customers!$C$2:$C$30,"Not found")</f>
        <v>Pays full</v>
      </c>
    </row>
    <row r="187" spans="1:9">
      <c r="A187" s="3">
        <v>45716</v>
      </c>
      <c r="B187" t="s">
        <v>31</v>
      </c>
      <c r="C187" t="s">
        <v>8</v>
      </c>
      <c r="D187" s="4">
        <v>28</v>
      </c>
      <c r="E187" s="4"/>
      <c r="F187">
        <v>115</v>
      </c>
      <c r="H187" t="str">
        <f t="shared" si="2"/>
        <v>2025-02</v>
      </c>
      <c r="I187" t="str">
        <f>_xlfn.XLOOKUP(Table1[[#This Row],[Customer_ID]],Customers!$A$2:$A$30,Customers!$C$2:$C$30,"Not found")</f>
        <v>Pays full</v>
      </c>
    </row>
    <row r="188" spans="1:9">
      <c r="A188" s="3">
        <v>45716</v>
      </c>
      <c r="B188" t="s">
        <v>31</v>
      </c>
      <c r="C188" t="s">
        <v>8</v>
      </c>
      <c r="D188" s="4">
        <v>70</v>
      </c>
      <c r="E188" s="4"/>
      <c r="F188">
        <v>115</v>
      </c>
      <c r="H188" t="str">
        <f t="shared" si="2"/>
        <v>2025-02</v>
      </c>
      <c r="I188" t="str">
        <f>_xlfn.XLOOKUP(Table1[[#This Row],[Customer_ID]],Customers!$A$2:$A$30,Customers!$C$2:$C$30,"Not found")</f>
        <v>Pays full</v>
      </c>
    </row>
    <row r="189" spans="1:9">
      <c r="A189" s="3">
        <v>45716</v>
      </c>
      <c r="B189" t="s">
        <v>31</v>
      </c>
      <c r="C189" t="s">
        <v>8</v>
      </c>
      <c r="D189" s="4">
        <v>48</v>
      </c>
      <c r="E189" s="4"/>
      <c r="F189">
        <v>115</v>
      </c>
      <c r="G189" t="s">
        <v>47</v>
      </c>
      <c r="H189" t="str">
        <f t="shared" si="2"/>
        <v>2025-02</v>
      </c>
      <c r="I189" t="str">
        <f>_xlfn.XLOOKUP(Table1[[#This Row],[Customer_ID]],Customers!$A$2:$A$30,Customers!$C$2:$C$30,"Not found")</f>
        <v>Pays full</v>
      </c>
    </row>
    <row r="190" spans="1:9">
      <c r="A190" s="3">
        <v>45716</v>
      </c>
      <c r="B190" t="s">
        <v>31</v>
      </c>
      <c r="C190" t="s">
        <v>22</v>
      </c>
      <c r="D190" s="4">
        <v>140</v>
      </c>
      <c r="E190" s="4"/>
      <c r="F190">
        <v>115</v>
      </c>
      <c r="G190" t="s">
        <v>48</v>
      </c>
      <c r="H190" t="str">
        <f t="shared" si="2"/>
        <v>2025-02</v>
      </c>
      <c r="I190" t="str">
        <f>_xlfn.XLOOKUP(Table1[[#This Row],[Customer_ID]],Customers!$A$2:$A$30,Customers!$C$2:$C$30,"Not found")</f>
        <v>Pays full</v>
      </c>
    </row>
    <row r="191" spans="1:9">
      <c r="A191" s="3"/>
      <c r="B191" t="s">
        <v>31</v>
      </c>
      <c r="C191" t="s">
        <v>14</v>
      </c>
      <c r="D191" s="4">
        <v>4681</v>
      </c>
      <c r="E191" s="4"/>
      <c r="F191">
        <v>115</v>
      </c>
      <c r="G191" t="s">
        <v>49</v>
      </c>
      <c r="H191" t="str">
        <f t="shared" si="2"/>
        <v/>
      </c>
      <c r="I191" t="str">
        <f>_xlfn.XLOOKUP(Table1[[#This Row],[Customer_ID]],Customers!$A$2:$A$30,Customers!$C$2:$C$30,"Not found")</f>
        <v>Pays full</v>
      </c>
    </row>
    <row r="192" spans="1:9">
      <c r="A192" s="3">
        <v>45717</v>
      </c>
      <c r="B192" t="s">
        <v>31</v>
      </c>
      <c r="C192" t="s">
        <v>8</v>
      </c>
      <c r="D192" s="4">
        <v>112</v>
      </c>
      <c r="E192" s="4"/>
      <c r="F192">
        <v>115</v>
      </c>
      <c r="H192" t="str">
        <f t="shared" si="2"/>
        <v>2025-03</v>
      </c>
      <c r="I192" t="str">
        <f>_xlfn.XLOOKUP(Table1[[#This Row],[Customer_ID]],Customers!$A$2:$A$30,Customers!$C$2:$C$30,"Not found")</f>
        <v>Pays full</v>
      </c>
    </row>
    <row r="193" spans="1:9">
      <c r="A193" s="3">
        <v>45717</v>
      </c>
      <c r="B193" t="s">
        <v>31</v>
      </c>
      <c r="C193" t="s">
        <v>8</v>
      </c>
      <c r="D193" s="4">
        <v>188</v>
      </c>
      <c r="E193" s="4"/>
      <c r="F193">
        <v>115</v>
      </c>
      <c r="G193" t="s">
        <v>50</v>
      </c>
      <c r="H193" t="str">
        <f t="shared" si="2"/>
        <v>2025-03</v>
      </c>
      <c r="I193" t="str">
        <f>_xlfn.XLOOKUP(Table1[[#This Row],[Customer_ID]],Customers!$A$2:$A$30,Customers!$C$2:$C$30,"Not found")</f>
        <v>Pays full</v>
      </c>
    </row>
    <row r="194" spans="1:9">
      <c r="A194" s="3">
        <v>45718</v>
      </c>
      <c r="B194" t="s">
        <v>31</v>
      </c>
      <c r="C194" t="s">
        <v>8</v>
      </c>
      <c r="D194" s="4">
        <v>60</v>
      </c>
      <c r="E194" s="4"/>
      <c r="F194">
        <v>115</v>
      </c>
      <c r="H194" t="str">
        <f t="shared" si="2"/>
        <v>2025-03</v>
      </c>
      <c r="I194" t="str">
        <f>_xlfn.XLOOKUP(Table1[[#This Row],[Customer_ID]],Customers!$A$2:$A$30,Customers!$C$2:$C$30,"Not found")</f>
        <v>Pays full</v>
      </c>
    </row>
    <row r="195" spans="1:9">
      <c r="A195" s="3">
        <v>45719</v>
      </c>
      <c r="B195" t="s">
        <v>31</v>
      </c>
      <c r="C195" t="s">
        <v>8</v>
      </c>
      <c r="D195" s="4">
        <v>243</v>
      </c>
      <c r="E195" s="4"/>
      <c r="F195">
        <v>115</v>
      </c>
      <c r="H195" t="str">
        <f t="shared" ref="H195:H258" si="3">IF(A195="","",TEXT(A195,"yyyy-mm"))</f>
        <v>2025-03</v>
      </c>
      <c r="I195" t="str">
        <f>_xlfn.XLOOKUP(Table1[[#This Row],[Customer_ID]],Customers!$A$2:$A$30,Customers!$C$2:$C$30,"Not found")</f>
        <v>Pays full</v>
      </c>
    </row>
    <row r="196" spans="1:9">
      <c r="A196" s="3">
        <v>45719</v>
      </c>
      <c r="B196" t="s">
        <v>31</v>
      </c>
      <c r="C196" t="s">
        <v>8</v>
      </c>
      <c r="D196" s="4">
        <v>28</v>
      </c>
      <c r="E196" s="4"/>
      <c r="F196">
        <v>115</v>
      </c>
      <c r="H196" t="str">
        <f t="shared" si="3"/>
        <v>2025-03</v>
      </c>
      <c r="I196" t="str">
        <f>_xlfn.XLOOKUP(Table1[[#This Row],[Customer_ID]],Customers!$A$2:$A$30,Customers!$C$2:$C$30,"Not found")</f>
        <v>Pays full</v>
      </c>
    </row>
    <row r="197" spans="1:9">
      <c r="A197" s="3">
        <v>45720</v>
      </c>
      <c r="B197" t="s">
        <v>31</v>
      </c>
      <c r="C197" t="s">
        <v>8</v>
      </c>
      <c r="D197" s="4">
        <v>28</v>
      </c>
      <c r="E197" s="4"/>
      <c r="F197">
        <v>115</v>
      </c>
      <c r="H197" t="str">
        <f t="shared" si="3"/>
        <v>2025-03</v>
      </c>
      <c r="I197" t="str">
        <f>_xlfn.XLOOKUP(Table1[[#This Row],[Customer_ID]],Customers!$A$2:$A$30,Customers!$C$2:$C$30,"Not found")</f>
        <v>Pays full</v>
      </c>
    </row>
    <row r="198" spans="1:9">
      <c r="A198" s="3">
        <v>45721</v>
      </c>
      <c r="B198" t="s">
        <v>31</v>
      </c>
      <c r="C198" t="s">
        <v>8</v>
      </c>
      <c r="D198" s="4">
        <v>120</v>
      </c>
      <c r="E198" s="4"/>
      <c r="F198">
        <v>115</v>
      </c>
      <c r="H198" t="str">
        <f t="shared" si="3"/>
        <v>2025-03</v>
      </c>
      <c r="I198" t="str">
        <f>_xlfn.XLOOKUP(Table1[[#This Row],[Customer_ID]],Customers!$A$2:$A$30,Customers!$C$2:$C$30,"Not found")</f>
        <v>Pays full</v>
      </c>
    </row>
    <row r="199" spans="1:9">
      <c r="A199" s="3">
        <v>45721</v>
      </c>
      <c r="B199" t="s">
        <v>31</v>
      </c>
      <c r="C199" t="s">
        <v>8</v>
      </c>
      <c r="D199" s="4">
        <v>48</v>
      </c>
      <c r="E199" s="4"/>
      <c r="F199">
        <v>115</v>
      </c>
      <c r="H199" t="str">
        <f t="shared" si="3"/>
        <v>2025-03</v>
      </c>
      <c r="I199" t="str">
        <f>_xlfn.XLOOKUP(Table1[[#This Row],[Customer_ID]],Customers!$A$2:$A$30,Customers!$C$2:$C$30,"Not found")</f>
        <v>Pays full</v>
      </c>
    </row>
    <row r="200" spans="1:9">
      <c r="A200" s="3">
        <v>45723</v>
      </c>
      <c r="B200" t="s">
        <v>31</v>
      </c>
      <c r="C200" t="s">
        <v>8</v>
      </c>
      <c r="D200" s="4">
        <v>280</v>
      </c>
      <c r="E200" s="4"/>
      <c r="F200">
        <v>115</v>
      </c>
      <c r="H200" t="str">
        <f t="shared" si="3"/>
        <v>2025-03</v>
      </c>
      <c r="I200" t="str">
        <f>_xlfn.XLOOKUP(Table1[[#This Row],[Customer_ID]],Customers!$A$2:$A$30,Customers!$C$2:$C$30,"Not found")</f>
        <v>Pays full</v>
      </c>
    </row>
    <row r="201" spans="1:9">
      <c r="A201" s="3">
        <v>45727</v>
      </c>
      <c r="B201" t="s">
        <v>31</v>
      </c>
      <c r="C201" t="s">
        <v>8</v>
      </c>
      <c r="D201" s="4">
        <v>182</v>
      </c>
      <c r="E201" s="4"/>
      <c r="F201">
        <v>115</v>
      </c>
      <c r="H201" t="str">
        <f t="shared" si="3"/>
        <v>2025-03</v>
      </c>
      <c r="I201" t="str">
        <f>_xlfn.XLOOKUP(Table1[[#This Row],[Customer_ID]],Customers!$A$2:$A$30,Customers!$C$2:$C$30,"Not found")</f>
        <v>Pays full</v>
      </c>
    </row>
    <row r="202" spans="1:9">
      <c r="A202" s="3">
        <v>45727</v>
      </c>
      <c r="B202" t="s">
        <v>31</v>
      </c>
      <c r="C202" t="s">
        <v>8</v>
      </c>
      <c r="D202" s="4">
        <v>227</v>
      </c>
      <c r="E202" s="4"/>
      <c r="F202">
        <v>115</v>
      </c>
      <c r="H202" t="str">
        <f t="shared" si="3"/>
        <v>2025-03</v>
      </c>
      <c r="I202" t="str">
        <f>_xlfn.XLOOKUP(Table1[[#This Row],[Customer_ID]],Customers!$A$2:$A$30,Customers!$C$2:$C$30,"Not found")</f>
        <v>Pays full</v>
      </c>
    </row>
    <row r="203" spans="1:9">
      <c r="A203" s="3">
        <v>45729</v>
      </c>
      <c r="B203" t="s">
        <v>31</v>
      </c>
      <c r="C203" t="s">
        <v>8</v>
      </c>
      <c r="D203" s="4">
        <v>355</v>
      </c>
      <c r="E203" s="4"/>
      <c r="F203">
        <v>115</v>
      </c>
      <c r="H203" t="str">
        <f t="shared" si="3"/>
        <v>2025-03</v>
      </c>
      <c r="I203" t="str">
        <f>_xlfn.XLOOKUP(Table1[[#This Row],[Customer_ID]],Customers!$A$2:$A$30,Customers!$C$2:$C$30,"Not found")</f>
        <v>Pays full</v>
      </c>
    </row>
    <row r="204" spans="1:9">
      <c r="A204" s="3">
        <v>45731</v>
      </c>
      <c r="B204" t="s">
        <v>31</v>
      </c>
      <c r="C204" t="s">
        <v>8</v>
      </c>
      <c r="D204" s="4">
        <v>30</v>
      </c>
      <c r="E204" s="4"/>
      <c r="F204">
        <v>115</v>
      </c>
      <c r="G204" t="s">
        <v>51</v>
      </c>
      <c r="H204" t="str">
        <f t="shared" si="3"/>
        <v>2025-03</v>
      </c>
      <c r="I204" t="str">
        <f>_xlfn.XLOOKUP(Table1[[#This Row],[Customer_ID]],Customers!$A$2:$A$30,Customers!$C$2:$C$30,"Not found")</f>
        <v>Pays full</v>
      </c>
    </row>
    <row r="205" spans="1:9">
      <c r="A205" s="3">
        <v>45732</v>
      </c>
      <c r="B205" t="s">
        <v>31</v>
      </c>
      <c r="C205" t="s">
        <v>8</v>
      </c>
      <c r="D205" s="4">
        <v>10</v>
      </c>
      <c r="E205" s="4"/>
      <c r="F205">
        <v>115</v>
      </c>
      <c r="H205" t="str">
        <f t="shared" si="3"/>
        <v>2025-03</v>
      </c>
      <c r="I205" t="str">
        <f>_xlfn.XLOOKUP(Table1[[#This Row],[Customer_ID]],Customers!$A$2:$A$30,Customers!$C$2:$C$30,"Not found")</f>
        <v>Pays full</v>
      </c>
    </row>
    <row r="206" spans="1:9">
      <c r="A206" s="3">
        <v>45731</v>
      </c>
      <c r="B206" t="s">
        <v>31</v>
      </c>
      <c r="C206" t="s">
        <v>8</v>
      </c>
      <c r="D206" s="4">
        <v>373</v>
      </c>
      <c r="E206" s="4"/>
      <c r="F206">
        <v>115</v>
      </c>
      <c r="H206" t="str">
        <f t="shared" si="3"/>
        <v>2025-03</v>
      </c>
      <c r="I206" t="str">
        <f>_xlfn.XLOOKUP(Table1[[#This Row],[Customer_ID]],Customers!$A$2:$A$30,Customers!$C$2:$C$30,"Not found")</f>
        <v>Pays full</v>
      </c>
    </row>
    <row r="207" spans="1:9">
      <c r="A207" s="3">
        <v>45734</v>
      </c>
      <c r="B207" t="s">
        <v>31</v>
      </c>
      <c r="C207" t="s">
        <v>8</v>
      </c>
      <c r="D207" s="4">
        <v>30</v>
      </c>
      <c r="E207" s="4"/>
      <c r="F207">
        <v>115</v>
      </c>
      <c r="H207" t="str">
        <f t="shared" si="3"/>
        <v>2025-03</v>
      </c>
      <c r="I207" t="str">
        <f>_xlfn.XLOOKUP(Table1[[#This Row],[Customer_ID]],Customers!$A$2:$A$30,Customers!$C$2:$C$30,"Not found")</f>
        <v>Pays full</v>
      </c>
    </row>
    <row r="208" spans="1:9">
      <c r="A208" s="3">
        <v>45732</v>
      </c>
      <c r="B208" t="s">
        <v>31</v>
      </c>
      <c r="C208" t="s">
        <v>8</v>
      </c>
      <c r="D208" s="4">
        <v>280</v>
      </c>
      <c r="E208" s="4"/>
      <c r="F208">
        <v>115</v>
      </c>
      <c r="H208" t="str">
        <f t="shared" si="3"/>
        <v>2025-03</v>
      </c>
      <c r="I208" t="str">
        <f>_xlfn.XLOOKUP(Table1[[#This Row],[Customer_ID]],Customers!$A$2:$A$30,Customers!$C$2:$C$30,"Not found")</f>
        <v>Pays full</v>
      </c>
    </row>
    <row r="209" spans="1:9">
      <c r="A209" s="3">
        <v>45732</v>
      </c>
      <c r="B209" t="s">
        <v>31</v>
      </c>
      <c r="C209" t="s">
        <v>8</v>
      </c>
      <c r="D209" s="4">
        <v>121</v>
      </c>
      <c r="E209" s="4"/>
      <c r="F209">
        <v>115</v>
      </c>
      <c r="H209" t="str">
        <f t="shared" si="3"/>
        <v>2025-03</v>
      </c>
      <c r="I209" t="str">
        <f>_xlfn.XLOOKUP(Table1[[#This Row],[Customer_ID]],Customers!$A$2:$A$30,Customers!$C$2:$C$30,"Not found")</f>
        <v>Pays full</v>
      </c>
    </row>
    <row r="210" spans="1:9">
      <c r="A210" s="3">
        <v>45733</v>
      </c>
      <c r="B210" t="s">
        <v>31</v>
      </c>
      <c r="C210" t="s">
        <v>8</v>
      </c>
      <c r="D210" s="4">
        <v>50</v>
      </c>
      <c r="E210" s="4"/>
      <c r="F210">
        <v>115</v>
      </c>
      <c r="H210" t="str">
        <f t="shared" si="3"/>
        <v>2025-03</v>
      </c>
      <c r="I210" t="str">
        <f>_xlfn.XLOOKUP(Table1[[#This Row],[Customer_ID]],Customers!$A$2:$A$30,Customers!$C$2:$C$30,"Not found")</f>
        <v>Pays full</v>
      </c>
    </row>
    <row r="211" spans="1:9">
      <c r="A211" s="3">
        <v>45734</v>
      </c>
      <c r="B211" t="s">
        <v>31</v>
      </c>
      <c r="C211" t="s">
        <v>8</v>
      </c>
      <c r="D211" s="4">
        <v>285</v>
      </c>
      <c r="E211" s="4"/>
      <c r="F211">
        <v>115</v>
      </c>
      <c r="H211" t="str">
        <f t="shared" si="3"/>
        <v>2025-03</v>
      </c>
      <c r="I211" t="str">
        <f>_xlfn.XLOOKUP(Table1[[#This Row],[Customer_ID]],Customers!$A$2:$A$30,Customers!$C$2:$C$30,"Not found")</f>
        <v>Pays full</v>
      </c>
    </row>
    <row r="212" spans="1:9">
      <c r="A212" s="3">
        <v>45735</v>
      </c>
      <c r="B212" t="s">
        <v>31</v>
      </c>
      <c r="C212" t="s">
        <v>8</v>
      </c>
      <c r="D212" s="4">
        <v>110</v>
      </c>
      <c r="E212" s="4"/>
      <c r="F212">
        <v>115</v>
      </c>
      <c r="G212" t="s">
        <v>52</v>
      </c>
      <c r="H212" t="str">
        <f t="shared" si="3"/>
        <v>2025-03</v>
      </c>
      <c r="I212" t="str">
        <f>_xlfn.XLOOKUP(Table1[[#This Row],[Customer_ID]],Customers!$A$2:$A$30,Customers!$C$2:$C$30,"Not found")</f>
        <v>Pays full</v>
      </c>
    </row>
    <row r="213" spans="1:9">
      <c r="A213" s="3">
        <v>45736</v>
      </c>
      <c r="B213" t="s">
        <v>31</v>
      </c>
      <c r="C213" t="s">
        <v>8</v>
      </c>
      <c r="D213" s="4">
        <v>30</v>
      </c>
      <c r="E213" s="4"/>
      <c r="F213">
        <v>115</v>
      </c>
      <c r="H213" t="str">
        <f t="shared" si="3"/>
        <v>2025-03</v>
      </c>
      <c r="I213" t="str">
        <f>_xlfn.XLOOKUP(Table1[[#This Row],[Customer_ID]],Customers!$A$2:$A$30,Customers!$C$2:$C$30,"Not found")</f>
        <v>Pays full</v>
      </c>
    </row>
    <row r="214" spans="1:9">
      <c r="A214" s="3">
        <v>45737</v>
      </c>
      <c r="B214" t="s">
        <v>31</v>
      </c>
      <c r="C214" t="s">
        <v>8</v>
      </c>
      <c r="D214" s="4">
        <v>309</v>
      </c>
      <c r="E214" s="4"/>
      <c r="F214">
        <v>115</v>
      </c>
      <c r="H214" t="str">
        <f t="shared" si="3"/>
        <v>2025-03</v>
      </c>
      <c r="I214" t="str">
        <f>_xlfn.XLOOKUP(Table1[[#This Row],[Customer_ID]],Customers!$A$2:$A$30,Customers!$C$2:$C$30,"Not found")</f>
        <v>Pays full</v>
      </c>
    </row>
    <row r="215" spans="1:9">
      <c r="A215" s="3">
        <v>45737</v>
      </c>
      <c r="B215" t="s">
        <v>31</v>
      </c>
      <c r="C215" t="s">
        <v>8</v>
      </c>
      <c r="D215" s="4">
        <v>192</v>
      </c>
      <c r="E215" s="4"/>
      <c r="F215">
        <v>115</v>
      </c>
      <c r="H215" t="str">
        <f t="shared" si="3"/>
        <v>2025-03</v>
      </c>
      <c r="I215" t="str">
        <f>_xlfn.XLOOKUP(Table1[[#This Row],[Customer_ID]],Customers!$A$2:$A$30,Customers!$C$2:$C$30,"Not found")</f>
        <v>Pays full</v>
      </c>
    </row>
    <row r="216" spans="1:9">
      <c r="A216" s="3">
        <v>45738</v>
      </c>
      <c r="B216" t="s">
        <v>31</v>
      </c>
      <c r="C216" t="s">
        <v>8</v>
      </c>
      <c r="D216" s="4">
        <v>38</v>
      </c>
      <c r="E216" s="4"/>
      <c r="F216">
        <v>115</v>
      </c>
      <c r="H216" t="str">
        <f t="shared" si="3"/>
        <v>2025-03</v>
      </c>
      <c r="I216" t="str">
        <f>_xlfn.XLOOKUP(Table1[[#This Row],[Customer_ID]],Customers!$A$2:$A$30,Customers!$C$2:$C$30,"Not found")</f>
        <v>Pays full</v>
      </c>
    </row>
    <row r="217" spans="1:9">
      <c r="A217" s="3">
        <v>45739</v>
      </c>
      <c r="B217" t="s">
        <v>31</v>
      </c>
      <c r="C217" t="s">
        <v>8</v>
      </c>
      <c r="D217" s="4">
        <v>27</v>
      </c>
      <c r="E217" s="4"/>
      <c r="F217">
        <v>115</v>
      </c>
      <c r="H217" t="str">
        <f t="shared" si="3"/>
        <v>2025-03</v>
      </c>
      <c r="I217" t="str">
        <f>_xlfn.XLOOKUP(Table1[[#This Row],[Customer_ID]],Customers!$A$2:$A$30,Customers!$C$2:$C$30,"Not found")</f>
        <v>Pays full</v>
      </c>
    </row>
    <row r="218" spans="1:9">
      <c r="A218" s="3">
        <v>45740</v>
      </c>
      <c r="B218" t="s">
        <v>31</v>
      </c>
      <c r="C218" t="s">
        <v>8</v>
      </c>
      <c r="D218" s="4">
        <v>79</v>
      </c>
      <c r="E218" s="4"/>
      <c r="F218">
        <v>115</v>
      </c>
      <c r="H218" t="str">
        <f t="shared" si="3"/>
        <v>2025-03</v>
      </c>
      <c r="I218" t="str">
        <f>_xlfn.XLOOKUP(Table1[[#This Row],[Customer_ID]],Customers!$A$2:$A$30,Customers!$C$2:$C$30,"Not found")</f>
        <v>Pays full</v>
      </c>
    </row>
    <row r="219" spans="1:9">
      <c r="A219" s="3">
        <v>45741</v>
      </c>
      <c r="B219" t="s">
        <v>31</v>
      </c>
      <c r="C219" t="s">
        <v>8</v>
      </c>
      <c r="D219" s="4">
        <v>58</v>
      </c>
      <c r="E219" s="4"/>
      <c r="F219">
        <v>115</v>
      </c>
      <c r="H219" t="str">
        <f t="shared" si="3"/>
        <v>2025-03</v>
      </c>
      <c r="I219" t="str">
        <f>_xlfn.XLOOKUP(Table1[[#This Row],[Customer_ID]],Customers!$A$2:$A$30,Customers!$C$2:$C$30,"Not found")</f>
        <v>Pays full</v>
      </c>
    </row>
    <row r="220" spans="1:9">
      <c r="A220" s="3">
        <v>45742</v>
      </c>
      <c r="B220" t="s">
        <v>31</v>
      </c>
      <c r="C220" t="s">
        <v>8</v>
      </c>
      <c r="D220" s="4">
        <v>73</v>
      </c>
      <c r="E220" s="4"/>
      <c r="F220">
        <v>115</v>
      </c>
      <c r="H220" t="str">
        <f t="shared" si="3"/>
        <v>2025-03</v>
      </c>
      <c r="I220" t="str">
        <f>_xlfn.XLOOKUP(Table1[[#This Row],[Customer_ID]],Customers!$A$2:$A$30,Customers!$C$2:$C$30,"Not found")</f>
        <v>Pays full</v>
      </c>
    </row>
    <row r="221" spans="1:9">
      <c r="A221" s="3">
        <v>45743</v>
      </c>
      <c r="B221" t="s">
        <v>31</v>
      </c>
      <c r="C221" t="s">
        <v>8</v>
      </c>
      <c r="D221" s="4">
        <v>10</v>
      </c>
      <c r="E221" s="4"/>
      <c r="F221">
        <v>115</v>
      </c>
      <c r="H221" t="str">
        <f t="shared" si="3"/>
        <v>2025-03</v>
      </c>
      <c r="I221" t="str">
        <f>_xlfn.XLOOKUP(Table1[[#This Row],[Customer_ID]],Customers!$A$2:$A$30,Customers!$C$2:$C$30,"Not found")</f>
        <v>Pays full</v>
      </c>
    </row>
    <row r="222" spans="1:9">
      <c r="A222" s="3">
        <v>45743</v>
      </c>
      <c r="B222" t="s">
        <v>31</v>
      </c>
      <c r="C222" t="s">
        <v>8</v>
      </c>
      <c r="D222" s="4">
        <v>60</v>
      </c>
      <c r="E222" s="4"/>
      <c r="F222">
        <v>115</v>
      </c>
      <c r="H222" t="str">
        <f t="shared" si="3"/>
        <v>2025-03</v>
      </c>
      <c r="I222" t="str">
        <f>_xlfn.XLOOKUP(Table1[[#This Row],[Customer_ID]],Customers!$A$2:$A$30,Customers!$C$2:$C$30,"Not found")</f>
        <v>Pays full</v>
      </c>
    </row>
    <row r="223" spans="1:9">
      <c r="A223" s="3">
        <v>45744</v>
      </c>
      <c r="B223" t="s">
        <v>31</v>
      </c>
      <c r="C223" t="s">
        <v>8</v>
      </c>
      <c r="D223" s="4">
        <v>25</v>
      </c>
      <c r="E223" s="4"/>
      <c r="F223">
        <v>115</v>
      </c>
      <c r="H223" t="str">
        <f t="shared" si="3"/>
        <v>2025-03</v>
      </c>
      <c r="I223" t="str">
        <f>_xlfn.XLOOKUP(Table1[[#This Row],[Customer_ID]],Customers!$A$2:$A$30,Customers!$C$2:$C$30,"Not found")</f>
        <v>Pays full</v>
      </c>
    </row>
    <row r="224" spans="1:9">
      <c r="A224" s="3">
        <v>45745</v>
      </c>
      <c r="B224" t="s">
        <v>31</v>
      </c>
      <c r="C224" t="s">
        <v>8</v>
      </c>
      <c r="D224" s="4">
        <v>152</v>
      </c>
      <c r="E224" s="4"/>
      <c r="F224">
        <v>115</v>
      </c>
      <c r="H224" t="str">
        <f t="shared" si="3"/>
        <v>2025-03</v>
      </c>
      <c r="I224" t="str">
        <f>_xlfn.XLOOKUP(Table1[[#This Row],[Customer_ID]],Customers!$A$2:$A$30,Customers!$C$2:$C$30,"Not found")</f>
        <v>Pays full</v>
      </c>
    </row>
    <row r="225" spans="1:9">
      <c r="A225" s="3">
        <v>45746</v>
      </c>
      <c r="B225" t="s">
        <v>31</v>
      </c>
      <c r="C225" t="s">
        <v>8</v>
      </c>
      <c r="D225" s="4">
        <v>98</v>
      </c>
      <c r="E225" s="4"/>
      <c r="F225">
        <v>115</v>
      </c>
      <c r="H225" t="str">
        <f t="shared" si="3"/>
        <v>2025-03</v>
      </c>
      <c r="I225" t="str">
        <f>_xlfn.XLOOKUP(Table1[[#This Row],[Customer_ID]],Customers!$A$2:$A$30,Customers!$C$2:$C$30,"Not found")</f>
        <v>Pays full</v>
      </c>
    </row>
    <row r="226" spans="1:9">
      <c r="A226" s="3">
        <v>45746</v>
      </c>
      <c r="B226" t="s">
        <v>31</v>
      </c>
      <c r="C226" t="s">
        <v>8</v>
      </c>
      <c r="D226" s="4">
        <v>400</v>
      </c>
      <c r="E226" s="4"/>
      <c r="F226">
        <v>115</v>
      </c>
      <c r="G226" t="s">
        <v>53</v>
      </c>
      <c r="H226" t="str">
        <f t="shared" si="3"/>
        <v>2025-03</v>
      </c>
      <c r="I226" t="str">
        <f>_xlfn.XLOOKUP(Table1[[#This Row],[Customer_ID]],Customers!$A$2:$A$30,Customers!$C$2:$C$30,"Not found")</f>
        <v>Pays full</v>
      </c>
    </row>
    <row r="227" spans="1:9">
      <c r="A227" s="3"/>
      <c r="B227" t="s">
        <v>31</v>
      </c>
      <c r="C227" t="s">
        <v>14</v>
      </c>
      <c r="D227" s="4">
        <v>4700</v>
      </c>
      <c r="E227" s="4"/>
      <c r="F227">
        <v>115</v>
      </c>
      <c r="G227" t="s">
        <v>54</v>
      </c>
      <c r="H227" t="str">
        <f t="shared" si="3"/>
        <v/>
      </c>
      <c r="I227" t="str">
        <f>_xlfn.XLOOKUP(Table1[[#This Row],[Customer_ID]],Customers!$A$2:$A$30,Customers!$C$2:$C$30,"Not found")</f>
        <v>Pays full</v>
      </c>
    </row>
    <row r="228" spans="1:9">
      <c r="A228" s="3">
        <v>45746</v>
      </c>
      <c r="B228" t="s">
        <v>31</v>
      </c>
      <c r="C228" t="s">
        <v>22</v>
      </c>
      <c r="D228" s="4">
        <v>-11</v>
      </c>
      <c r="E228" s="4"/>
      <c r="F228">
        <v>115</v>
      </c>
      <c r="G228" t="s">
        <v>55</v>
      </c>
      <c r="H228" t="str">
        <f t="shared" si="3"/>
        <v>2025-03</v>
      </c>
      <c r="I228" t="str">
        <f>_xlfn.XLOOKUP(Table1[[#This Row],[Customer_ID]],Customers!$A$2:$A$30,Customers!$C$2:$C$30,"Not found")</f>
        <v>Pays full</v>
      </c>
    </row>
    <row r="229" spans="1:9">
      <c r="A229" s="3">
        <v>45749</v>
      </c>
      <c r="B229" t="s">
        <v>31</v>
      </c>
      <c r="C229" t="s">
        <v>8</v>
      </c>
      <c r="D229" s="4">
        <v>150</v>
      </c>
      <c r="E229" s="4"/>
      <c r="F229">
        <v>115</v>
      </c>
      <c r="H229" t="str">
        <f t="shared" si="3"/>
        <v>2025-04</v>
      </c>
      <c r="I229" t="str">
        <f>_xlfn.XLOOKUP(Table1[[#This Row],[Customer_ID]],Customers!$A$2:$A$30,Customers!$C$2:$C$30,"Not found")</f>
        <v>Pays full</v>
      </c>
    </row>
    <row r="230" spans="1:9">
      <c r="A230" s="3">
        <v>45750</v>
      </c>
      <c r="B230" t="s">
        <v>31</v>
      </c>
      <c r="C230" t="s">
        <v>8</v>
      </c>
      <c r="D230" s="4">
        <v>46</v>
      </c>
      <c r="E230" s="4"/>
      <c r="F230">
        <v>115</v>
      </c>
      <c r="H230" t="str">
        <f t="shared" si="3"/>
        <v>2025-04</v>
      </c>
      <c r="I230" t="str">
        <f>_xlfn.XLOOKUP(Table1[[#This Row],[Customer_ID]],Customers!$A$2:$A$30,Customers!$C$2:$C$30,"Not found")</f>
        <v>Pays full</v>
      </c>
    </row>
    <row r="231" spans="1:9">
      <c r="A231" s="3">
        <v>45751</v>
      </c>
      <c r="B231" t="s">
        <v>31</v>
      </c>
      <c r="C231" t="s">
        <v>8</v>
      </c>
      <c r="D231" s="4">
        <v>5</v>
      </c>
      <c r="E231" s="4"/>
      <c r="F231">
        <v>115</v>
      </c>
      <c r="G231" t="s">
        <v>56</v>
      </c>
      <c r="H231" t="str">
        <f t="shared" si="3"/>
        <v>2025-04</v>
      </c>
      <c r="I231" t="str">
        <f>_xlfn.XLOOKUP(Table1[[#This Row],[Customer_ID]],Customers!$A$2:$A$30,Customers!$C$2:$C$30,"Not found")</f>
        <v>Pays full</v>
      </c>
    </row>
    <row r="232" spans="1:9">
      <c r="A232" s="3">
        <v>45752</v>
      </c>
      <c r="B232" t="s">
        <v>31</v>
      </c>
      <c r="C232" t="s">
        <v>8</v>
      </c>
      <c r="D232" s="4">
        <v>172</v>
      </c>
      <c r="E232" s="4"/>
      <c r="F232">
        <v>115</v>
      </c>
      <c r="H232" t="str">
        <f t="shared" si="3"/>
        <v>2025-04</v>
      </c>
      <c r="I232" t="str">
        <f>_xlfn.XLOOKUP(Table1[[#This Row],[Customer_ID]],Customers!$A$2:$A$30,Customers!$C$2:$C$30,"Not found")</f>
        <v>Pays full</v>
      </c>
    </row>
    <row r="233" spans="1:9">
      <c r="A233" s="3">
        <v>45752</v>
      </c>
      <c r="B233" t="s">
        <v>31</v>
      </c>
      <c r="C233" t="s">
        <v>8</v>
      </c>
      <c r="D233" s="4">
        <v>79</v>
      </c>
      <c r="E233" s="4"/>
      <c r="F233">
        <v>115</v>
      </c>
      <c r="G233" t="s">
        <v>57</v>
      </c>
      <c r="H233" t="str">
        <f t="shared" si="3"/>
        <v>2025-04</v>
      </c>
      <c r="I233" t="str">
        <f>_xlfn.XLOOKUP(Table1[[#This Row],[Customer_ID]],Customers!$A$2:$A$30,Customers!$C$2:$C$30,"Not found")</f>
        <v>Pays full</v>
      </c>
    </row>
    <row r="234" spans="1:9">
      <c r="A234" s="3">
        <v>45753</v>
      </c>
      <c r="B234" t="s">
        <v>31</v>
      </c>
      <c r="C234" t="s">
        <v>8</v>
      </c>
      <c r="D234" s="4">
        <v>244</v>
      </c>
      <c r="E234" s="4"/>
      <c r="F234">
        <v>115</v>
      </c>
      <c r="H234" t="str">
        <f t="shared" si="3"/>
        <v>2025-04</v>
      </c>
      <c r="I234" t="str">
        <f>_xlfn.XLOOKUP(Table1[[#This Row],[Customer_ID]],Customers!$A$2:$A$30,Customers!$C$2:$C$30,"Not found")</f>
        <v>Pays full</v>
      </c>
    </row>
    <row r="235" spans="1:9">
      <c r="A235" s="3">
        <v>45754</v>
      </c>
      <c r="B235" t="s">
        <v>31</v>
      </c>
      <c r="C235" t="s">
        <v>8</v>
      </c>
      <c r="D235" s="4">
        <v>59</v>
      </c>
      <c r="E235" s="4"/>
      <c r="F235">
        <v>115</v>
      </c>
      <c r="H235" t="str">
        <f t="shared" si="3"/>
        <v>2025-04</v>
      </c>
      <c r="I235" t="str">
        <f>_xlfn.XLOOKUP(Table1[[#This Row],[Customer_ID]],Customers!$A$2:$A$30,Customers!$C$2:$C$30,"Not found")</f>
        <v>Pays full</v>
      </c>
    </row>
    <row r="236" spans="1:9">
      <c r="A236" s="3">
        <v>45755</v>
      </c>
      <c r="B236" t="s">
        <v>31</v>
      </c>
      <c r="C236" t="s">
        <v>8</v>
      </c>
      <c r="D236" s="4">
        <v>181</v>
      </c>
      <c r="E236" s="4"/>
      <c r="F236">
        <v>115</v>
      </c>
      <c r="H236" t="str">
        <f t="shared" si="3"/>
        <v>2025-04</v>
      </c>
      <c r="I236" t="str">
        <f>_xlfn.XLOOKUP(Table1[[#This Row],[Customer_ID]],Customers!$A$2:$A$30,Customers!$C$2:$C$30,"Not found")</f>
        <v>Pays full</v>
      </c>
    </row>
    <row r="237" spans="1:9">
      <c r="A237" s="3">
        <v>45756</v>
      </c>
      <c r="B237" t="s">
        <v>31</v>
      </c>
      <c r="C237" t="s">
        <v>8</v>
      </c>
      <c r="D237" s="4">
        <v>34</v>
      </c>
      <c r="E237" s="4"/>
      <c r="F237">
        <v>115</v>
      </c>
      <c r="H237" t="str">
        <f t="shared" si="3"/>
        <v>2025-04</v>
      </c>
      <c r="I237" t="str">
        <f>_xlfn.XLOOKUP(Table1[[#This Row],[Customer_ID]],Customers!$A$2:$A$30,Customers!$C$2:$C$30,"Not found")</f>
        <v>Pays full</v>
      </c>
    </row>
    <row r="238" spans="1:9">
      <c r="A238" s="3">
        <v>45757</v>
      </c>
      <c r="B238" t="s">
        <v>31</v>
      </c>
      <c r="C238" t="s">
        <v>8</v>
      </c>
      <c r="D238" s="4">
        <v>60</v>
      </c>
      <c r="E238" s="4"/>
      <c r="F238">
        <v>115</v>
      </c>
      <c r="H238" t="str">
        <f t="shared" si="3"/>
        <v>2025-04</v>
      </c>
      <c r="I238" t="str">
        <f>_xlfn.XLOOKUP(Table1[[#This Row],[Customer_ID]],Customers!$A$2:$A$30,Customers!$C$2:$C$30,"Not found")</f>
        <v>Pays full</v>
      </c>
    </row>
    <row r="239" spans="1:9">
      <c r="A239" s="3">
        <v>45757</v>
      </c>
      <c r="B239" t="s">
        <v>31</v>
      </c>
      <c r="C239" t="s">
        <v>8</v>
      </c>
      <c r="D239" s="4">
        <v>430</v>
      </c>
      <c r="E239" s="4"/>
      <c r="F239">
        <v>115</v>
      </c>
      <c r="H239" t="str">
        <f t="shared" si="3"/>
        <v>2025-04</v>
      </c>
      <c r="I239" t="str">
        <f>_xlfn.XLOOKUP(Table1[[#This Row],[Customer_ID]],Customers!$A$2:$A$30,Customers!$C$2:$C$30,"Not found")</f>
        <v>Pays full</v>
      </c>
    </row>
    <row r="240" spans="1:9">
      <c r="A240" s="3">
        <v>45757</v>
      </c>
      <c r="B240" t="s">
        <v>31</v>
      </c>
      <c r="C240" t="s">
        <v>8</v>
      </c>
      <c r="D240" s="4">
        <v>50</v>
      </c>
      <c r="E240" s="4"/>
      <c r="F240">
        <v>115</v>
      </c>
      <c r="G240" t="s">
        <v>42</v>
      </c>
      <c r="H240" t="str">
        <f t="shared" si="3"/>
        <v>2025-04</v>
      </c>
      <c r="I240" t="str">
        <f>_xlfn.XLOOKUP(Table1[[#This Row],[Customer_ID]],Customers!$A$2:$A$30,Customers!$C$2:$C$30,"Not found")</f>
        <v>Pays full</v>
      </c>
    </row>
    <row r="241" spans="1:9">
      <c r="A241" s="3">
        <v>45759</v>
      </c>
      <c r="B241" t="s">
        <v>31</v>
      </c>
      <c r="C241" t="s">
        <v>8</v>
      </c>
      <c r="D241" s="4">
        <v>3012</v>
      </c>
      <c r="E241" s="4"/>
      <c r="F241">
        <v>115</v>
      </c>
      <c r="G241" t="s">
        <v>58</v>
      </c>
      <c r="H241" t="str">
        <f t="shared" si="3"/>
        <v>2025-04</v>
      </c>
      <c r="I241" t="str">
        <f>_xlfn.XLOOKUP(Table1[[#This Row],[Customer_ID]],Customers!$A$2:$A$30,Customers!$C$2:$C$30,"Not found")</f>
        <v>Pays full</v>
      </c>
    </row>
    <row r="242" spans="1:9">
      <c r="A242" s="3">
        <v>45759</v>
      </c>
      <c r="B242" t="s">
        <v>31</v>
      </c>
      <c r="C242" t="s">
        <v>22</v>
      </c>
      <c r="D242" s="4">
        <v>180</v>
      </c>
      <c r="E242" s="4">
        <v>4702</v>
      </c>
      <c r="F242">
        <v>115</v>
      </c>
      <c r="G242" t="s">
        <v>59</v>
      </c>
      <c r="H242" t="str">
        <f t="shared" si="3"/>
        <v>2025-04</v>
      </c>
      <c r="I242" t="str">
        <f>_xlfn.XLOOKUP(Table1[[#This Row],[Customer_ID]],Customers!$A$2:$A$30,Customers!$C$2:$C$30,"Not found")</f>
        <v>Pays full</v>
      </c>
    </row>
    <row r="243" spans="1:9">
      <c r="A243" s="3"/>
      <c r="B243" t="s">
        <v>31</v>
      </c>
      <c r="C243" t="s">
        <v>14</v>
      </c>
      <c r="D243" s="4">
        <v>4702</v>
      </c>
      <c r="E243" s="4"/>
      <c r="F243">
        <v>115</v>
      </c>
      <c r="G243" t="s">
        <v>60</v>
      </c>
      <c r="H243" t="str">
        <f t="shared" si="3"/>
        <v/>
      </c>
      <c r="I243" t="str">
        <f>_xlfn.XLOOKUP(Table1[[#This Row],[Customer_ID]],Customers!$A$2:$A$30,Customers!$C$2:$C$30,"Not found")</f>
        <v>Pays full</v>
      </c>
    </row>
    <row r="244" spans="1:9">
      <c r="A244" s="9">
        <v>44825</v>
      </c>
      <c r="B244" t="s">
        <v>76</v>
      </c>
      <c r="C244" t="s">
        <v>8</v>
      </c>
      <c r="D244" s="4">
        <v>2570</v>
      </c>
      <c r="E244" s="4"/>
      <c r="F244">
        <v>268</v>
      </c>
      <c r="G244" t="s">
        <v>99</v>
      </c>
      <c r="H244" t="str">
        <f t="shared" si="3"/>
        <v>2022-09</v>
      </c>
      <c r="I244" t="str">
        <f>_xlfn.XLOOKUP(Table1[[#This Row],[Customer_ID]],Customers!$A$2:$A$30,Customers!$C$2:$C$30,"Not found")</f>
        <v>Carries forward</v>
      </c>
    </row>
    <row r="245" spans="1:9">
      <c r="A245" s="9">
        <v>44826</v>
      </c>
      <c r="B245" t="s">
        <v>76</v>
      </c>
      <c r="C245" t="s">
        <v>8</v>
      </c>
      <c r="D245" s="4">
        <v>380</v>
      </c>
      <c r="E245" s="4"/>
      <c r="F245">
        <v>268</v>
      </c>
      <c r="H245" t="str">
        <f t="shared" si="3"/>
        <v>2022-09</v>
      </c>
      <c r="I245" t="str">
        <f>_xlfn.XLOOKUP(Table1[[#This Row],[Customer_ID]],Customers!$A$2:$A$30,Customers!$C$2:$C$30,"Not found")</f>
        <v>Carries forward</v>
      </c>
    </row>
    <row r="246" spans="1:9">
      <c r="A246" s="9">
        <v>44827</v>
      </c>
      <c r="B246" t="s">
        <v>76</v>
      </c>
      <c r="C246" t="s">
        <v>8</v>
      </c>
      <c r="D246" s="4">
        <v>93</v>
      </c>
      <c r="E246" s="4"/>
      <c r="F246">
        <v>268</v>
      </c>
      <c r="H246" t="str">
        <f t="shared" si="3"/>
        <v>2022-09</v>
      </c>
      <c r="I246" t="str">
        <f>_xlfn.XLOOKUP(Table1[[#This Row],[Customer_ID]],Customers!$A$2:$A$30,Customers!$C$2:$C$30,"Not found")</f>
        <v>Carries forward</v>
      </c>
    </row>
    <row r="247" spans="1:9">
      <c r="A247" s="9">
        <v>44829</v>
      </c>
      <c r="B247" t="s">
        <v>76</v>
      </c>
      <c r="C247" t="s">
        <v>8</v>
      </c>
      <c r="D247" s="4">
        <v>486</v>
      </c>
      <c r="E247" s="4"/>
      <c r="F247">
        <v>268</v>
      </c>
      <c r="H247" t="str">
        <f t="shared" si="3"/>
        <v>2022-09</v>
      </c>
      <c r="I247" t="str">
        <f>_xlfn.XLOOKUP(Table1[[#This Row],[Customer_ID]],Customers!$A$2:$A$30,Customers!$C$2:$C$30,"Not found")</f>
        <v>Carries forward</v>
      </c>
    </row>
    <row r="248" spans="1:9">
      <c r="A248" s="9">
        <v>44830</v>
      </c>
      <c r="B248" t="s">
        <v>76</v>
      </c>
      <c r="C248" t="s">
        <v>8</v>
      </c>
      <c r="D248" s="4">
        <v>92</v>
      </c>
      <c r="E248" s="4"/>
      <c r="F248">
        <v>268</v>
      </c>
      <c r="H248" t="str">
        <f t="shared" si="3"/>
        <v>2022-09</v>
      </c>
      <c r="I248" t="str">
        <f>_xlfn.XLOOKUP(Table1[[#This Row],[Customer_ID]],Customers!$A$2:$A$30,Customers!$C$2:$C$30,"Not found")</f>
        <v>Carries forward</v>
      </c>
    </row>
    <row r="249" spans="1:9">
      <c r="A249" s="9">
        <v>44831</v>
      </c>
      <c r="B249" t="s">
        <v>76</v>
      </c>
      <c r="C249" t="s">
        <v>8</v>
      </c>
      <c r="D249" s="4">
        <v>462</v>
      </c>
      <c r="E249" s="4"/>
      <c r="F249">
        <v>268</v>
      </c>
      <c r="H249" t="str">
        <f t="shared" si="3"/>
        <v>2022-09</v>
      </c>
      <c r="I249" t="str">
        <f>_xlfn.XLOOKUP(Table1[[#This Row],[Customer_ID]],Customers!$A$2:$A$30,Customers!$C$2:$C$30,"Not found")</f>
        <v>Carries forward</v>
      </c>
    </row>
    <row r="250" spans="1:9">
      <c r="A250" s="9">
        <v>44832</v>
      </c>
      <c r="B250" t="s">
        <v>76</v>
      </c>
      <c r="C250" t="s">
        <v>8</v>
      </c>
      <c r="D250" s="4">
        <v>200</v>
      </c>
      <c r="E250" s="4"/>
      <c r="F250">
        <v>268</v>
      </c>
      <c r="H250" t="str">
        <f t="shared" si="3"/>
        <v>2022-09</v>
      </c>
      <c r="I250" t="str">
        <f>_xlfn.XLOOKUP(Table1[[#This Row],[Customer_ID]],Customers!$A$2:$A$30,Customers!$C$2:$C$30,"Not found")</f>
        <v>Carries forward</v>
      </c>
    </row>
    <row r="251" spans="1:9">
      <c r="A251" s="9">
        <v>44833</v>
      </c>
      <c r="B251" t="s">
        <v>76</v>
      </c>
      <c r="C251" t="s">
        <v>8</v>
      </c>
      <c r="D251" s="4">
        <v>157</v>
      </c>
      <c r="E251" s="4"/>
      <c r="F251">
        <v>268</v>
      </c>
      <c r="H251" t="str">
        <f t="shared" si="3"/>
        <v>2022-09</v>
      </c>
      <c r="I251" t="str">
        <f>_xlfn.XLOOKUP(Table1[[#This Row],[Customer_ID]],Customers!$A$2:$A$30,Customers!$C$2:$C$30,"Not found")</f>
        <v>Carries forward</v>
      </c>
    </row>
    <row r="252" spans="1:9">
      <c r="A252" s="9">
        <v>44833</v>
      </c>
      <c r="B252" t="s">
        <v>76</v>
      </c>
      <c r="C252" t="s">
        <v>8</v>
      </c>
      <c r="D252" s="4">
        <v>38</v>
      </c>
      <c r="E252" s="4"/>
      <c r="F252">
        <v>268</v>
      </c>
      <c r="H252" t="str">
        <f t="shared" si="3"/>
        <v>2022-09</v>
      </c>
      <c r="I252" t="str">
        <f>_xlfn.XLOOKUP(Table1[[#This Row],[Customer_ID]],Customers!$A$2:$A$30,Customers!$C$2:$C$30,"Not found")</f>
        <v>Carries forward</v>
      </c>
    </row>
    <row r="253" spans="1:9">
      <c r="A253" s="9">
        <v>44834</v>
      </c>
      <c r="B253" t="s">
        <v>76</v>
      </c>
      <c r="C253" t="s">
        <v>8</v>
      </c>
      <c r="D253" s="4">
        <v>50</v>
      </c>
      <c r="E253" s="4"/>
      <c r="F253">
        <v>268</v>
      </c>
      <c r="H253" t="str">
        <f t="shared" si="3"/>
        <v>2022-09</v>
      </c>
      <c r="I253" t="str">
        <f>_xlfn.XLOOKUP(Table1[[#This Row],[Customer_ID]],Customers!$A$2:$A$30,Customers!$C$2:$C$30,"Not found")</f>
        <v>Carries forward</v>
      </c>
    </row>
    <row r="254" spans="1:9">
      <c r="A254" s="9">
        <v>44834</v>
      </c>
      <c r="B254" t="s">
        <v>76</v>
      </c>
      <c r="C254" t="s">
        <v>8</v>
      </c>
      <c r="D254" s="4">
        <v>196</v>
      </c>
      <c r="E254" s="4"/>
      <c r="F254">
        <v>268</v>
      </c>
      <c r="H254" t="str">
        <f t="shared" si="3"/>
        <v>2022-09</v>
      </c>
      <c r="I254" t="str">
        <f>_xlfn.XLOOKUP(Table1[[#This Row],[Customer_ID]],Customers!$A$2:$A$30,Customers!$C$2:$C$30,"Not found")</f>
        <v>Carries forward</v>
      </c>
    </row>
    <row r="255" spans="1:9">
      <c r="A255" s="9">
        <v>44835</v>
      </c>
      <c r="B255" t="s">
        <v>76</v>
      </c>
      <c r="C255" t="s">
        <v>8</v>
      </c>
      <c r="D255" s="4">
        <v>51</v>
      </c>
      <c r="E255" s="4"/>
      <c r="F255">
        <v>268</v>
      </c>
      <c r="H255" t="str">
        <f t="shared" si="3"/>
        <v>2022-10</v>
      </c>
      <c r="I255" t="str">
        <f>_xlfn.XLOOKUP(Table1[[#This Row],[Customer_ID]],Customers!$A$2:$A$30,Customers!$C$2:$C$30,"Not found")</f>
        <v>Carries forward</v>
      </c>
    </row>
    <row r="256" spans="1:9">
      <c r="A256" s="9">
        <v>44835</v>
      </c>
      <c r="B256" t="s">
        <v>76</v>
      </c>
      <c r="C256" t="s">
        <v>8</v>
      </c>
      <c r="D256" s="4">
        <v>66</v>
      </c>
      <c r="E256" s="4"/>
      <c r="F256">
        <v>268</v>
      </c>
      <c r="H256" t="str">
        <f t="shared" si="3"/>
        <v>2022-10</v>
      </c>
      <c r="I256" t="str">
        <f>_xlfn.XLOOKUP(Table1[[#This Row],[Customer_ID]],Customers!$A$2:$A$30,Customers!$C$2:$C$30,"Not found")</f>
        <v>Carries forward</v>
      </c>
    </row>
    <row r="257" spans="1:9">
      <c r="A257" s="9">
        <v>44836</v>
      </c>
      <c r="B257" t="s">
        <v>76</v>
      </c>
      <c r="C257" t="s">
        <v>8</v>
      </c>
      <c r="D257" s="4">
        <v>50</v>
      </c>
      <c r="E257" s="4"/>
      <c r="F257">
        <v>268</v>
      </c>
      <c r="H257" t="str">
        <f t="shared" si="3"/>
        <v>2022-10</v>
      </c>
      <c r="I257" t="str">
        <f>_xlfn.XLOOKUP(Table1[[#This Row],[Customer_ID]],Customers!$A$2:$A$30,Customers!$C$2:$C$30,"Not found")</f>
        <v>Carries forward</v>
      </c>
    </row>
    <row r="258" spans="1:9">
      <c r="A258" s="9">
        <v>44836</v>
      </c>
      <c r="B258" t="s">
        <v>76</v>
      </c>
      <c r="C258" t="s">
        <v>8</v>
      </c>
      <c r="D258" s="4">
        <v>34</v>
      </c>
      <c r="E258" s="4"/>
      <c r="F258">
        <v>268</v>
      </c>
      <c r="H258" t="str">
        <f t="shared" si="3"/>
        <v>2022-10</v>
      </c>
      <c r="I258" t="str">
        <f>_xlfn.XLOOKUP(Table1[[#This Row],[Customer_ID]],Customers!$A$2:$A$30,Customers!$C$2:$C$30,"Not found")</f>
        <v>Carries forward</v>
      </c>
    </row>
    <row r="259" spans="1:9">
      <c r="A259" s="9">
        <v>44837</v>
      </c>
      <c r="B259" t="s">
        <v>76</v>
      </c>
      <c r="C259" t="s">
        <v>8</v>
      </c>
      <c r="D259" s="4">
        <v>45</v>
      </c>
      <c r="E259" s="4">
        <v>4970</v>
      </c>
      <c r="F259">
        <v>268</v>
      </c>
      <c r="G259" t="s">
        <v>100</v>
      </c>
      <c r="H259" t="str">
        <f t="shared" ref="H259:H322" si="4">IF(A259="","",TEXT(A259,"yyyy-mm"))</f>
        <v>2022-10</v>
      </c>
      <c r="I259" t="str">
        <f>_xlfn.XLOOKUP(Table1[[#This Row],[Customer_ID]],Customers!$A$2:$A$30,Customers!$C$2:$C$30,"Not found")</f>
        <v>Carries forward</v>
      </c>
    </row>
    <row r="260" spans="1:9">
      <c r="A260" s="9">
        <v>44837</v>
      </c>
      <c r="B260" t="s">
        <v>76</v>
      </c>
      <c r="C260" t="s">
        <v>8</v>
      </c>
      <c r="D260" s="4">
        <v>151</v>
      </c>
      <c r="E260" s="4"/>
      <c r="F260">
        <v>268</v>
      </c>
      <c r="H260" t="str">
        <f t="shared" si="4"/>
        <v>2022-10</v>
      </c>
      <c r="I260" t="str">
        <f>_xlfn.XLOOKUP(Table1[[#This Row],[Customer_ID]],Customers!$A$2:$A$30,Customers!$C$2:$C$30,"Not found")</f>
        <v>Carries forward</v>
      </c>
    </row>
    <row r="261" spans="1:9">
      <c r="A261" s="9">
        <v>44838</v>
      </c>
      <c r="B261" t="s">
        <v>76</v>
      </c>
      <c r="C261" t="s">
        <v>8</v>
      </c>
      <c r="D261" s="4">
        <v>29</v>
      </c>
      <c r="E261" s="4"/>
      <c r="F261">
        <v>268</v>
      </c>
      <c r="H261" t="str">
        <f t="shared" si="4"/>
        <v>2022-10</v>
      </c>
      <c r="I261" t="str">
        <f>_xlfn.XLOOKUP(Table1[[#This Row],[Customer_ID]],Customers!$A$2:$A$30,Customers!$C$2:$C$30,"Not found")</f>
        <v>Carries forward</v>
      </c>
    </row>
    <row r="262" spans="1:9">
      <c r="A262" s="9">
        <v>44838</v>
      </c>
      <c r="B262" t="s">
        <v>76</v>
      </c>
      <c r="C262" t="s">
        <v>8</v>
      </c>
      <c r="D262" s="4">
        <v>589</v>
      </c>
      <c r="E262" s="4"/>
      <c r="F262">
        <v>268</v>
      </c>
      <c r="H262" t="str">
        <f t="shared" si="4"/>
        <v>2022-10</v>
      </c>
      <c r="I262" t="str">
        <f>_xlfn.XLOOKUP(Table1[[#This Row],[Customer_ID]],Customers!$A$2:$A$30,Customers!$C$2:$C$30,"Not found")</f>
        <v>Carries forward</v>
      </c>
    </row>
    <row r="263" spans="1:9">
      <c r="A263" s="9">
        <v>44839</v>
      </c>
      <c r="B263" t="s">
        <v>76</v>
      </c>
      <c r="C263" t="s">
        <v>8</v>
      </c>
      <c r="D263" s="4">
        <v>56</v>
      </c>
      <c r="E263" s="4"/>
      <c r="F263">
        <v>268</v>
      </c>
      <c r="H263" t="str">
        <f t="shared" si="4"/>
        <v>2022-10</v>
      </c>
      <c r="I263" t="str">
        <f>_xlfn.XLOOKUP(Table1[[#This Row],[Customer_ID]],Customers!$A$2:$A$30,Customers!$C$2:$C$30,"Not found")</f>
        <v>Carries forward</v>
      </c>
    </row>
    <row r="264" spans="1:9">
      <c r="A264" s="9">
        <v>44839</v>
      </c>
      <c r="B264" t="s">
        <v>76</v>
      </c>
      <c r="C264" t="s">
        <v>8</v>
      </c>
      <c r="D264" s="4">
        <v>26</v>
      </c>
      <c r="E264" s="4"/>
      <c r="F264">
        <v>268</v>
      </c>
      <c r="H264" t="str">
        <f t="shared" si="4"/>
        <v>2022-10</v>
      </c>
      <c r="I264" t="str">
        <f>_xlfn.XLOOKUP(Table1[[#This Row],[Customer_ID]],Customers!$A$2:$A$30,Customers!$C$2:$C$30,"Not found")</f>
        <v>Carries forward</v>
      </c>
    </row>
    <row r="265" spans="1:9">
      <c r="A265" s="9">
        <v>44840</v>
      </c>
      <c r="B265" t="s">
        <v>76</v>
      </c>
      <c r="C265" t="s">
        <v>8</v>
      </c>
      <c r="D265" s="4">
        <v>29</v>
      </c>
      <c r="E265" s="4"/>
      <c r="F265">
        <v>268</v>
      </c>
      <c r="H265" t="str">
        <f t="shared" si="4"/>
        <v>2022-10</v>
      </c>
      <c r="I265" t="str">
        <f>_xlfn.XLOOKUP(Table1[[#This Row],[Customer_ID]],Customers!$A$2:$A$30,Customers!$C$2:$C$30,"Not found")</f>
        <v>Carries forward</v>
      </c>
    </row>
    <row r="266" spans="1:9">
      <c r="A266" s="9">
        <v>44840</v>
      </c>
      <c r="B266" t="s">
        <v>76</v>
      </c>
      <c r="C266" t="s">
        <v>8</v>
      </c>
      <c r="D266" s="4">
        <v>453</v>
      </c>
      <c r="E266" s="4"/>
      <c r="F266">
        <v>268</v>
      </c>
      <c r="H266" t="str">
        <f t="shared" si="4"/>
        <v>2022-10</v>
      </c>
      <c r="I266" t="str">
        <f>_xlfn.XLOOKUP(Table1[[#This Row],[Customer_ID]],Customers!$A$2:$A$30,Customers!$C$2:$C$30,"Not found")</f>
        <v>Carries forward</v>
      </c>
    </row>
    <row r="267" spans="1:9">
      <c r="A267" s="9">
        <v>44840</v>
      </c>
      <c r="B267" t="s">
        <v>76</v>
      </c>
      <c r="C267" t="s">
        <v>8</v>
      </c>
      <c r="D267" s="4">
        <v>29</v>
      </c>
      <c r="E267" s="4"/>
      <c r="F267">
        <v>268</v>
      </c>
      <c r="H267" t="str">
        <f t="shared" si="4"/>
        <v>2022-10</v>
      </c>
      <c r="I267" t="str">
        <f>_xlfn.XLOOKUP(Table1[[#This Row],[Customer_ID]],Customers!$A$2:$A$30,Customers!$C$2:$C$30,"Not found")</f>
        <v>Carries forward</v>
      </c>
    </row>
    <row r="268" spans="1:9">
      <c r="A268" s="9">
        <v>44842</v>
      </c>
      <c r="B268" t="s">
        <v>76</v>
      </c>
      <c r="C268" t="s">
        <v>8</v>
      </c>
      <c r="D268" s="4">
        <v>39</v>
      </c>
      <c r="E268" s="4"/>
      <c r="F268">
        <v>268</v>
      </c>
      <c r="H268" t="str">
        <f t="shared" si="4"/>
        <v>2022-10</v>
      </c>
      <c r="I268" t="str">
        <f>_xlfn.XLOOKUP(Table1[[#This Row],[Customer_ID]],Customers!$A$2:$A$30,Customers!$C$2:$C$30,"Not found")</f>
        <v>Carries forward</v>
      </c>
    </row>
    <row r="269" spans="1:9">
      <c r="A269" s="9">
        <v>44843</v>
      </c>
      <c r="B269" t="s">
        <v>76</v>
      </c>
      <c r="C269" t="s">
        <v>8</v>
      </c>
      <c r="D269" s="4">
        <v>34</v>
      </c>
      <c r="E269" s="4"/>
      <c r="F269">
        <v>268</v>
      </c>
      <c r="H269" t="str">
        <f t="shared" si="4"/>
        <v>2022-10</v>
      </c>
      <c r="I269" t="str">
        <f>_xlfn.XLOOKUP(Table1[[#This Row],[Customer_ID]],Customers!$A$2:$A$30,Customers!$C$2:$C$30,"Not found")</f>
        <v>Carries forward</v>
      </c>
    </row>
    <row r="270" spans="1:9">
      <c r="A270" s="9">
        <v>44841</v>
      </c>
      <c r="B270" t="s">
        <v>76</v>
      </c>
      <c r="C270" t="s">
        <v>8</v>
      </c>
      <c r="D270" s="4">
        <v>20</v>
      </c>
      <c r="E270" s="4"/>
      <c r="F270">
        <v>268</v>
      </c>
      <c r="H270" t="str">
        <f t="shared" si="4"/>
        <v>2022-10</v>
      </c>
      <c r="I270" t="str">
        <f>_xlfn.XLOOKUP(Table1[[#This Row],[Customer_ID]],Customers!$A$2:$A$30,Customers!$C$2:$C$30,"Not found")</f>
        <v>Carries forward</v>
      </c>
    </row>
    <row r="271" spans="1:9">
      <c r="A271" s="9">
        <v>44843</v>
      </c>
      <c r="B271" t="s">
        <v>76</v>
      </c>
      <c r="C271" t="s">
        <v>8</v>
      </c>
      <c r="D271" s="4">
        <v>207</v>
      </c>
      <c r="E271" s="4"/>
      <c r="F271">
        <v>268</v>
      </c>
      <c r="H271" t="str">
        <f t="shared" si="4"/>
        <v>2022-10</v>
      </c>
      <c r="I271" t="str">
        <f>_xlfn.XLOOKUP(Table1[[#This Row],[Customer_ID]],Customers!$A$2:$A$30,Customers!$C$2:$C$30,"Not found")</f>
        <v>Carries forward</v>
      </c>
    </row>
    <row r="272" spans="1:9">
      <c r="A272" s="9">
        <v>44844</v>
      </c>
      <c r="B272" t="s">
        <v>76</v>
      </c>
      <c r="C272" t="s">
        <v>8</v>
      </c>
      <c r="D272" s="4">
        <v>68</v>
      </c>
      <c r="E272" s="4"/>
      <c r="F272">
        <v>268</v>
      </c>
      <c r="H272" t="str">
        <f t="shared" si="4"/>
        <v>2022-10</v>
      </c>
      <c r="I272" t="str">
        <f>_xlfn.XLOOKUP(Table1[[#This Row],[Customer_ID]],Customers!$A$2:$A$30,Customers!$C$2:$C$30,"Not found")</f>
        <v>Carries forward</v>
      </c>
    </row>
    <row r="273" spans="1:9">
      <c r="A273" s="9">
        <v>44844</v>
      </c>
      <c r="B273" t="s">
        <v>76</v>
      </c>
      <c r="C273" t="s">
        <v>8</v>
      </c>
      <c r="D273" s="4">
        <v>35</v>
      </c>
      <c r="E273" s="4"/>
      <c r="F273">
        <v>268</v>
      </c>
      <c r="H273" t="str">
        <f t="shared" si="4"/>
        <v>2022-10</v>
      </c>
      <c r="I273" t="str">
        <f>_xlfn.XLOOKUP(Table1[[#This Row],[Customer_ID]],Customers!$A$2:$A$30,Customers!$C$2:$C$30,"Not found")</f>
        <v>Carries forward</v>
      </c>
    </row>
    <row r="274" spans="1:9">
      <c r="A274" s="9">
        <v>44845</v>
      </c>
      <c r="B274" t="s">
        <v>76</v>
      </c>
      <c r="C274" t="s">
        <v>8</v>
      </c>
      <c r="D274" s="4">
        <v>38</v>
      </c>
      <c r="E274" s="4"/>
      <c r="F274">
        <v>268</v>
      </c>
      <c r="H274" t="str">
        <f t="shared" si="4"/>
        <v>2022-10</v>
      </c>
      <c r="I274" t="str">
        <f>_xlfn.XLOOKUP(Table1[[#This Row],[Customer_ID]],Customers!$A$2:$A$30,Customers!$C$2:$C$30,"Not found")</f>
        <v>Carries forward</v>
      </c>
    </row>
    <row r="275" spans="1:9">
      <c r="A275" s="9">
        <v>44845</v>
      </c>
      <c r="B275" t="s">
        <v>76</v>
      </c>
      <c r="C275" t="s">
        <v>8</v>
      </c>
      <c r="D275" s="4">
        <v>180</v>
      </c>
      <c r="E275" s="4"/>
      <c r="F275">
        <v>268</v>
      </c>
      <c r="H275" t="str">
        <f t="shared" si="4"/>
        <v>2022-10</v>
      </c>
      <c r="I275" t="str">
        <f>_xlfn.XLOOKUP(Table1[[#This Row],[Customer_ID]],Customers!$A$2:$A$30,Customers!$C$2:$C$30,"Not found")</f>
        <v>Carries forward</v>
      </c>
    </row>
    <row r="276" spans="1:9">
      <c r="A276" s="9">
        <v>44845</v>
      </c>
      <c r="B276" t="s">
        <v>76</v>
      </c>
      <c r="C276" t="s">
        <v>8</v>
      </c>
      <c r="D276" s="4">
        <v>245</v>
      </c>
      <c r="E276" s="4"/>
      <c r="F276">
        <v>268</v>
      </c>
      <c r="H276" t="str">
        <f t="shared" si="4"/>
        <v>2022-10</v>
      </c>
      <c r="I276" t="str">
        <f>_xlfn.XLOOKUP(Table1[[#This Row],[Customer_ID]],Customers!$A$2:$A$30,Customers!$C$2:$C$30,"Not found")</f>
        <v>Carries forward</v>
      </c>
    </row>
    <row r="277" spans="1:9">
      <c r="A277" s="9">
        <v>44846</v>
      </c>
      <c r="B277" t="s">
        <v>76</v>
      </c>
      <c r="C277" t="s">
        <v>8</v>
      </c>
      <c r="D277" s="4">
        <v>40</v>
      </c>
      <c r="E277" s="4"/>
      <c r="F277">
        <v>268</v>
      </c>
      <c r="H277" t="str">
        <f t="shared" si="4"/>
        <v>2022-10</v>
      </c>
      <c r="I277" t="str">
        <f>_xlfn.XLOOKUP(Table1[[#This Row],[Customer_ID]],Customers!$A$2:$A$30,Customers!$C$2:$C$30,"Not found")</f>
        <v>Carries forward</v>
      </c>
    </row>
    <row r="278" spans="1:9">
      <c r="A278" s="9">
        <v>44846</v>
      </c>
      <c r="B278" t="s">
        <v>76</v>
      </c>
      <c r="C278" t="s">
        <v>8</v>
      </c>
      <c r="D278" s="4">
        <v>104</v>
      </c>
      <c r="E278" s="4"/>
      <c r="F278">
        <v>268</v>
      </c>
      <c r="H278" t="str">
        <f t="shared" si="4"/>
        <v>2022-10</v>
      </c>
      <c r="I278" t="str">
        <f>_xlfn.XLOOKUP(Table1[[#This Row],[Customer_ID]],Customers!$A$2:$A$30,Customers!$C$2:$C$30,"Not found")</f>
        <v>Carries forward</v>
      </c>
    </row>
    <row r="279" spans="1:9">
      <c r="A279" s="9">
        <v>44847</v>
      </c>
      <c r="B279" t="s">
        <v>76</v>
      </c>
      <c r="C279" t="s">
        <v>8</v>
      </c>
      <c r="D279" s="4">
        <v>29</v>
      </c>
      <c r="E279" s="4"/>
      <c r="F279">
        <v>268</v>
      </c>
      <c r="H279" t="str">
        <f t="shared" si="4"/>
        <v>2022-10</v>
      </c>
      <c r="I279" t="str">
        <f>_xlfn.XLOOKUP(Table1[[#This Row],[Customer_ID]],Customers!$A$2:$A$30,Customers!$C$2:$C$30,"Not found")</f>
        <v>Carries forward</v>
      </c>
    </row>
    <row r="280" spans="1:9">
      <c r="A280" s="9">
        <v>44847</v>
      </c>
      <c r="B280" t="s">
        <v>76</v>
      </c>
      <c r="C280" t="s">
        <v>8</v>
      </c>
      <c r="D280" s="4">
        <v>130</v>
      </c>
      <c r="E280" s="4"/>
      <c r="F280">
        <v>268</v>
      </c>
      <c r="H280" t="str">
        <f t="shared" si="4"/>
        <v>2022-10</v>
      </c>
      <c r="I280" t="str">
        <f>_xlfn.XLOOKUP(Table1[[#This Row],[Customer_ID]],Customers!$A$2:$A$30,Customers!$C$2:$C$30,"Not found")</f>
        <v>Carries forward</v>
      </c>
    </row>
    <row r="281" spans="1:9">
      <c r="A281" s="9">
        <v>44847</v>
      </c>
      <c r="B281" t="s">
        <v>76</v>
      </c>
      <c r="C281" t="s">
        <v>8</v>
      </c>
      <c r="D281" s="4">
        <v>34</v>
      </c>
      <c r="E281" s="4"/>
      <c r="F281">
        <v>268</v>
      </c>
      <c r="H281" t="str">
        <f t="shared" si="4"/>
        <v>2022-10</v>
      </c>
      <c r="I281" t="str">
        <f>_xlfn.XLOOKUP(Table1[[#This Row],[Customer_ID]],Customers!$A$2:$A$30,Customers!$C$2:$C$30,"Not found")</f>
        <v>Carries forward</v>
      </c>
    </row>
    <row r="282" spans="1:9">
      <c r="A282" s="9">
        <v>44848</v>
      </c>
      <c r="B282" t="s">
        <v>76</v>
      </c>
      <c r="C282" t="s">
        <v>8</v>
      </c>
      <c r="D282" s="4">
        <v>97</v>
      </c>
      <c r="E282" s="4"/>
      <c r="F282">
        <v>268</v>
      </c>
      <c r="H282" t="str">
        <f t="shared" si="4"/>
        <v>2022-10</v>
      </c>
      <c r="I282" t="str">
        <f>_xlfn.XLOOKUP(Table1[[#This Row],[Customer_ID]],Customers!$A$2:$A$30,Customers!$C$2:$C$30,"Not found")</f>
        <v>Carries forward</v>
      </c>
    </row>
    <row r="283" spans="1:9">
      <c r="A283" s="9">
        <v>44849</v>
      </c>
      <c r="B283" t="s">
        <v>76</v>
      </c>
      <c r="C283" t="s">
        <v>8</v>
      </c>
      <c r="D283" s="4">
        <v>34</v>
      </c>
      <c r="E283" s="4"/>
      <c r="F283">
        <v>268</v>
      </c>
      <c r="H283" t="str">
        <f t="shared" si="4"/>
        <v>2022-10</v>
      </c>
      <c r="I283" t="str">
        <f>_xlfn.XLOOKUP(Table1[[#This Row],[Customer_ID]],Customers!$A$2:$A$30,Customers!$C$2:$C$30,"Not found")</f>
        <v>Carries forward</v>
      </c>
    </row>
    <row r="284" spans="1:9">
      <c r="A284" s="9">
        <v>44849</v>
      </c>
      <c r="B284" t="s">
        <v>76</v>
      </c>
      <c r="C284" t="s">
        <v>8</v>
      </c>
      <c r="D284" s="4">
        <v>29</v>
      </c>
      <c r="E284" s="4"/>
      <c r="F284">
        <v>268</v>
      </c>
      <c r="H284" t="str">
        <f t="shared" si="4"/>
        <v>2022-10</v>
      </c>
      <c r="I284" t="str">
        <f>_xlfn.XLOOKUP(Table1[[#This Row],[Customer_ID]],Customers!$A$2:$A$30,Customers!$C$2:$C$30,"Not found")</f>
        <v>Carries forward</v>
      </c>
    </row>
    <row r="285" spans="1:9">
      <c r="A285" s="9">
        <v>44849</v>
      </c>
      <c r="B285" t="s">
        <v>76</v>
      </c>
      <c r="C285" t="s">
        <v>8</v>
      </c>
      <c r="D285" s="4">
        <v>141</v>
      </c>
      <c r="E285" s="4"/>
      <c r="F285">
        <v>268</v>
      </c>
      <c r="H285" t="str">
        <f t="shared" si="4"/>
        <v>2022-10</v>
      </c>
      <c r="I285" t="str">
        <f>_xlfn.XLOOKUP(Table1[[#This Row],[Customer_ID]],Customers!$A$2:$A$30,Customers!$C$2:$C$30,"Not found")</f>
        <v>Carries forward</v>
      </c>
    </row>
    <row r="286" spans="1:9">
      <c r="A286" s="9">
        <v>44850</v>
      </c>
      <c r="B286" t="s">
        <v>76</v>
      </c>
      <c r="C286" t="s">
        <v>8</v>
      </c>
      <c r="D286" s="4">
        <v>34</v>
      </c>
      <c r="E286" s="4"/>
      <c r="F286">
        <v>268</v>
      </c>
      <c r="H286" t="str">
        <f t="shared" si="4"/>
        <v>2022-10</v>
      </c>
      <c r="I286" t="str">
        <f>_xlfn.XLOOKUP(Table1[[#This Row],[Customer_ID]],Customers!$A$2:$A$30,Customers!$C$2:$C$30,"Not found")</f>
        <v>Carries forward</v>
      </c>
    </row>
    <row r="287" spans="1:9">
      <c r="A287" s="9">
        <v>44850</v>
      </c>
      <c r="B287" t="s">
        <v>76</v>
      </c>
      <c r="C287" t="s">
        <v>8</v>
      </c>
      <c r="D287" s="4">
        <v>34</v>
      </c>
      <c r="E287" s="4"/>
      <c r="F287">
        <v>268</v>
      </c>
      <c r="H287" t="str">
        <f t="shared" si="4"/>
        <v>2022-10</v>
      </c>
      <c r="I287" t="str">
        <f>_xlfn.XLOOKUP(Table1[[#This Row],[Customer_ID]],Customers!$A$2:$A$30,Customers!$C$2:$C$30,"Not found")</f>
        <v>Carries forward</v>
      </c>
    </row>
    <row r="288" spans="1:9">
      <c r="A288" s="9">
        <v>44851</v>
      </c>
      <c r="B288" t="s">
        <v>76</v>
      </c>
      <c r="C288" t="s">
        <v>8</v>
      </c>
      <c r="D288" s="4">
        <v>34</v>
      </c>
      <c r="E288" s="4"/>
      <c r="F288">
        <v>268</v>
      </c>
      <c r="H288" t="str">
        <f t="shared" si="4"/>
        <v>2022-10</v>
      </c>
      <c r="I288" t="str">
        <f>_xlfn.XLOOKUP(Table1[[#This Row],[Customer_ID]],Customers!$A$2:$A$30,Customers!$C$2:$C$30,"Not found")</f>
        <v>Carries forward</v>
      </c>
    </row>
    <row r="289" spans="1:9">
      <c r="A289" s="9">
        <v>44851</v>
      </c>
      <c r="B289" t="s">
        <v>76</v>
      </c>
      <c r="C289" t="s">
        <v>8</v>
      </c>
      <c r="D289" s="4">
        <v>140</v>
      </c>
      <c r="E289" s="4"/>
      <c r="F289">
        <v>268</v>
      </c>
      <c r="H289" t="str">
        <f t="shared" si="4"/>
        <v>2022-10</v>
      </c>
      <c r="I289" t="str">
        <f>_xlfn.XLOOKUP(Table1[[#This Row],[Customer_ID]],Customers!$A$2:$A$30,Customers!$C$2:$C$30,"Not found")</f>
        <v>Carries forward</v>
      </c>
    </row>
    <row r="290" spans="1:9">
      <c r="A290" s="9">
        <v>44852</v>
      </c>
      <c r="B290" t="s">
        <v>76</v>
      </c>
      <c r="C290" t="s">
        <v>8</v>
      </c>
      <c r="D290" s="4">
        <v>34</v>
      </c>
      <c r="E290" s="4"/>
      <c r="F290">
        <v>268</v>
      </c>
      <c r="H290" t="str">
        <f t="shared" si="4"/>
        <v>2022-10</v>
      </c>
      <c r="I290" t="str">
        <f>_xlfn.XLOOKUP(Table1[[#This Row],[Customer_ID]],Customers!$A$2:$A$30,Customers!$C$2:$C$30,"Not found")</f>
        <v>Carries forward</v>
      </c>
    </row>
    <row r="291" spans="1:9">
      <c r="A291" s="9">
        <v>44852</v>
      </c>
      <c r="B291" t="s">
        <v>76</v>
      </c>
      <c r="C291" t="s">
        <v>8</v>
      </c>
      <c r="D291" s="4">
        <v>37</v>
      </c>
      <c r="E291" s="4"/>
      <c r="F291">
        <v>268</v>
      </c>
      <c r="H291" t="str">
        <f t="shared" si="4"/>
        <v>2022-10</v>
      </c>
      <c r="I291" t="str">
        <f>_xlfn.XLOOKUP(Table1[[#This Row],[Customer_ID]],Customers!$A$2:$A$30,Customers!$C$2:$C$30,"Not found")</f>
        <v>Carries forward</v>
      </c>
    </row>
    <row r="292" spans="1:9">
      <c r="A292" s="9">
        <v>44852</v>
      </c>
      <c r="B292" t="s">
        <v>76</v>
      </c>
      <c r="C292" t="s">
        <v>8</v>
      </c>
      <c r="D292" s="4">
        <v>90</v>
      </c>
      <c r="E292" s="4"/>
      <c r="F292">
        <v>268</v>
      </c>
      <c r="H292" t="str">
        <f t="shared" si="4"/>
        <v>2022-10</v>
      </c>
      <c r="I292" t="str">
        <f>_xlfn.XLOOKUP(Table1[[#This Row],[Customer_ID]],Customers!$A$2:$A$30,Customers!$C$2:$C$30,"Not found")</f>
        <v>Carries forward</v>
      </c>
    </row>
    <row r="293" spans="1:9">
      <c r="A293" s="9">
        <v>44853</v>
      </c>
      <c r="B293" t="s">
        <v>76</v>
      </c>
      <c r="C293" t="s">
        <v>8</v>
      </c>
      <c r="D293" s="4">
        <v>34</v>
      </c>
      <c r="E293" s="4"/>
      <c r="F293">
        <v>268</v>
      </c>
      <c r="H293" t="str">
        <f t="shared" si="4"/>
        <v>2022-10</v>
      </c>
      <c r="I293" t="str">
        <f>_xlfn.XLOOKUP(Table1[[#This Row],[Customer_ID]],Customers!$A$2:$A$30,Customers!$C$2:$C$30,"Not found")</f>
        <v>Carries forward</v>
      </c>
    </row>
    <row r="294" spans="1:9">
      <c r="A294" s="9">
        <v>44853</v>
      </c>
      <c r="B294" t="s">
        <v>76</v>
      </c>
      <c r="C294" t="s">
        <v>8</v>
      </c>
      <c r="D294" s="4">
        <v>1225</v>
      </c>
      <c r="E294" s="4"/>
      <c r="F294">
        <v>268</v>
      </c>
      <c r="H294" t="str">
        <f t="shared" si="4"/>
        <v>2022-10</v>
      </c>
      <c r="I294" t="str">
        <f>_xlfn.XLOOKUP(Table1[[#This Row],[Customer_ID]],Customers!$A$2:$A$30,Customers!$C$2:$C$30,"Not found")</f>
        <v>Carries forward</v>
      </c>
    </row>
    <row r="295" spans="1:9">
      <c r="A295" s="9">
        <v>44853</v>
      </c>
      <c r="B295" t="s">
        <v>76</v>
      </c>
      <c r="C295" t="s">
        <v>8</v>
      </c>
      <c r="D295" s="4">
        <v>31</v>
      </c>
      <c r="E295" s="4"/>
      <c r="F295">
        <v>268</v>
      </c>
      <c r="H295" t="str">
        <f t="shared" si="4"/>
        <v>2022-10</v>
      </c>
      <c r="I295" t="str">
        <f>_xlfn.XLOOKUP(Table1[[#This Row],[Customer_ID]],Customers!$A$2:$A$30,Customers!$C$2:$C$30,"Not found")</f>
        <v>Carries forward</v>
      </c>
    </row>
    <row r="296" spans="1:9">
      <c r="A296" s="9">
        <v>44854</v>
      </c>
      <c r="B296" t="s">
        <v>76</v>
      </c>
      <c r="C296" t="s">
        <v>8</v>
      </c>
      <c r="D296" s="4">
        <v>44</v>
      </c>
      <c r="E296" s="4"/>
      <c r="F296">
        <v>268</v>
      </c>
      <c r="H296" t="str">
        <f t="shared" si="4"/>
        <v>2022-10</v>
      </c>
      <c r="I296" t="str">
        <f>_xlfn.XLOOKUP(Table1[[#This Row],[Customer_ID]],Customers!$A$2:$A$30,Customers!$C$2:$C$30,"Not found")</f>
        <v>Carries forward</v>
      </c>
    </row>
    <row r="297" spans="1:9">
      <c r="A297" s="9">
        <v>44854</v>
      </c>
      <c r="B297" t="s">
        <v>76</v>
      </c>
      <c r="C297" t="s">
        <v>8</v>
      </c>
      <c r="D297" s="4">
        <v>72</v>
      </c>
      <c r="E297" s="4"/>
      <c r="F297">
        <v>268</v>
      </c>
      <c r="H297" t="str">
        <f t="shared" si="4"/>
        <v>2022-10</v>
      </c>
      <c r="I297" t="str">
        <f>_xlfn.XLOOKUP(Table1[[#This Row],[Customer_ID]],Customers!$A$2:$A$30,Customers!$C$2:$C$30,"Not found")</f>
        <v>Carries forward</v>
      </c>
    </row>
    <row r="298" spans="1:9">
      <c r="A298" s="9">
        <v>44854</v>
      </c>
      <c r="B298" t="s">
        <v>76</v>
      </c>
      <c r="C298" t="s">
        <v>8</v>
      </c>
      <c r="D298" s="4">
        <v>354</v>
      </c>
      <c r="E298" s="4"/>
      <c r="F298">
        <v>268</v>
      </c>
      <c r="H298" t="str">
        <f t="shared" si="4"/>
        <v>2022-10</v>
      </c>
      <c r="I298" t="str">
        <f>_xlfn.XLOOKUP(Table1[[#This Row],[Customer_ID]],Customers!$A$2:$A$30,Customers!$C$2:$C$30,"Not found")</f>
        <v>Carries forward</v>
      </c>
    </row>
    <row r="299" spans="1:9">
      <c r="A299" s="9">
        <v>44855</v>
      </c>
      <c r="B299" t="s">
        <v>76</v>
      </c>
      <c r="C299" t="s">
        <v>8</v>
      </c>
      <c r="D299" s="4">
        <v>114</v>
      </c>
      <c r="E299" s="4"/>
      <c r="F299">
        <v>268</v>
      </c>
      <c r="H299" t="str">
        <f t="shared" si="4"/>
        <v>2022-10</v>
      </c>
      <c r="I299" t="str">
        <f>_xlfn.XLOOKUP(Table1[[#This Row],[Customer_ID]],Customers!$A$2:$A$30,Customers!$C$2:$C$30,"Not found")</f>
        <v>Carries forward</v>
      </c>
    </row>
    <row r="300" spans="1:9">
      <c r="A300" s="9">
        <v>44855</v>
      </c>
      <c r="B300" t="s">
        <v>76</v>
      </c>
      <c r="C300" t="s">
        <v>8</v>
      </c>
      <c r="D300" s="4">
        <v>34</v>
      </c>
      <c r="E300" s="4"/>
      <c r="F300">
        <v>268</v>
      </c>
      <c r="H300" t="str">
        <f t="shared" si="4"/>
        <v>2022-10</v>
      </c>
      <c r="I300" t="str">
        <f>_xlfn.XLOOKUP(Table1[[#This Row],[Customer_ID]],Customers!$A$2:$A$30,Customers!$C$2:$C$30,"Not found")</f>
        <v>Carries forward</v>
      </c>
    </row>
    <row r="301" spans="1:9">
      <c r="A301" s="9">
        <v>44856</v>
      </c>
      <c r="B301" t="s">
        <v>76</v>
      </c>
      <c r="C301" t="s">
        <v>8</v>
      </c>
      <c r="D301" s="4">
        <v>37</v>
      </c>
      <c r="E301" s="4"/>
      <c r="F301">
        <v>268</v>
      </c>
      <c r="H301" t="str">
        <f t="shared" si="4"/>
        <v>2022-10</v>
      </c>
      <c r="I301" t="str">
        <f>_xlfn.XLOOKUP(Table1[[#This Row],[Customer_ID]],Customers!$A$2:$A$30,Customers!$C$2:$C$30,"Not found")</f>
        <v>Carries forward</v>
      </c>
    </row>
    <row r="302" spans="1:9">
      <c r="A302" s="9">
        <v>44856</v>
      </c>
      <c r="B302" t="s">
        <v>76</v>
      </c>
      <c r="C302" t="s">
        <v>8</v>
      </c>
      <c r="D302" s="4">
        <v>142</v>
      </c>
      <c r="E302" s="4"/>
      <c r="F302">
        <v>268</v>
      </c>
      <c r="H302" t="str">
        <f t="shared" si="4"/>
        <v>2022-10</v>
      </c>
      <c r="I302" t="str">
        <f>_xlfn.XLOOKUP(Table1[[#This Row],[Customer_ID]],Customers!$A$2:$A$30,Customers!$C$2:$C$30,"Not found")</f>
        <v>Carries forward</v>
      </c>
    </row>
    <row r="303" spans="1:9">
      <c r="A303" s="9">
        <v>44857</v>
      </c>
      <c r="B303" t="s">
        <v>76</v>
      </c>
      <c r="C303" t="s">
        <v>8</v>
      </c>
      <c r="D303" s="4">
        <v>34</v>
      </c>
      <c r="E303" s="4"/>
      <c r="F303">
        <v>268</v>
      </c>
      <c r="H303" t="str">
        <f t="shared" si="4"/>
        <v>2022-10</v>
      </c>
      <c r="I303" t="str">
        <f>_xlfn.XLOOKUP(Table1[[#This Row],[Customer_ID]],Customers!$A$2:$A$30,Customers!$C$2:$C$30,"Not found")</f>
        <v>Carries forward</v>
      </c>
    </row>
    <row r="304" spans="1:9">
      <c r="A304" s="9">
        <v>44857</v>
      </c>
      <c r="B304" t="s">
        <v>76</v>
      </c>
      <c r="C304" t="s">
        <v>22</v>
      </c>
      <c r="D304" s="4">
        <v>179</v>
      </c>
      <c r="E304" s="4">
        <v>10539</v>
      </c>
      <c r="F304">
        <v>268</v>
      </c>
      <c r="G304" t="s">
        <v>160</v>
      </c>
      <c r="H304" t="str">
        <f t="shared" si="4"/>
        <v>2022-10</v>
      </c>
      <c r="I304" t="str">
        <f>_xlfn.XLOOKUP(Table1[[#This Row],[Customer_ID]],Customers!$A$2:$A$30,Customers!$C$2:$C$30,"Not found")</f>
        <v>Carries forward</v>
      </c>
    </row>
    <row r="305" spans="1:9">
      <c r="A305" s="9">
        <v>44857</v>
      </c>
      <c r="B305" t="s">
        <v>76</v>
      </c>
      <c r="C305" t="s">
        <v>8</v>
      </c>
      <c r="D305" s="4">
        <v>34</v>
      </c>
      <c r="E305" s="4"/>
      <c r="F305">
        <v>268</v>
      </c>
      <c r="H305" t="str">
        <f t="shared" si="4"/>
        <v>2022-10</v>
      </c>
      <c r="I305" t="str">
        <f>_xlfn.XLOOKUP(Table1[[#This Row],[Customer_ID]],Customers!$A$2:$A$30,Customers!$C$2:$C$30,"Not found")</f>
        <v>Carries forward</v>
      </c>
    </row>
    <row r="306" spans="1:9">
      <c r="A306" s="9">
        <v>44857</v>
      </c>
      <c r="B306" t="s">
        <v>76</v>
      </c>
      <c r="C306" t="s">
        <v>8</v>
      </c>
      <c r="D306" s="4">
        <v>184</v>
      </c>
      <c r="E306" s="4"/>
      <c r="F306">
        <v>268</v>
      </c>
      <c r="H306" t="str">
        <f t="shared" si="4"/>
        <v>2022-10</v>
      </c>
      <c r="I306" t="str">
        <f>_xlfn.XLOOKUP(Table1[[#This Row],[Customer_ID]],Customers!$A$2:$A$30,Customers!$C$2:$C$30,"Not found")</f>
        <v>Carries forward</v>
      </c>
    </row>
    <row r="307" spans="1:9">
      <c r="A307" s="9">
        <v>44858</v>
      </c>
      <c r="B307" t="s">
        <v>76</v>
      </c>
      <c r="C307" t="s">
        <v>8</v>
      </c>
      <c r="D307" s="4">
        <v>34</v>
      </c>
      <c r="E307" s="4"/>
      <c r="F307">
        <v>268</v>
      </c>
      <c r="H307" t="str">
        <f t="shared" si="4"/>
        <v>2022-10</v>
      </c>
      <c r="I307" t="str">
        <f>_xlfn.XLOOKUP(Table1[[#This Row],[Customer_ID]],Customers!$A$2:$A$30,Customers!$C$2:$C$30,"Not found")</f>
        <v>Carries forward</v>
      </c>
    </row>
    <row r="308" spans="1:9">
      <c r="A308" s="9">
        <v>44858</v>
      </c>
      <c r="B308" t="s">
        <v>76</v>
      </c>
      <c r="C308" t="s">
        <v>8</v>
      </c>
      <c r="D308" s="4">
        <v>29</v>
      </c>
      <c r="E308" s="4"/>
      <c r="F308">
        <v>268</v>
      </c>
      <c r="H308" t="str">
        <f t="shared" si="4"/>
        <v>2022-10</v>
      </c>
      <c r="I308" t="str">
        <f>_xlfn.XLOOKUP(Table1[[#This Row],[Customer_ID]],Customers!$A$2:$A$30,Customers!$C$2:$C$30,"Not found")</f>
        <v>Carries forward</v>
      </c>
    </row>
    <row r="309" spans="1:9">
      <c r="A309" s="9">
        <v>44858</v>
      </c>
      <c r="B309" t="s">
        <v>76</v>
      </c>
      <c r="C309" t="s">
        <v>8</v>
      </c>
      <c r="D309" s="4">
        <v>113</v>
      </c>
      <c r="E309" s="4"/>
      <c r="F309">
        <v>268</v>
      </c>
      <c r="H309" t="str">
        <f t="shared" si="4"/>
        <v>2022-10</v>
      </c>
      <c r="I309" t="str">
        <f>_xlfn.XLOOKUP(Table1[[#This Row],[Customer_ID]],Customers!$A$2:$A$30,Customers!$C$2:$C$30,"Not found")</f>
        <v>Carries forward</v>
      </c>
    </row>
    <row r="310" spans="1:9">
      <c r="A310" s="9">
        <v>44858</v>
      </c>
      <c r="B310" t="s">
        <v>76</v>
      </c>
      <c r="C310" t="s">
        <v>8</v>
      </c>
      <c r="D310" s="4">
        <v>29</v>
      </c>
      <c r="E310" s="4"/>
      <c r="F310">
        <v>268</v>
      </c>
      <c r="H310" t="str">
        <f t="shared" si="4"/>
        <v>2022-10</v>
      </c>
      <c r="I310" t="str">
        <f>_xlfn.XLOOKUP(Table1[[#This Row],[Customer_ID]],Customers!$A$2:$A$30,Customers!$C$2:$C$30,"Not found")</f>
        <v>Carries forward</v>
      </c>
    </row>
    <row r="311" spans="1:9">
      <c r="A311" s="9">
        <v>44859</v>
      </c>
      <c r="B311" t="s">
        <v>76</v>
      </c>
      <c r="C311" t="s">
        <v>8</v>
      </c>
      <c r="D311" s="4">
        <v>102</v>
      </c>
      <c r="E311" s="4"/>
      <c r="F311">
        <v>268</v>
      </c>
      <c r="H311" t="str">
        <f t="shared" si="4"/>
        <v>2022-10</v>
      </c>
      <c r="I311" t="str">
        <f>_xlfn.XLOOKUP(Table1[[#This Row],[Customer_ID]],Customers!$A$2:$A$30,Customers!$C$2:$C$30,"Not found")</f>
        <v>Carries forward</v>
      </c>
    </row>
    <row r="312" spans="1:9">
      <c r="A312" s="9">
        <v>44860</v>
      </c>
      <c r="B312" t="s">
        <v>76</v>
      </c>
      <c r="C312" t="s">
        <v>8</v>
      </c>
      <c r="D312" s="4">
        <v>37</v>
      </c>
      <c r="E312" s="4"/>
      <c r="F312">
        <v>268</v>
      </c>
      <c r="H312" t="str">
        <f t="shared" si="4"/>
        <v>2022-10</v>
      </c>
      <c r="I312" t="str">
        <f>_xlfn.XLOOKUP(Table1[[#This Row],[Customer_ID]],Customers!$A$2:$A$30,Customers!$C$2:$C$30,"Not found")</f>
        <v>Carries forward</v>
      </c>
    </row>
    <row r="313" spans="1:9">
      <c r="A313" s="9">
        <v>44860</v>
      </c>
      <c r="B313" t="s">
        <v>76</v>
      </c>
      <c r="C313" t="s">
        <v>8</v>
      </c>
      <c r="D313" s="4">
        <v>117</v>
      </c>
      <c r="E313" s="4"/>
      <c r="F313">
        <v>268</v>
      </c>
      <c r="H313" t="str">
        <f t="shared" si="4"/>
        <v>2022-10</v>
      </c>
      <c r="I313" t="str">
        <f>_xlfn.XLOOKUP(Table1[[#This Row],[Customer_ID]],Customers!$A$2:$A$30,Customers!$C$2:$C$30,"Not found")</f>
        <v>Carries forward</v>
      </c>
    </row>
    <row r="314" spans="1:9">
      <c r="A314" s="9">
        <v>44860</v>
      </c>
      <c r="B314" t="s">
        <v>76</v>
      </c>
      <c r="C314" t="s">
        <v>8</v>
      </c>
      <c r="D314" s="4">
        <v>150</v>
      </c>
      <c r="E314" s="4"/>
      <c r="F314">
        <v>268</v>
      </c>
      <c r="H314" t="str">
        <f t="shared" si="4"/>
        <v>2022-10</v>
      </c>
      <c r="I314" t="str">
        <f>_xlfn.XLOOKUP(Table1[[#This Row],[Customer_ID]],Customers!$A$2:$A$30,Customers!$C$2:$C$30,"Not found")</f>
        <v>Carries forward</v>
      </c>
    </row>
    <row r="315" spans="1:9">
      <c r="A315" s="9">
        <v>44861</v>
      </c>
      <c r="B315" t="s">
        <v>76</v>
      </c>
      <c r="C315" t="s">
        <v>8</v>
      </c>
      <c r="D315" s="4">
        <v>37</v>
      </c>
      <c r="E315" s="4"/>
      <c r="F315">
        <v>268</v>
      </c>
      <c r="H315" t="str">
        <f t="shared" si="4"/>
        <v>2022-10</v>
      </c>
      <c r="I315" t="str">
        <f>_xlfn.XLOOKUP(Table1[[#This Row],[Customer_ID]],Customers!$A$2:$A$30,Customers!$C$2:$C$30,"Not found")</f>
        <v>Carries forward</v>
      </c>
    </row>
    <row r="316" spans="1:9">
      <c r="A316" s="9">
        <v>44861</v>
      </c>
      <c r="B316" t="s">
        <v>76</v>
      </c>
      <c r="C316" t="s">
        <v>8</v>
      </c>
      <c r="D316" s="4">
        <v>32</v>
      </c>
      <c r="E316" s="4"/>
      <c r="F316">
        <v>268</v>
      </c>
      <c r="H316" t="str">
        <f t="shared" si="4"/>
        <v>2022-10</v>
      </c>
      <c r="I316" t="str">
        <f>_xlfn.XLOOKUP(Table1[[#This Row],[Customer_ID]],Customers!$A$2:$A$30,Customers!$C$2:$C$30,"Not found")</f>
        <v>Carries forward</v>
      </c>
    </row>
    <row r="317" spans="1:9">
      <c r="A317" s="9">
        <v>44862</v>
      </c>
      <c r="B317" t="s">
        <v>76</v>
      </c>
      <c r="C317" t="s">
        <v>8</v>
      </c>
      <c r="D317" s="4">
        <v>80</v>
      </c>
      <c r="E317" s="4"/>
      <c r="F317">
        <v>268</v>
      </c>
      <c r="H317" t="str">
        <f t="shared" si="4"/>
        <v>2022-10</v>
      </c>
      <c r="I317" t="str">
        <f>_xlfn.XLOOKUP(Table1[[#This Row],[Customer_ID]],Customers!$A$2:$A$30,Customers!$C$2:$C$30,"Not found")</f>
        <v>Carries forward</v>
      </c>
    </row>
    <row r="318" spans="1:9">
      <c r="A318" s="9">
        <v>44862</v>
      </c>
      <c r="B318" t="s">
        <v>76</v>
      </c>
      <c r="C318" t="s">
        <v>8</v>
      </c>
      <c r="D318" s="4">
        <v>157</v>
      </c>
      <c r="E318" s="4"/>
      <c r="F318">
        <v>268</v>
      </c>
      <c r="H318" t="str">
        <f t="shared" si="4"/>
        <v>2022-10</v>
      </c>
      <c r="I318" t="str">
        <f>_xlfn.XLOOKUP(Table1[[#This Row],[Customer_ID]],Customers!$A$2:$A$30,Customers!$C$2:$C$30,"Not found")</f>
        <v>Carries forward</v>
      </c>
    </row>
    <row r="319" spans="1:9">
      <c r="A319" s="9">
        <v>44862</v>
      </c>
      <c r="B319" t="s">
        <v>76</v>
      </c>
      <c r="C319" t="s">
        <v>8</v>
      </c>
      <c r="D319" s="4">
        <v>78</v>
      </c>
      <c r="E319" s="4"/>
      <c r="F319">
        <v>268</v>
      </c>
      <c r="H319" t="str">
        <f t="shared" si="4"/>
        <v>2022-10</v>
      </c>
      <c r="I319" t="str">
        <f>_xlfn.XLOOKUP(Table1[[#This Row],[Customer_ID]],Customers!$A$2:$A$30,Customers!$C$2:$C$30,"Not found")</f>
        <v>Carries forward</v>
      </c>
    </row>
    <row r="320" spans="1:9">
      <c r="A320" s="9">
        <v>44863</v>
      </c>
      <c r="B320" t="s">
        <v>76</v>
      </c>
      <c r="C320" t="s">
        <v>8</v>
      </c>
      <c r="D320" s="4">
        <v>37</v>
      </c>
      <c r="E320" s="4"/>
      <c r="F320">
        <v>268</v>
      </c>
      <c r="H320" t="str">
        <f t="shared" si="4"/>
        <v>2022-10</v>
      </c>
      <c r="I320" t="str">
        <f>_xlfn.XLOOKUP(Table1[[#This Row],[Customer_ID]],Customers!$A$2:$A$30,Customers!$C$2:$C$30,"Not found")</f>
        <v>Carries forward</v>
      </c>
    </row>
    <row r="321" spans="1:9">
      <c r="A321" s="9">
        <v>44863</v>
      </c>
      <c r="B321" t="s">
        <v>76</v>
      </c>
      <c r="C321" t="s">
        <v>8</v>
      </c>
      <c r="D321" s="4">
        <v>37</v>
      </c>
      <c r="E321" s="4"/>
      <c r="F321">
        <v>268</v>
      </c>
      <c r="H321" t="str">
        <f t="shared" si="4"/>
        <v>2022-10</v>
      </c>
      <c r="I321" t="str">
        <f>_xlfn.XLOOKUP(Table1[[#This Row],[Customer_ID]],Customers!$A$2:$A$30,Customers!$C$2:$C$30,"Not found")</f>
        <v>Carries forward</v>
      </c>
    </row>
    <row r="322" spans="1:9">
      <c r="A322" s="9">
        <v>44863</v>
      </c>
      <c r="B322" t="s">
        <v>76</v>
      </c>
      <c r="C322" t="s">
        <v>8</v>
      </c>
      <c r="D322" s="4">
        <v>148</v>
      </c>
      <c r="E322" s="4"/>
      <c r="F322">
        <v>268</v>
      </c>
      <c r="H322" t="str">
        <f t="shared" si="4"/>
        <v>2022-10</v>
      </c>
      <c r="I322" t="str">
        <f>_xlfn.XLOOKUP(Table1[[#This Row],[Customer_ID]],Customers!$A$2:$A$30,Customers!$C$2:$C$30,"Not found")</f>
        <v>Carries forward</v>
      </c>
    </row>
    <row r="323" spans="1:9">
      <c r="A323" s="9">
        <v>44864</v>
      </c>
      <c r="B323" t="s">
        <v>76</v>
      </c>
      <c r="C323" t="s">
        <v>8</v>
      </c>
      <c r="D323" s="4">
        <v>52</v>
      </c>
      <c r="E323" s="4"/>
      <c r="F323">
        <v>268</v>
      </c>
      <c r="H323" t="str">
        <f t="shared" ref="H323:H386" si="5">IF(A323="","",TEXT(A323,"yyyy-mm"))</f>
        <v>2022-10</v>
      </c>
      <c r="I323" t="str">
        <f>_xlfn.XLOOKUP(Table1[[#This Row],[Customer_ID]],Customers!$A$2:$A$30,Customers!$C$2:$C$30,"Not found")</f>
        <v>Carries forward</v>
      </c>
    </row>
    <row r="324" spans="1:9">
      <c r="A324" s="9">
        <v>44864</v>
      </c>
      <c r="B324" t="s">
        <v>76</v>
      </c>
      <c r="C324" t="s">
        <v>8</v>
      </c>
      <c r="D324" s="4">
        <v>451</v>
      </c>
      <c r="E324" s="4"/>
      <c r="F324">
        <v>268</v>
      </c>
      <c r="H324" t="str">
        <f t="shared" si="5"/>
        <v>2022-10</v>
      </c>
      <c r="I324" t="str">
        <f>_xlfn.XLOOKUP(Table1[[#This Row],[Customer_ID]],Customers!$A$2:$A$30,Customers!$C$2:$C$30,"Not found")</f>
        <v>Carries forward</v>
      </c>
    </row>
    <row r="325" spans="1:9">
      <c r="A325" s="9">
        <v>44865</v>
      </c>
      <c r="B325" t="s">
        <v>76</v>
      </c>
      <c r="C325" t="s">
        <v>8</v>
      </c>
      <c r="D325" s="4">
        <v>42</v>
      </c>
      <c r="E325" s="4"/>
      <c r="F325">
        <v>268</v>
      </c>
      <c r="H325" t="str">
        <f t="shared" si="5"/>
        <v>2022-10</v>
      </c>
      <c r="I325" t="str">
        <f>_xlfn.XLOOKUP(Table1[[#This Row],[Customer_ID]],Customers!$A$2:$A$30,Customers!$C$2:$C$30,"Not found")</f>
        <v>Carries forward</v>
      </c>
    </row>
    <row r="326" spans="1:9">
      <c r="A326" s="9">
        <v>44866</v>
      </c>
      <c r="B326" t="s">
        <v>76</v>
      </c>
      <c r="C326" t="s">
        <v>8</v>
      </c>
      <c r="D326" s="4">
        <v>37</v>
      </c>
      <c r="E326" s="4"/>
      <c r="F326">
        <v>268</v>
      </c>
      <c r="H326" t="str">
        <f t="shared" si="5"/>
        <v>2022-11</v>
      </c>
      <c r="I326" t="str">
        <f>_xlfn.XLOOKUP(Table1[[#This Row],[Customer_ID]],Customers!$A$2:$A$30,Customers!$C$2:$C$30,"Not found")</f>
        <v>Carries forward</v>
      </c>
    </row>
    <row r="327" spans="1:9">
      <c r="A327" s="9">
        <v>44866</v>
      </c>
      <c r="B327" t="s">
        <v>76</v>
      </c>
      <c r="C327" t="s">
        <v>8</v>
      </c>
      <c r="D327" s="4">
        <v>111</v>
      </c>
      <c r="E327" s="4"/>
      <c r="F327">
        <v>268</v>
      </c>
      <c r="H327" t="str">
        <f t="shared" si="5"/>
        <v>2022-11</v>
      </c>
      <c r="I327" t="str">
        <f>_xlfn.XLOOKUP(Table1[[#This Row],[Customer_ID]],Customers!$A$2:$A$30,Customers!$C$2:$C$30,"Not found")</f>
        <v>Carries forward</v>
      </c>
    </row>
    <row r="328" spans="1:9">
      <c r="A328" s="9">
        <v>44866</v>
      </c>
      <c r="B328" t="s">
        <v>76</v>
      </c>
      <c r="C328" t="s">
        <v>22</v>
      </c>
      <c r="D328" s="4">
        <v>-3</v>
      </c>
      <c r="E328" s="4">
        <v>12664</v>
      </c>
      <c r="F328">
        <v>268</v>
      </c>
      <c r="G328" t="s">
        <v>101</v>
      </c>
      <c r="H328" t="str">
        <f t="shared" si="5"/>
        <v>2022-11</v>
      </c>
      <c r="I328" t="str">
        <f>_xlfn.XLOOKUP(Table1[[#This Row],[Customer_ID]],Customers!$A$2:$A$30,Customers!$C$2:$C$30,"Not found")</f>
        <v>Carries forward</v>
      </c>
    </row>
    <row r="329" spans="1:9">
      <c r="A329" s="9">
        <v>44867</v>
      </c>
      <c r="B329" t="s">
        <v>76</v>
      </c>
      <c r="C329" t="s">
        <v>8</v>
      </c>
      <c r="D329" s="4">
        <v>55</v>
      </c>
      <c r="E329" s="4"/>
      <c r="F329">
        <v>268</v>
      </c>
      <c r="H329" t="str">
        <f t="shared" si="5"/>
        <v>2022-11</v>
      </c>
      <c r="I329" t="str">
        <f>_xlfn.XLOOKUP(Table1[[#This Row],[Customer_ID]],Customers!$A$2:$A$30,Customers!$C$2:$C$30,"Not found")</f>
        <v>Carries forward</v>
      </c>
    </row>
    <row r="330" spans="1:9">
      <c r="A330" s="9">
        <v>44867</v>
      </c>
      <c r="B330" t="s">
        <v>76</v>
      </c>
      <c r="C330" t="s">
        <v>8</v>
      </c>
      <c r="D330" s="4">
        <v>37</v>
      </c>
      <c r="E330" s="4"/>
      <c r="F330">
        <v>268</v>
      </c>
      <c r="H330" t="str">
        <f t="shared" si="5"/>
        <v>2022-11</v>
      </c>
      <c r="I330" t="str">
        <f>_xlfn.XLOOKUP(Table1[[#This Row],[Customer_ID]],Customers!$A$2:$A$30,Customers!$C$2:$C$30,"Not found")</f>
        <v>Carries forward</v>
      </c>
    </row>
    <row r="331" spans="1:9">
      <c r="A331" s="9">
        <v>44868</v>
      </c>
      <c r="B331" t="s">
        <v>76</v>
      </c>
      <c r="C331" t="s">
        <v>8</v>
      </c>
      <c r="D331" s="4">
        <v>37</v>
      </c>
      <c r="E331" s="4"/>
      <c r="F331">
        <v>268</v>
      </c>
      <c r="H331" t="str">
        <f t="shared" si="5"/>
        <v>2022-11</v>
      </c>
      <c r="I331" t="str">
        <f>_xlfn.XLOOKUP(Table1[[#This Row],[Customer_ID]],Customers!$A$2:$A$30,Customers!$C$2:$C$30,"Not found")</f>
        <v>Carries forward</v>
      </c>
    </row>
    <row r="332" spans="1:9">
      <c r="A332" s="9">
        <v>44868</v>
      </c>
      <c r="B332" t="s">
        <v>76</v>
      </c>
      <c r="C332" t="s">
        <v>8</v>
      </c>
      <c r="D332" s="4">
        <v>489</v>
      </c>
      <c r="E332" s="4"/>
      <c r="F332">
        <v>268</v>
      </c>
      <c r="H332" t="str">
        <f t="shared" si="5"/>
        <v>2022-11</v>
      </c>
      <c r="I332" t="str">
        <f>_xlfn.XLOOKUP(Table1[[#This Row],[Customer_ID]],Customers!$A$2:$A$30,Customers!$C$2:$C$30,"Not found")</f>
        <v>Carries forward</v>
      </c>
    </row>
    <row r="333" spans="1:9">
      <c r="A333" s="9">
        <v>44871</v>
      </c>
      <c r="B333" t="s">
        <v>76</v>
      </c>
      <c r="C333" t="s">
        <v>8</v>
      </c>
      <c r="D333" s="4">
        <v>28</v>
      </c>
      <c r="E333" s="4"/>
      <c r="F333">
        <v>268</v>
      </c>
      <c r="H333" t="str">
        <f t="shared" si="5"/>
        <v>2022-11</v>
      </c>
      <c r="I333" t="str">
        <f>_xlfn.XLOOKUP(Table1[[#This Row],[Customer_ID]],Customers!$A$2:$A$30,Customers!$C$2:$C$30,"Not found")</f>
        <v>Carries forward</v>
      </c>
    </row>
    <row r="334" spans="1:9">
      <c r="A334" s="9">
        <v>44872</v>
      </c>
      <c r="B334" t="s">
        <v>76</v>
      </c>
      <c r="C334" t="s">
        <v>8</v>
      </c>
      <c r="D334" s="4">
        <v>37</v>
      </c>
      <c r="E334" s="4"/>
      <c r="F334">
        <v>269</v>
      </c>
      <c r="H334" t="str">
        <f t="shared" si="5"/>
        <v>2022-11</v>
      </c>
      <c r="I334" t="str">
        <f>_xlfn.XLOOKUP(Table1[[#This Row],[Customer_ID]],Customers!$A$2:$A$30,Customers!$C$2:$C$30,"Not found")</f>
        <v>Carries forward</v>
      </c>
    </row>
    <row r="335" spans="1:9">
      <c r="A335" s="9">
        <v>44872</v>
      </c>
      <c r="B335" t="s">
        <v>76</v>
      </c>
      <c r="C335" t="s">
        <v>8</v>
      </c>
      <c r="D335" s="4">
        <v>102</v>
      </c>
      <c r="E335" s="4"/>
      <c r="F335">
        <v>269</v>
      </c>
      <c r="H335" t="str">
        <f t="shared" si="5"/>
        <v>2022-11</v>
      </c>
      <c r="I335" t="str">
        <f>_xlfn.XLOOKUP(Table1[[#This Row],[Customer_ID]],Customers!$A$2:$A$30,Customers!$C$2:$C$30,"Not found")</f>
        <v>Carries forward</v>
      </c>
    </row>
    <row r="336" spans="1:9">
      <c r="A336" s="9">
        <v>44872</v>
      </c>
      <c r="B336" t="s">
        <v>76</v>
      </c>
      <c r="C336" t="s">
        <v>8</v>
      </c>
      <c r="D336" s="4">
        <v>96</v>
      </c>
      <c r="E336" s="4"/>
      <c r="F336">
        <v>269</v>
      </c>
      <c r="H336" t="str">
        <f t="shared" si="5"/>
        <v>2022-11</v>
      </c>
      <c r="I336" t="str">
        <f>_xlfn.XLOOKUP(Table1[[#This Row],[Customer_ID]],Customers!$A$2:$A$30,Customers!$C$2:$C$30,"Not found")</f>
        <v>Carries forward</v>
      </c>
    </row>
    <row r="337" spans="1:9">
      <c r="A337" s="9">
        <v>44872</v>
      </c>
      <c r="B337" t="s">
        <v>76</v>
      </c>
      <c r="C337" t="s">
        <v>8</v>
      </c>
      <c r="D337" s="4">
        <v>1422</v>
      </c>
      <c r="E337" s="4"/>
      <c r="F337">
        <v>269</v>
      </c>
      <c r="G337" t="s">
        <v>102</v>
      </c>
      <c r="H337" t="str">
        <f t="shared" si="5"/>
        <v>2022-11</v>
      </c>
      <c r="I337" t="str">
        <f>_xlfn.XLOOKUP(Table1[[#This Row],[Customer_ID]],Customers!$A$2:$A$30,Customers!$C$2:$C$30,"Not found")</f>
        <v>Carries forward</v>
      </c>
    </row>
    <row r="338" spans="1:9">
      <c r="A338" s="9">
        <v>44873</v>
      </c>
      <c r="B338" t="s">
        <v>76</v>
      </c>
      <c r="C338" t="s">
        <v>8</v>
      </c>
      <c r="D338" s="4">
        <v>48</v>
      </c>
      <c r="E338" s="4"/>
      <c r="F338">
        <v>269</v>
      </c>
      <c r="H338" t="str">
        <f t="shared" si="5"/>
        <v>2022-11</v>
      </c>
      <c r="I338" t="str">
        <f>_xlfn.XLOOKUP(Table1[[#This Row],[Customer_ID]],Customers!$A$2:$A$30,Customers!$C$2:$C$30,"Not found")</f>
        <v>Carries forward</v>
      </c>
    </row>
    <row r="339" spans="1:9">
      <c r="A339" s="9">
        <v>44874</v>
      </c>
      <c r="B339" t="s">
        <v>76</v>
      </c>
      <c r="C339" t="s">
        <v>8</v>
      </c>
      <c r="D339" s="4">
        <v>36</v>
      </c>
      <c r="E339" s="4"/>
      <c r="F339">
        <v>269</v>
      </c>
      <c r="H339" t="str">
        <f t="shared" si="5"/>
        <v>2022-11</v>
      </c>
      <c r="I339" t="str">
        <f>_xlfn.XLOOKUP(Table1[[#This Row],[Customer_ID]],Customers!$A$2:$A$30,Customers!$C$2:$C$30,"Not found")</f>
        <v>Carries forward</v>
      </c>
    </row>
    <row r="340" spans="1:9">
      <c r="A340" s="9">
        <v>44874</v>
      </c>
      <c r="B340" t="s">
        <v>76</v>
      </c>
      <c r="C340" t="s">
        <v>8</v>
      </c>
      <c r="D340" s="4">
        <v>39</v>
      </c>
      <c r="E340" s="4"/>
      <c r="F340">
        <v>269</v>
      </c>
      <c r="H340" t="str">
        <f t="shared" si="5"/>
        <v>2022-11</v>
      </c>
      <c r="I340" t="str">
        <f>_xlfn.XLOOKUP(Table1[[#This Row],[Customer_ID]],Customers!$A$2:$A$30,Customers!$C$2:$C$30,"Not found")</f>
        <v>Carries forward</v>
      </c>
    </row>
    <row r="341" spans="1:9">
      <c r="A341" s="9">
        <v>44874</v>
      </c>
      <c r="B341" t="s">
        <v>76</v>
      </c>
      <c r="C341" t="s">
        <v>8</v>
      </c>
      <c r="D341" s="4">
        <v>289</v>
      </c>
      <c r="E341" s="4"/>
      <c r="F341">
        <v>269</v>
      </c>
      <c r="H341" t="str">
        <f t="shared" si="5"/>
        <v>2022-11</v>
      </c>
      <c r="I341" t="str">
        <f>_xlfn.XLOOKUP(Table1[[#This Row],[Customer_ID]],Customers!$A$2:$A$30,Customers!$C$2:$C$30,"Not found")</f>
        <v>Carries forward</v>
      </c>
    </row>
    <row r="342" spans="1:9">
      <c r="A342" s="9">
        <v>44875</v>
      </c>
      <c r="B342" t="s">
        <v>76</v>
      </c>
      <c r="C342" t="s">
        <v>8</v>
      </c>
      <c r="D342" s="4">
        <v>32</v>
      </c>
      <c r="E342" s="4">
        <v>15411</v>
      </c>
      <c r="F342">
        <v>269</v>
      </c>
      <c r="G342" t="s">
        <v>103</v>
      </c>
      <c r="H342" t="str">
        <f t="shared" si="5"/>
        <v>2022-11</v>
      </c>
      <c r="I342" t="str">
        <f>_xlfn.XLOOKUP(Table1[[#This Row],[Customer_ID]],Customers!$A$2:$A$30,Customers!$C$2:$C$30,"Not found")</f>
        <v>Carries forward</v>
      </c>
    </row>
    <row r="343" spans="1:9">
      <c r="A343" s="9">
        <v>44875</v>
      </c>
      <c r="B343" t="s">
        <v>76</v>
      </c>
      <c r="C343" t="s">
        <v>8</v>
      </c>
      <c r="D343" s="4">
        <v>37</v>
      </c>
      <c r="E343" s="4"/>
      <c r="F343">
        <v>269</v>
      </c>
      <c r="H343" t="str">
        <f t="shared" si="5"/>
        <v>2022-11</v>
      </c>
      <c r="I343" t="str">
        <f>_xlfn.XLOOKUP(Table1[[#This Row],[Customer_ID]],Customers!$A$2:$A$30,Customers!$C$2:$C$30,"Not found")</f>
        <v>Carries forward</v>
      </c>
    </row>
    <row r="344" spans="1:9">
      <c r="A344" s="9">
        <v>44876</v>
      </c>
      <c r="B344" t="s">
        <v>76</v>
      </c>
      <c r="C344" t="s">
        <v>8</v>
      </c>
      <c r="D344" s="4">
        <v>187</v>
      </c>
      <c r="E344" s="4"/>
      <c r="F344">
        <v>269</v>
      </c>
      <c r="H344" t="str">
        <f t="shared" si="5"/>
        <v>2022-11</v>
      </c>
      <c r="I344" t="str">
        <f>_xlfn.XLOOKUP(Table1[[#This Row],[Customer_ID]],Customers!$A$2:$A$30,Customers!$C$2:$C$30,"Not found")</f>
        <v>Carries forward</v>
      </c>
    </row>
    <row r="345" spans="1:9">
      <c r="A345" s="9">
        <v>44877</v>
      </c>
      <c r="B345" t="s">
        <v>76</v>
      </c>
      <c r="C345" t="s">
        <v>8</v>
      </c>
      <c r="D345" s="4">
        <v>32</v>
      </c>
      <c r="E345" s="4">
        <v>15667</v>
      </c>
      <c r="F345">
        <v>269</v>
      </c>
      <c r="G345" t="s">
        <v>104</v>
      </c>
      <c r="H345" t="str">
        <f t="shared" si="5"/>
        <v>2022-11</v>
      </c>
      <c r="I345" t="str">
        <f>_xlfn.XLOOKUP(Table1[[#This Row],[Customer_ID]],Customers!$A$2:$A$30,Customers!$C$2:$C$30,"Not found")</f>
        <v>Carries forward</v>
      </c>
    </row>
    <row r="346" spans="1:9">
      <c r="A346" s="9">
        <v>44879</v>
      </c>
      <c r="B346" t="s">
        <v>76</v>
      </c>
      <c r="C346" t="s">
        <v>8</v>
      </c>
      <c r="D346" s="4">
        <v>74</v>
      </c>
      <c r="E346" s="4">
        <v>15741</v>
      </c>
      <c r="F346">
        <v>269</v>
      </c>
      <c r="G346" t="s">
        <v>105</v>
      </c>
      <c r="H346" t="str">
        <f t="shared" si="5"/>
        <v>2022-11</v>
      </c>
      <c r="I346" t="str">
        <f>_xlfn.XLOOKUP(Table1[[#This Row],[Customer_ID]],Customers!$A$2:$A$30,Customers!$C$2:$C$30,"Not found")</f>
        <v>Carries forward</v>
      </c>
    </row>
    <row r="347" spans="1:9">
      <c r="A347" s="9">
        <v>44879</v>
      </c>
      <c r="B347" t="s">
        <v>76</v>
      </c>
      <c r="C347" t="s">
        <v>14</v>
      </c>
      <c r="D347" s="4">
        <v>6000</v>
      </c>
      <c r="E347" s="4">
        <v>9741</v>
      </c>
      <c r="F347">
        <v>269</v>
      </c>
      <c r="G347" t="s">
        <v>106</v>
      </c>
      <c r="H347" t="str">
        <f t="shared" si="5"/>
        <v>2022-11</v>
      </c>
      <c r="I347" t="str">
        <f>_xlfn.XLOOKUP(Table1[[#This Row],[Customer_ID]],Customers!$A$2:$A$30,Customers!$C$2:$C$30,"Not found")</f>
        <v>Carries forward</v>
      </c>
    </row>
    <row r="348" spans="1:9">
      <c r="A348" s="9">
        <v>44889</v>
      </c>
      <c r="B348" t="s">
        <v>76</v>
      </c>
      <c r="C348" t="s">
        <v>14</v>
      </c>
      <c r="D348" s="4">
        <v>7000</v>
      </c>
      <c r="E348" s="4">
        <v>2741</v>
      </c>
      <c r="F348">
        <v>269</v>
      </c>
      <c r="G348" t="s">
        <v>107</v>
      </c>
      <c r="H348" t="str">
        <f t="shared" si="5"/>
        <v>2022-11</v>
      </c>
      <c r="I348" t="str">
        <f>_xlfn.XLOOKUP(Table1[[#This Row],[Customer_ID]],Customers!$A$2:$A$30,Customers!$C$2:$C$30,"Not found")</f>
        <v>Carries forward</v>
      </c>
    </row>
    <row r="349" spans="1:9">
      <c r="A349" s="9">
        <v>44877</v>
      </c>
      <c r="B349" t="s">
        <v>76</v>
      </c>
      <c r="C349" t="s">
        <v>8</v>
      </c>
      <c r="D349" s="4">
        <v>24</v>
      </c>
      <c r="E349" s="4"/>
      <c r="F349">
        <v>269</v>
      </c>
      <c r="H349" t="str">
        <f t="shared" si="5"/>
        <v>2022-11</v>
      </c>
      <c r="I349" t="str">
        <f>_xlfn.XLOOKUP(Table1[[#This Row],[Customer_ID]],Customers!$A$2:$A$30,Customers!$C$2:$C$30,"Not found")</f>
        <v>Carries forward</v>
      </c>
    </row>
    <row r="350" spans="1:9">
      <c r="A350" s="9">
        <v>44879</v>
      </c>
      <c r="B350" t="s">
        <v>76</v>
      </c>
      <c r="C350" t="s">
        <v>8</v>
      </c>
      <c r="D350" s="4">
        <v>234</v>
      </c>
      <c r="E350" s="4"/>
      <c r="F350">
        <v>269</v>
      </c>
      <c r="H350" t="str">
        <f t="shared" si="5"/>
        <v>2022-11</v>
      </c>
      <c r="I350" t="str">
        <f>_xlfn.XLOOKUP(Table1[[#This Row],[Customer_ID]],Customers!$A$2:$A$30,Customers!$C$2:$C$30,"Not found")</f>
        <v>Carries forward</v>
      </c>
    </row>
    <row r="351" spans="1:9">
      <c r="A351" s="9">
        <v>44878</v>
      </c>
      <c r="B351" t="s">
        <v>76</v>
      </c>
      <c r="C351" t="s">
        <v>8</v>
      </c>
      <c r="D351" s="4">
        <v>32</v>
      </c>
      <c r="E351" s="4"/>
      <c r="F351">
        <v>269</v>
      </c>
      <c r="H351" t="str">
        <f t="shared" si="5"/>
        <v>2022-11</v>
      </c>
      <c r="I351" t="str">
        <f>_xlfn.XLOOKUP(Table1[[#This Row],[Customer_ID]],Customers!$A$2:$A$30,Customers!$C$2:$C$30,"Not found")</f>
        <v>Carries forward</v>
      </c>
    </row>
    <row r="352" spans="1:9">
      <c r="A352" s="9">
        <v>44878</v>
      </c>
      <c r="B352" t="s">
        <v>76</v>
      </c>
      <c r="C352" t="s">
        <v>8</v>
      </c>
      <c r="D352" s="4">
        <v>32</v>
      </c>
      <c r="E352" s="4"/>
      <c r="F352">
        <v>269</v>
      </c>
      <c r="H352" t="str">
        <f t="shared" si="5"/>
        <v>2022-11</v>
      </c>
      <c r="I352" t="str">
        <f>_xlfn.XLOOKUP(Table1[[#This Row],[Customer_ID]],Customers!$A$2:$A$30,Customers!$C$2:$C$30,"Not found")</f>
        <v>Carries forward</v>
      </c>
    </row>
    <row r="353" spans="1:9">
      <c r="A353" s="9">
        <v>44878</v>
      </c>
      <c r="B353" t="s">
        <v>76</v>
      </c>
      <c r="C353" t="s">
        <v>8</v>
      </c>
      <c r="D353" s="4">
        <v>34</v>
      </c>
      <c r="E353" s="4"/>
      <c r="F353">
        <v>269</v>
      </c>
      <c r="H353" t="str">
        <f t="shared" si="5"/>
        <v>2022-11</v>
      </c>
      <c r="I353" t="str">
        <f>_xlfn.XLOOKUP(Table1[[#This Row],[Customer_ID]],Customers!$A$2:$A$30,Customers!$C$2:$C$30,"Not found")</f>
        <v>Carries forward</v>
      </c>
    </row>
    <row r="354" spans="1:9">
      <c r="A354" s="9">
        <v>44879</v>
      </c>
      <c r="B354" t="s">
        <v>76</v>
      </c>
      <c r="C354" t="s">
        <v>8</v>
      </c>
      <c r="D354" s="4">
        <v>34</v>
      </c>
      <c r="E354" s="4"/>
      <c r="F354">
        <v>269</v>
      </c>
      <c r="H354" t="str">
        <f t="shared" si="5"/>
        <v>2022-11</v>
      </c>
      <c r="I354" t="str">
        <f>_xlfn.XLOOKUP(Table1[[#This Row],[Customer_ID]],Customers!$A$2:$A$30,Customers!$C$2:$C$30,"Not found")</f>
        <v>Carries forward</v>
      </c>
    </row>
    <row r="355" spans="1:9">
      <c r="A355" s="9">
        <v>44879</v>
      </c>
      <c r="B355" t="s">
        <v>76</v>
      </c>
      <c r="C355" t="s">
        <v>8</v>
      </c>
      <c r="D355" s="4">
        <v>34</v>
      </c>
      <c r="E355" s="4"/>
      <c r="F355">
        <v>269</v>
      </c>
      <c r="H355" t="str">
        <f t="shared" si="5"/>
        <v>2022-11</v>
      </c>
      <c r="I355" t="str">
        <f>_xlfn.XLOOKUP(Table1[[#This Row],[Customer_ID]],Customers!$A$2:$A$30,Customers!$C$2:$C$30,"Not found")</f>
        <v>Carries forward</v>
      </c>
    </row>
    <row r="356" spans="1:9">
      <c r="A356" s="9">
        <v>44880</v>
      </c>
      <c r="B356" t="s">
        <v>76</v>
      </c>
      <c r="C356" t="s">
        <v>8</v>
      </c>
      <c r="D356" s="4">
        <v>32</v>
      </c>
      <c r="E356" s="4"/>
      <c r="F356">
        <v>269</v>
      </c>
      <c r="H356" t="str">
        <f t="shared" si="5"/>
        <v>2022-11</v>
      </c>
      <c r="I356" t="str">
        <f>_xlfn.XLOOKUP(Table1[[#This Row],[Customer_ID]],Customers!$A$2:$A$30,Customers!$C$2:$C$30,"Not found")</f>
        <v>Carries forward</v>
      </c>
    </row>
    <row r="357" spans="1:9">
      <c r="A357" s="9">
        <v>44880</v>
      </c>
      <c r="B357" t="s">
        <v>76</v>
      </c>
      <c r="C357" t="s">
        <v>8</v>
      </c>
      <c r="D357" s="4">
        <v>32</v>
      </c>
      <c r="E357" s="4"/>
      <c r="F357">
        <v>269</v>
      </c>
      <c r="H357" t="str">
        <f t="shared" si="5"/>
        <v>2022-11</v>
      </c>
      <c r="I357" t="str">
        <f>_xlfn.XLOOKUP(Table1[[#This Row],[Customer_ID]],Customers!$A$2:$A$30,Customers!$C$2:$C$30,"Not found")</f>
        <v>Carries forward</v>
      </c>
    </row>
    <row r="358" spans="1:9">
      <c r="A358" s="9">
        <v>44880</v>
      </c>
      <c r="B358" t="s">
        <v>76</v>
      </c>
      <c r="C358" t="s">
        <v>8</v>
      </c>
      <c r="D358" s="4">
        <v>105</v>
      </c>
      <c r="E358" s="4"/>
      <c r="F358">
        <v>269</v>
      </c>
      <c r="H358" t="str">
        <f t="shared" si="5"/>
        <v>2022-11</v>
      </c>
      <c r="I358" t="str">
        <f>_xlfn.XLOOKUP(Table1[[#This Row],[Customer_ID]],Customers!$A$2:$A$30,Customers!$C$2:$C$30,"Not found")</f>
        <v>Carries forward</v>
      </c>
    </row>
    <row r="359" spans="1:9">
      <c r="A359" s="9">
        <v>44881</v>
      </c>
      <c r="B359" t="s">
        <v>76</v>
      </c>
      <c r="C359" t="s">
        <v>8</v>
      </c>
      <c r="D359" s="4">
        <v>32</v>
      </c>
      <c r="E359" s="4"/>
      <c r="F359">
        <v>269</v>
      </c>
      <c r="H359" t="str">
        <f t="shared" si="5"/>
        <v>2022-11</v>
      </c>
      <c r="I359" t="str">
        <f>_xlfn.XLOOKUP(Table1[[#This Row],[Customer_ID]],Customers!$A$2:$A$30,Customers!$C$2:$C$30,"Not found")</f>
        <v>Carries forward</v>
      </c>
    </row>
    <row r="360" spans="1:9">
      <c r="A360" s="9">
        <v>44881</v>
      </c>
      <c r="B360" t="s">
        <v>76</v>
      </c>
      <c r="C360" t="s">
        <v>8</v>
      </c>
      <c r="D360" s="4">
        <v>127</v>
      </c>
      <c r="E360" s="4"/>
      <c r="F360">
        <v>269</v>
      </c>
      <c r="H360" t="str">
        <f t="shared" si="5"/>
        <v>2022-11</v>
      </c>
      <c r="I360" t="str">
        <f>_xlfn.XLOOKUP(Table1[[#This Row],[Customer_ID]],Customers!$A$2:$A$30,Customers!$C$2:$C$30,"Not found")</f>
        <v>Carries forward</v>
      </c>
    </row>
    <row r="361" spans="1:9">
      <c r="A361" s="9">
        <v>44881</v>
      </c>
      <c r="B361" t="s">
        <v>76</v>
      </c>
      <c r="C361" t="s">
        <v>8</v>
      </c>
      <c r="D361" s="4">
        <v>37</v>
      </c>
      <c r="E361" s="4"/>
      <c r="F361">
        <v>269</v>
      </c>
      <c r="H361" t="str">
        <f t="shared" si="5"/>
        <v>2022-11</v>
      </c>
      <c r="I361" t="str">
        <f>_xlfn.XLOOKUP(Table1[[#This Row],[Customer_ID]],Customers!$A$2:$A$30,Customers!$C$2:$C$30,"Not found")</f>
        <v>Carries forward</v>
      </c>
    </row>
    <row r="362" spans="1:9">
      <c r="A362" s="9">
        <v>44882</v>
      </c>
      <c r="B362" t="s">
        <v>76</v>
      </c>
      <c r="C362" t="s">
        <v>8</v>
      </c>
      <c r="D362" s="4">
        <v>32</v>
      </c>
      <c r="E362" s="4"/>
      <c r="F362">
        <v>269</v>
      </c>
      <c r="H362" t="str">
        <f t="shared" si="5"/>
        <v>2022-11</v>
      </c>
      <c r="I362" t="str">
        <f>_xlfn.XLOOKUP(Table1[[#This Row],[Customer_ID]],Customers!$A$2:$A$30,Customers!$C$2:$C$30,"Not found")</f>
        <v>Carries forward</v>
      </c>
    </row>
    <row r="363" spans="1:9">
      <c r="A363" s="9">
        <v>44882</v>
      </c>
      <c r="B363" t="s">
        <v>76</v>
      </c>
      <c r="C363" t="s">
        <v>8</v>
      </c>
      <c r="D363" s="4">
        <v>245</v>
      </c>
      <c r="E363" s="4"/>
      <c r="F363">
        <v>269</v>
      </c>
      <c r="H363" t="str">
        <f t="shared" si="5"/>
        <v>2022-11</v>
      </c>
      <c r="I363" t="str">
        <f>_xlfn.XLOOKUP(Table1[[#This Row],[Customer_ID]],Customers!$A$2:$A$30,Customers!$C$2:$C$30,"Not found")</f>
        <v>Carries forward</v>
      </c>
    </row>
    <row r="364" spans="1:9">
      <c r="A364" s="9">
        <v>44882</v>
      </c>
      <c r="B364" t="s">
        <v>76</v>
      </c>
      <c r="C364" t="s">
        <v>8</v>
      </c>
      <c r="D364" s="4">
        <v>28</v>
      </c>
      <c r="E364" s="4"/>
      <c r="F364">
        <v>269</v>
      </c>
      <c r="H364" t="str">
        <f t="shared" si="5"/>
        <v>2022-11</v>
      </c>
      <c r="I364" t="str">
        <f>_xlfn.XLOOKUP(Table1[[#This Row],[Customer_ID]],Customers!$A$2:$A$30,Customers!$C$2:$C$30,"Not found")</f>
        <v>Carries forward</v>
      </c>
    </row>
    <row r="365" spans="1:9">
      <c r="A365" s="9">
        <v>44882</v>
      </c>
      <c r="B365" t="s">
        <v>76</v>
      </c>
      <c r="C365" t="s">
        <v>8</v>
      </c>
      <c r="D365" s="4">
        <v>30</v>
      </c>
      <c r="E365" s="4"/>
      <c r="F365">
        <v>269</v>
      </c>
      <c r="H365" t="str">
        <f t="shared" si="5"/>
        <v>2022-11</v>
      </c>
      <c r="I365" t="str">
        <f>_xlfn.XLOOKUP(Table1[[#This Row],[Customer_ID]],Customers!$A$2:$A$30,Customers!$C$2:$C$30,"Not found")</f>
        <v>Carries forward</v>
      </c>
    </row>
    <row r="366" spans="1:9">
      <c r="A366" s="9">
        <v>44884</v>
      </c>
      <c r="B366" t="s">
        <v>76</v>
      </c>
      <c r="C366" t="s">
        <v>8</v>
      </c>
      <c r="D366" s="4">
        <v>37</v>
      </c>
      <c r="E366" s="4"/>
      <c r="F366">
        <v>269</v>
      </c>
      <c r="H366" t="str">
        <f t="shared" si="5"/>
        <v>2022-11</v>
      </c>
      <c r="I366" t="str">
        <f>_xlfn.XLOOKUP(Table1[[#This Row],[Customer_ID]],Customers!$A$2:$A$30,Customers!$C$2:$C$30,"Not found")</f>
        <v>Carries forward</v>
      </c>
    </row>
    <row r="367" spans="1:9">
      <c r="A367" s="9">
        <v>44884</v>
      </c>
      <c r="B367" t="s">
        <v>76</v>
      </c>
      <c r="C367" t="s">
        <v>8</v>
      </c>
      <c r="D367" s="4">
        <v>32</v>
      </c>
      <c r="E367" s="4"/>
      <c r="F367">
        <v>269</v>
      </c>
      <c r="H367" t="str">
        <f t="shared" si="5"/>
        <v>2022-11</v>
      </c>
      <c r="I367" t="str">
        <f>_xlfn.XLOOKUP(Table1[[#This Row],[Customer_ID]],Customers!$A$2:$A$30,Customers!$C$2:$C$30,"Not found")</f>
        <v>Carries forward</v>
      </c>
    </row>
    <row r="368" spans="1:9">
      <c r="A368" s="9">
        <v>44885</v>
      </c>
      <c r="B368" t="s">
        <v>76</v>
      </c>
      <c r="C368" t="s">
        <v>8</v>
      </c>
      <c r="D368" s="4">
        <v>32</v>
      </c>
      <c r="E368" s="4"/>
      <c r="F368">
        <v>269</v>
      </c>
      <c r="H368" t="str">
        <f t="shared" si="5"/>
        <v>2022-11</v>
      </c>
      <c r="I368" t="str">
        <f>_xlfn.XLOOKUP(Table1[[#This Row],[Customer_ID]],Customers!$A$2:$A$30,Customers!$C$2:$C$30,"Not found")</f>
        <v>Carries forward</v>
      </c>
    </row>
    <row r="369" spans="1:9">
      <c r="A369" s="9">
        <v>44885</v>
      </c>
      <c r="B369" t="s">
        <v>76</v>
      </c>
      <c r="C369" t="s">
        <v>8</v>
      </c>
      <c r="D369" s="4">
        <v>37</v>
      </c>
      <c r="E369" s="4"/>
      <c r="F369">
        <v>269</v>
      </c>
      <c r="H369" t="str">
        <f t="shared" si="5"/>
        <v>2022-11</v>
      </c>
      <c r="I369" t="str">
        <f>_xlfn.XLOOKUP(Table1[[#This Row],[Customer_ID]],Customers!$A$2:$A$30,Customers!$C$2:$C$30,"Not found")</f>
        <v>Carries forward</v>
      </c>
    </row>
    <row r="370" spans="1:9">
      <c r="A370" s="9">
        <v>44886</v>
      </c>
      <c r="B370" t="s">
        <v>76</v>
      </c>
      <c r="C370" t="s">
        <v>8</v>
      </c>
      <c r="D370" s="4">
        <v>21</v>
      </c>
      <c r="E370" s="4"/>
      <c r="F370">
        <v>269</v>
      </c>
      <c r="H370" t="str">
        <f t="shared" si="5"/>
        <v>2022-11</v>
      </c>
      <c r="I370" t="str">
        <f>_xlfn.XLOOKUP(Table1[[#This Row],[Customer_ID]],Customers!$A$2:$A$30,Customers!$C$2:$C$30,"Not found")</f>
        <v>Carries forward</v>
      </c>
    </row>
    <row r="371" spans="1:9">
      <c r="A371" s="9">
        <v>44886</v>
      </c>
      <c r="B371" t="s">
        <v>76</v>
      </c>
      <c r="C371" t="s">
        <v>8</v>
      </c>
      <c r="D371" s="4">
        <v>161</v>
      </c>
      <c r="E371" s="4"/>
      <c r="F371">
        <v>269</v>
      </c>
      <c r="H371" t="str">
        <f t="shared" si="5"/>
        <v>2022-11</v>
      </c>
      <c r="I371" t="str">
        <f>_xlfn.XLOOKUP(Table1[[#This Row],[Customer_ID]],Customers!$A$2:$A$30,Customers!$C$2:$C$30,"Not found")</f>
        <v>Carries forward</v>
      </c>
    </row>
    <row r="372" spans="1:9">
      <c r="A372" s="9">
        <v>44888</v>
      </c>
      <c r="B372" t="s">
        <v>76</v>
      </c>
      <c r="C372" t="s">
        <v>8</v>
      </c>
      <c r="D372" s="4">
        <v>172</v>
      </c>
      <c r="E372" s="4"/>
      <c r="F372">
        <v>269</v>
      </c>
      <c r="H372" t="str">
        <f t="shared" si="5"/>
        <v>2022-11</v>
      </c>
      <c r="I372" t="str">
        <f>_xlfn.XLOOKUP(Table1[[#This Row],[Customer_ID]],Customers!$A$2:$A$30,Customers!$C$2:$C$30,"Not found")</f>
        <v>Carries forward</v>
      </c>
    </row>
    <row r="373" spans="1:9">
      <c r="A373" s="9">
        <v>44889</v>
      </c>
      <c r="B373" t="s">
        <v>76</v>
      </c>
      <c r="C373" t="s">
        <v>8</v>
      </c>
      <c r="D373" s="4">
        <v>42</v>
      </c>
      <c r="E373" s="4"/>
      <c r="F373">
        <v>269</v>
      </c>
      <c r="H373" t="str">
        <f t="shared" si="5"/>
        <v>2022-11</v>
      </c>
      <c r="I373" t="str">
        <f>_xlfn.XLOOKUP(Table1[[#This Row],[Customer_ID]],Customers!$A$2:$A$30,Customers!$C$2:$C$30,"Not found")</f>
        <v>Carries forward</v>
      </c>
    </row>
    <row r="374" spans="1:9">
      <c r="A374" s="9">
        <v>44890</v>
      </c>
      <c r="B374" t="s">
        <v>76</v>
      </c>
      <c r="C374" t="s">
        <v>8</v>
      </c>
      <c r="D374" s="4">
        <v>37</v>
      </c>
      <c r="E374" s="4"/>
      <c r="F374">
        <v>269</v>
      </c>
      <c r="H374" t="str">
        <f t="shared" si="5"/>
        <v>2022-11</v>
      </c>
      <c r="I374" t="str">
        <f>_xlfn.XLOOKUP(Table1[[#This Row],[Customer_ID]],Customers!$A$2:$A$30,Customers!$C$2:$C$30,"Not found")</f>
        <v>Carries forward</v>
      </c>
    </row>
    <row r="375" spans="1:9">
      <c r="A375" s="9">
        <v>44890</v>
      </c>
      <c r="B375" t="s">
        <v>76</v>
      </c>
      <c r="C375" t="s">
        <v>8</v>
      </c>
      <c r="D375" s="4">
        <v>29</v>
      </c>
      <c r="E375" s="4"/>
      <c r="F375">
        <v>269</v>
      </c>
      <c r="H375" t="str">
        <f t="shared" si="5"/>
        <v>2022-11</v>
      </c>
      <c r="I375" t="str">
        <f>_xlfn.XLOOKUP(Table1[[#This Row],[Customer_ID]],Customers!$A$2:$A$30,Customers!$C$2:$C$30,"Not found")</f>
        <v>Carries forward</v>
      </c>
    </row>
    <row r="376" spans="1:9">
      <c r="A376" s="9">
        <v>44891</v>
      </c>
      <c r="B376" t="s">
        <v>76</v>
      </c>
      <c r="C376" t="s">
        <v>8</v>
      </c>
      <c r="D376" s="4">
        <v>18</v>
      </c>
      <c r="E376" s="4"/>
      <c r="F376">
        <v>269</v>
      </c>
      <c r="H376" t="str">
        <f t="shared" si="5"/>
        <v>2022-11</v>
      </c>
      <c r="I376" t="str">
        <f>_xlfn.XLOOKUP(Table1[[#This Row],[Customer_ID]],Customers!$A$2:$A$30,Customers!$C$2:$C$30,"Not found")</f>
        <v>Carries forward</v>
      </c>
    </row>
    <row r="377" spans="1:9">
      <c r="A377" s="9">
        <v>44891</v>
      </c>
      <c r="B377" t="s">
        <v>76</v>
      </c>
      <c r="C377" t="s">
        <v>8</v>
      </c>
      <c r="D377" s="4">
        <v>27</v>
      </c>
      <c r="E377" s="4"/>
      <c r="F377">
        <v>269</v>
      </c>
      <c r="H377" t="str">
        <f t="shared" si="5"/>
        <v>2022-11</v>
      </c>
      <c r="I377" t="str">
        <f>_xlfn.XLOOKUP(Table1[[#This Row],[Customer_ID]],Customers!$A$2:$A$30,Customers!$C$2:$C$30,"Not found")</f>
        <v>Carries forward</v>
      </c>
    </row>
    <row r="378" spans="1:9">
      <c r="A378" s="9">
        <v>44892</v>
      </c>
      <c r="B378" t="s">
        <v>76</v>
      </c>
      <c r="C378" t="s">
        <v>8</v>
      </c>
      <c r="D378" s="4">
        <v>29</v>
      </c>
      <c r="E378" s="4"/>
      <c r="F378">
        <v>269</v>
      </c>
      <c r="H378" t="str">
        <f t="shared" si="5"/>
        <v>2022-11</v>
      </c>
      <c r="I378" t="str">
        <f>_xlfn.XLOOKUP(Table1[[#This Row],[Customer_ID]],Customers!$A$2:$A$30,Customers!$C$2:$C$30,"Not found")</f>
        <v>Carries forward</v>
      </c>
    </row>
    <row r="379" spans="1:9">
      <c r="A379" s="9">
        <v>44893</v>
      </c>
      <c r="B379" t="s">
        <v>76</v>
      </c>
      <c r="C379" t="s">
        <v>8</v>
      </c>
      <c r="D379" s="4">
        <v>35</v>
      </c>
      <c r="E379" s="4"/>
      <c r="F379">
        <v>269</v>
      </c>
      <c r="H379" t="str">
        <f t="shared" si="5"/>
        <v>2022-11</v>
      </c>
      <c r="I379" t="str">
        <f>_xlfn.XLOOKUP(Table1[[#This Row],[Customer_ID]],Customers!$A$2:$A$30,Customers!$C$2:$C$30,"Not found")</f>
        <v>Carries forward</v>
      </c>
    </row>
    <row r="380" spans="1:9">
      <c r="A380" s="9">
        <v>44893</v>
      </c>
      <c r="B380" t="s">
        <v>76</v>
      </c>
      <c r="C380" t="s">
        <v>8</v>
      </c>
      <c r="D380" s="4">
        <v>32</v>
      </c>
      <c r="E380" s="4"/>
      <c r="F380">
        <v>269</v>
      </c>
      <c r="H380" t="str">
        <f t="shared" si="5"/>
        <v>2022-11</v>
      </c>
      <c r="I380" t="str">
        <f>_xlfn.XLOOKUP(Table1[[#This Row],[Customer_ID]],Customers!$A$2:$A$30,Customers!$C$2:$C$30,"Not found")</f>
        <v>Carries forward</v>
      </c>
    </row>
    <row r="381" spans="1:9">
      <c r="A381" s="9">
        <v>44894</v>
      </c>
      <c r="B381" t="s">
        <v>76</v>
      </c>
      <c r="C381" t="s">
        <v>8</v>
      </c>
      <c r="D381" s="4">
        <v>37</v>
      </c>
      <c r="E381" s="4"/>
      <c r="F381">
        <v>269</v>
      </c>
      <c r="H381" t="str">
        <f t="shared" si="5"/>
        <v>2022-11</v>
      </c>
      <c r="I381" t="str">
        <f>_xlfn.XLOOKUP(Table1[[#This Row],[Customer_ID]],Customers!$A$2:$A$30,Customers!$C$2:$C$30,"Not found")</f>
        <v>Carries forward</v>
      </c>
    </row>
    <row r="382" spans="1:9">
      <c r="A382" s="9">
        <v>44894</v>
      </c>
      <c r="B382" t="s">
        <v>76</v>
      </c>
      <c r="C382" t="s">
        <v>8</v>
      </c>
      <c r="D382" s="4">
        <v>32</v>
      </c>
      <c r="E382" s="4"/>
      <c r="F382">
        <v>269</v>
      </c>
      <c r="H382" t="str">
        <f t="shared" si="5"/>
        <v>2022-11</v>
      </c>
      <c r="I382" t="str">
        <f>_xlfn.XLOOKUP(Table1[[#This Row],[Customer_ID]],Customers!$A$2:$A$30,Customers!$C$2:$C$30,"Not found")</f>
        <v>Carries forward</v>
      </c>
    </row>
    <row r="383" spans="1:9">
      <c r="A383" s="9">
        <v>44895</v>
      </c>
      <c r="B383" t="s">
        <v>76</v>
      </c>
      <c r="C383" t="s">
        <v>8</v>
      </c>
      <c r="D383" s="4">
        <v>34</v>
      </c>
      <c r="E383" s="4"/>
      <c r="F383">
        <v>269</v>
      </c>
      <c r="H383" t="str">
        <f t="shared" si="5"/>
        <v>2022-11</v>
      </c>
      <c r="I383" t="str">
        <f>_xlfn.XLOOKUP(Table1[[#This Row],[Customer_ID]],Customers!$A$2:$A$30,Customers!$C$2:$C$30,"Not found")</f>
        <v>Carries forward</v>
      </c>
    </row>
    <row r="384" spans="1:9">
      <c r="A384" s="9">
        <v>44895</v>
      </c>
      <c r="B384" t="s">
        <v>76</v>
      </c>
      <c r="C384" t="s">
        <v>8</v>
      </c>
      <c r="D384" s="4">
        <v>34</v>
      </c>
      <c r="E384" s="4"/>
      <c r="F384">
        <v>269</v>
      </c>
      <c r="H384" t="str">
        <f t="shared" si="5"/>
        <v>2022-11</v>
      </c>
      <c r="I384" t="str">
        <f>_xlfn.XLOOKUP(Table1[[#This Row],[Customer_ID]],Customers!$A$2:$A$30,Customers!$C$2:$C$30,"Not found")</f>
        <v>Carries forward</v>
      </c>
    </row>
    <row r="385" spans="1:9">
      <c r="A385" s="9">
        <v>44896</v>
      </c>
      <c r="B385" t="s">
        <v>76</v>
      </c>
      <c r="C385" t="s">
        <v>8</v>
      </c>
      <c r="D385" s="4">
        <v>35</v>
      </c>
      <c r="E385" s="4"/>
      <c r="F385">
        <v>269</v>
      </c>
      <c r="H385" t="str">
        <f t="shared" si="5"/>
        <v>2022-12</v>
      </c>
      <c r="I385" t="str">
        <f>_xlfn.XLOOKUP(Table1[[#This Row],[Customer_ID]],Customers!$A$2:$A$30,Customers!$C$2:$C$30,"Not found")</f>
        <v>Carries forward</v>
      </c>
    </row>
    <row r="386" spans="1:9">
      <c r="A386" s="9">
        <v>44896</v>
      </c>
      <c r="B386" t="s">
        <v>76</v>
      </c>
      <c r="C386" t="s">
        <v>8</v>
      </c>
      <c r="D386" s="4">
        <v>29</v>
      </c>
      <c r="E386" s="4"/>
      <c r="F386">
        <v>269</v>
      </c>
      <c r="H386" t="str">
        <f t="shared" si="5"/>
        <v>2022-12</v>
      </c>
      <c r="I386" t="str">
        <f>_xlfn.XLOOKUP(Table1[[#This Row],[Customer_ID]],Customers!$A$2:$A$30,Customers!$C$2:$C$30,"Not found")</f>
        <v>Carries forward</v>
      </c>
    </row>
    <row r="387" spans="1:9">
      <c r="A387" s="9">
        <v>44897</v>
      </c>
      <c r="B387" t="s">
        <v>76</v>
      </c>
      <c r="C387" t="s">
        <v>8</v>
      </c>
      <c r="D387" s="4">
        <v>21</v>
      </c>
      <c r="E387" s="4"/>
      <c r="F387">
        <v>269</v>
      </c>
      <c r="H387" t="str">
        <f t="shared" ref="H387:H450" si="6">IF(A387="","",TEXT(A387,"yyyy-mm"))</f>
        <v>2022-12</v>
      </c>
      <c r="I387" t="str">
        <f>_xlfn.XLOOKUP(Table1[[#This Row],[Customer_ID]],Customers!$A$2:$A$30,Customers!$C$2:$C$30,"Not found")</f>
        <v>Carries forward</v>
      </c>
    </row>
    <row r="388" spans="1:9">
      <c r="A388" s="9">
        <v>44897</v>
      </c>
      <c r="B388" t="s">
        <v>76</v>
      </c>
      <c r="C388" t="s">
        <v>8</v>
      </c>
      <c r="D388" s="4">
        <v>16</v>
      </c>
      <c r="E388" s="4"/>
      <c r="F388">
        <v>269</v>
      </c>
      <c r="H388" t="str">
        <f t="shared" si="6"/>
        <v>2022-12</v>
      </c>
      <c r="I388" t="str">
        <f>_xlfn.XLOOKUP(Table1[[#This Row],[Customer_ID]],Customers!$A$2:$A$30,Customers!$C$2:$C$30,"Not found")</f>
        <v>Carries forward</v>
      </c>
    </row>
    <row r="389" spans="1:9">
      <c r="A389" s="9">
        <v>44897</v>
      </c>
      <c r="B389" t="s">
        <v>76</v>
      </c>
      <c r="C389" t="s">
        <v>8</v>
      </c>
      <c r="D389" s="4">
        <v>41</v>
      </c>
      <c r="E389" s="4"/>
      <c r="F389">
        <v>269</v>
      </c>
      <c r="H389" t="str">
        <f t="shared" si="6"/>
        <v>2022-12</v>
      </c>
      <c r="I389" t="str">
        <f>_xlfn.XLOOKUP(Table1[[#This Row],[Customer_ID]],Customers!$A$2:$A$30,Customers!$C$2:$C$30,"Not found")</f>
        <v>Carries forward</v>
      </c>
    </row>
    <row r="390" spans="1:9">
      <c r="A390" s="9">
        <v>44898</v>
      </c>
      <c r="B390" t="s">
        <v>76</v>
      </c>
      <c r="C390" t="s">
        <v>8</v>
      </c>
      <c r="D390" s="4">
        <v>17</v>
      </c>
      <c r="E390" s="4"/>
      <c r="F390">
        <v>269</v>
      </c>
      <c r="H390" t="str">
        <f t="shared" si="6"/>
        <v>2022-12</v>
      </c>
      <c r="I390" t="str">
        <f>_xlfn.XLOOKUP(Table1[[#This Row],[Customer_ID]],Customers!$A$2:$A$30,Customers!$C$2:$C$30,"Not found")</f>
        <v>Carries forward</v>
      </c>
    </row>
    <row r="391" spans="1:9">
      <c r="A391" s="9">
        <v>44898</v>
      </c>
      <c r="B391" t="s">
        <v>76</v>
      </c>
      <c r="C391" t="s">
        <v>22</v>
      </c>
      <c r="D391" s="4">
        <v>2</v>
      </c>
      <c r="E391" s="4">
        <v>4904</v>
      </c>
      <c r="F391">
        <v>269</v>
      </c>
      <c r="G391" t="s">
        <v>108</v>
      </c>
      <c r="H391" t="str">
        <f t="shared" si="6"/>
        <v>2022-12</v>
      </c>
      <c r="I391" t="str">
        <f>_xlfn.XLOOKUP(Table1[[#This Row],[Customer_ID]],Customers!$A$2:$A$30,Customers!$C$2:$C$30,"Not found")</f>
        <v>Carries forward</v>
      </c>
    </row>
    <row r="392" spans="1:9">
      <c r="A392" s="9">
        <v>44902</v>
      </c>
      <c r="B392" t="s">
        <v>76</v>
      </c>
      <c r="C392" t="s">
        <v>8</v>
      </c>
      <c r="D392" s="4">
        <v>32</v>
      </c>
      <c r="E392" s="4"/>
      <c r="F392">
        <v>269</v>
      </c>
      <c r="H392" t="str">
        <f t="shared" si="6"/>
        <v>2022-12</v>
      </c>
      <c r="I392" t="str">
        <f>_xlfn.XLOOKUP(Table1[[#This Row],[Customer_ID]],Customers!$A$2:$A$30,Customers!$C$2:$C$30,"Not found")</f>
        <v>Carries forward</v>
      </c>
    </row>
    <row r="393" spans="1:9">
      <c r="A393" s="9">
        <v>44902</v>
      </c>
      <c r="B393" t="s">
        <v>76</v>
      </c>
      <c r="C393" t="s">
        <v>8</v>
      </c>
      <c r="D393" s="4">
        <v>34</v>
      </c>
      <c r="E393" s="4"/>
      <c r="F393">
        <v>269</v>
      </c>
      <c r="H393" t="str">
        <f t="shared" si="6"/>
        <v>2022-12</v>
      </c>
      <c r="I393" t="str">
        <f>_xlfn.XLOOKUP(Table1[[#This Row],[Customer_ID]],Customers!$A$2:$A$30,Customers!$C$2:$C$30,"Not found")</f>
        <v>Carries forward</v>
      </c>
    </row>
    <row r="394" spans="1:9">
      <c r="A394" s="9">
        <v>44903</v>
      </c>
      <c r="B394" t="s">
        <v>76</v>
      </c>
      <c r="C394" t="s">
        <v>8</v>
      </c>
      <c r="D394" s="4">
        <v>37</v>
      </c>
      <c r="E394" s="4"/>
      <c r="F394">
        <v>269</v>
      </c>
      <c r="H394" t="str">
        <f t="shared" si="6"/>
        <v>2022-12</v>
      </c>
      <c r="I394" t="str">
        <f>_xlfn.XLOOKUP(Table1[[#This Row],[Customer_ID]],Customers!$A$2:$A$30,Customers!$C$2:$C$30,"Not found")</f>
        <v>Carries forward</v>
      </c>
    </row>
    <row r="395" spans="1:9">
      <c r="A395" s="9">
        <v>44903</v>
      </c>
      <c r="B395" t="s">
        <v>76</v>
      </c>
      <c r="C395" t="s">
        <v>8</v>
      </c>
      <c r="D395" s="4">
        <v>37</v>
      </c>
      <c r="E395" s="4"/>
      <c r="F395">
        <v>269</v>
      </c>
      <c r="H395" t="str">
        <f t="shared" si="6"/>
        <v>2022-12</v>
      </c>
      <c r="I395" t="str">
        <f>_xlfn.XLOOKUP(Table1[[#This Row],[Customer_ID]],Customers!$A$2:$A$30,Customers!$C$2:$C$30,"Not found")</f>
        <v>Carries forward</v>
      </c>
    </row>
    <row r="396" spans="1:9">
      <c r="A396" s="9">
        <v>44904</v>
      </c>
      <c r="B396" t="s">
        <v>76</v>
      </c>
      <c r="C396" t="s">
        <v>8</v>
      </c>
      <c r="D396" s="4">
        <v>34</v>
      </c>
      <c r="E396" s="4"/>
      <c r="F396">
        <v>269</v>
      </c>
      <c r="H396" t="str">
        <f t="shared" si="6"/>
        <v>2022-12</v>
      </c>
      <c r="I396" t="str">
        <f>_xlfn.XLOOKUP(Table1[[#This Row],[Customer_ID]],Customers!$A$2:$A$30,Customers!$C$2:$C$30,"Not found")</f>
        <v>Carries forward</v>
      </c>
    </row>
    <row r="397" spans="1:9">
      <c r="A397" s="9">
        <v>44905</v>
      </c>
      <c r="B397" t="s">
        <v>76</v>
      </c>
      <c r="C397" t="s">
        <v>8</v>
      </c>
      <c r="D397" s="4">
        <v>5</v>
      </c>
      <c r="E397" s="4">
        <v>5083</v>
      </c>
      <c r="F397">
        <v>269</v>
      </c>
      <c r="G397" t="s">
        <v>109</v>
      </c>
      <c r="H397" t="str">
        <f t="shared" si="6"/>
        <v>2022-12</v>
      </c>
      <c r="I397" t="str">
        <f>_xlfn.XLOOKUP(Table1[[#This Row],[Customer_ID]],Customers!$A$2:$A$30,Customers!$C$2:$C$30,"Not found")</f>
        <v>Carries forward</v>
      </c>
    </row>
    <row r="398" spans="1:9">
      <c r="A398" s="9">
        <v>44905</v>
      </c>
      <c r="B398" t="s">
        <v>76</v>
      </c>
      <c r="C398" t="s">
        <v>8</v>
      </c>
      <c r="D398" s="4">
        <v>34</v>
      </c>
      <c r="E398" s="4">
        <v>5117</v>
      </c>
      <c r="F398">
        <v>269</v>
      </c>
      <c r="G398" t="s">
        <v>110</v>
      </c>
      <c r="H398" t="str">
        <f t="shared" si="6"/>
        <v>2022-12</v>
      </c>
      <c r="I398" t="str">
        <f>_xlfn.XLOOKUP(Table1[[#This Row],[Customer_ID]],Customers!$A$2:$A$30,Customers!$C$2:$C$30,"Not found")</f>
        <v>Carries forward</v>
      </c>
    </row>
    <row r="399" spans="1:9">
      <c r="A399" s="9">
        <v>44906</v>
      </c>
      <c r="B399" t="s">
        <v>76</v>
      </c>
      <c r="C399" t="s">
        <v>14</v>
      </c>
      <c r="D399" s="4">
        <v>3000</v>
      </c>
      <c r="E399" s="4">
        <v>2117</v>
      </c>
      <c r="F399">
        <v>269</v>
      </c>
      <c r="G399" t="s">
        <v>111</v>
      </c>
      <c r="H399" t="str">
        <f t="shared" si="6"/>
        <v>2022-12</v>
      </c>
      <c r="I399" t="str">
        <f>_xlfn.XLOOKUP(Table1[[#This Row],[Customer_ID]],Customers!$A$2:$A$30,Customers!$C$2:$C$30,"Not found")</f>
        <v>Carries forward</v>
      </c>
    </row>
    <row r="400" spans="1:9">
      <c r="A400" s="9">
        <v>44907</v>
      </c>
      <c r="B400" t="s">
        <v>76</v>
      </c>
      <c r="C400" t="s">
        <v>8</v>
      </c>
      <c r="D400" s="4">
        <v>16</v>
      </c>
      <c r="E400" s="4">
        <v>2133</v>
      </c>
      <c r="F400">
        <v>269</v>
      </c>
      <c r="G400" t="s">
        <v>112</v>
      </c>
      <c r="H400" t="str">
        <f t="shared" si="6"/>
        <v>2022-12</v>
      </c>
      <c r="I400" t="str">
        <f>_xlfn.XLOOKUP(Table1[[#This Row],[Customer_ID]],Customers!$A$2:$A$30,Customers!$C$2:$C$30,"Not found")</f>
        <v>Carries forward</v>
      </c>
    </row>
    <row r="401" spans="1:9">
      <c r="A401" s="9"/>
      <c r="B401" t="s">
        <v>76</v>
      </c>
      <c r="C401" t="s">
        <v>14</v>
      </c>
      <c r="D401" s="4">
        <v>2000</v>
      </c>
      <c r="E401" s="4">
        <v>133</v>
      </c>
      <c r="F401">
        <v>269</v>
      </c>
      <c r="G401" t="s">
        <v>113</v>
      </c>
      <c r="H401" t="str">
        <f t="shared" si="6"/>
        <v/>
      </c>
      <c r="I401" t="str">
        <f>_xlfn.XLOOKUP(Table1[[#This Row],[Customer_ID]],Customers!$A$2:$A$30,Customers!$C$2:$C$30,"Not found")</f>
        <v>Carries forward</v>
      </c>
    </row>
    <row r="402" spans="1:9">
      <c r="A402" s="9">
        <v>44830</v>
      </c>
      <c r="B402" t="s">
        <v>77</v>
      </c>
      <c r="C402" t="s">
        <v>28</v>
      </c>
      <c r="D402" s="4">
        <v>320</v>
      </c>
      <c r="E402" s="4">
        <v>320</v>
      </c>
      <c r="F402">
        <v>270</v>
      </c>
      <c r="G402" t="s">
        <v>114</v>
      </c>
      <c r="H402" t="str">
        <f t="shared" si="6"/>
        <v>2022-09</v>
      </c>
      <c r="I402" t="str">
        <f>_xlfn.XLOOKUP(Table1[[#This Row],[Customer_ID]],Customers!$A$2:$A$30,Customers!$C$2:$C$30,"Not found")</f>
        <v>Carries forward</v>
      </c>
    </row>
    <row r="403" spans="1:9">
      <c r="A403" s="9">
        <v>44830</v>
      </c>
      <c r="B403" t="s">
        <v>77</v>
      </c>
      <c r="C403" t="s">
        <v>8</v>
      </c>
      <c r="D403" s="4">
        <v>329</v>
      </c>
      <c r="E403" s="4"/>
      <c r="F403">
        <v>270</v>
      </c>
      <c r="H403" t="str">
        <f t="shared" si="6"/>
        <v>2022-09</v>
      </c>
      <c r="I403" t="str">
        <f>_xlfn.XLOOKUP(Table1[[#This Row],[Customer_ID]],Customers!$A$2:$A$30,Customers!$C$2:$C$30,"Not found")</f>
        <v>Carries forward</v>
      </c>
    </row>
    <row r="404" spans="1:9">
      <c r="A404" s="9">
        <v>44831</v>
      </c>
      <c r="B404" t="s">
        <v>77</v>
      </c>
      <c r="C404" t="s">
        <v>8</v>
      </c>
      <c r="D404" s="4">
        <v>253</v>
      </c>
      <c r="E404" s="4"/>
      <c r="F404">
        <v>270</v>
      </c>
      <c r="H404" t="str">
        <f t="shared" si="6"/>
        <v>2022-09</v>
      </c>
      <c r="I404" t="str">
        <f>_xlfn.XLOOKUP(Table1[[#This Row],[Customer_ID]],Customers!$A$2:$A$30,Customers!$C$2:$C$30,"Not found")</f>
        <v>Carries forward</v>
      </c>
    </row>
    <row r="405" spans="1:9">
      <c r="A405" s="9">
        <v>44832</v>
      </c>
      <c r="B405" t="s">
        <v>77</v>
      </c>
      <c r="C405" t="s">
        <v>8</v>
      </c>
      <c r="D405" s="4">
        <v>147</v>
      </c>
      <c r="E405" s="4"/>
      <c r="F405">
        <v>270</v>
      </c>
      <c r="H405" t="str">
        <f t="shared" si="6"/>
        <v>2022-09</v>
      </c>
      <c r="I405" t="str">
        <f>_xlfn.XLOOKUP(Table1[[#This Row],[Customer_ID]],Customers!$A$2:$A$30,Customers!$C$2:$C$30,"Not found")</f>
        <v>Carries forward</v>
      </c>
    </row>
    <row r="406" spans="1:9">
      <c r="A406" s="9">
        <v>44833</v>
      </c>
      <c r="B406" t="s">
        <v>77</v>
      </c>
      <c r="C406" t="s">
        <v>8</v>
      </c>
      <c r="D406" s="4">
        <v>122</v>
      </c>
      <c r="E406" s="4"/>
      <c r="F406">
        <v>270</v>
      </c>
      <c r="H406" t="str">
        <f t="shared" si="6"/>
        <v>2022-09</v>
      </c>
      <c r="I406" t="str">
        <f>_xlfn.XLOOKUP(Table1[[#This Row],[Customer_ID]],Customers!$A$2:$A$30,Customers!$C$2:$C$30,"Not found")</f>
        <v>Carries forward</v>
      </c>
    </row>
    <row r="407" spans="1:9">
      <c r="A407" s="9">
        <v>44834</v>
      </c>
      <c r="B407" t="s">
        <v>77</v>
      </c>
      <c r="C407" t="s">
        <v>8</v>
      </c>
      <c r="D407" s="4">
        <v>96</v>
      </c>
      <c r="E407" s="4"/>
      <c r="F407">
        <v>270</v>
      </c>
      <c r="H407" t="str">
        <f t="shared" si="6"/>
        <v>2022-09</v>
      </c>
      <c r="I407" t="str">
        <f>_xlfn.XLOOKUP(Table1[[#This Row],[Customer_ID]],Customers!$A$2:$A$30,Customers!$C$2:$C$30,"Not found")</f>
        <v>Carries forward</v>
      </c>
    </row>
    <row r="408" spans="1:9">
      <c r="A408" s="9">
        <v>44834</v>
      </c>
      <c r="B408" t="s">
        <v>77</v>
      </c>
      <c r="C408" t="s">
        <v>8</v>
      </c>
      <c r="D408" s="4">
        <v>23</v>
      </c>
      <c r="E408" s="4"/>
      <c r="F408">
        <v>270</v>
      </c>
      <c r="G408" t="s">
        <v>115</v>
      </c>
      <c r="H408" t="str">
        <f t="shared" si="6"/>
        <v>2022-09</v>
      </c>
      <c r="I408" t="str">
        <f>_xlfn.XLOOKUP(Table1[[#This Row],[Customer_ID]],Customers!$A$2:$A$30,Customers!$C$2:$C$30,"Not found")</f>
        <v>Carries forward</v>
      </c>
    </row>
    <row r="409" spans="1:9">
      <c r="A409" s="9">
        <v>44834</v>
      </c>
      <c r="B409" t="s">
        <v>77</v>
      </c>
      <c r="C409" t="s">
        <v>8</v>
      </c>
      <c r="D409" s="4">
        <v>429</v>
      </c>
      <c r="E409" s="4"/>
      <c r="F409">
        <v>270</v>
      </c>
      <c r="G409" t="s">
        <v>116</v>
      </c>
      <c r="H409" t="str">
        <f t="shared" si="6"/>
        <v>2022-09</v>
      </c>
      <c r="I409" t="str">
        <f>_xlfn.XLOOKUP(Table1[[#This Row],[Customer_ID]],Customers!$A$2:$A$30,Customers!$C$2:$C$30,"Not found")</f>
        <v>Carries forward</v>
      </c>
    </row>
    <row r="410" spans="1:9">
      <c r="A410" s="9">
        <v>44834</v>
      </c>
      <c r="B410" t="s">
        <v>77</v>
      </c>
      <c r="C410" t="s">
        <v>8</v>
      </c>
      <c r="D410" s="4">
        <v>82</v>
      </c>
      <c r="E410" s="4"/>
      <c r="F410">
        <v>270</v>
      </c>
      <c r="G410" t="s">
        <v>117</v>
      </c>
      <c r="H410" t="str">
        <f t="shared" si="6"/>
        <v>2022-09</v>
      </c>
      <c r="I410" t="str">
        <f>_xlfn.XLOOKUP(Table1[[#This Row],[Customer_ID]],Customers!$A$2:$A$30,Customers!$C$2:$C$30,"Not found")</f>
        <v>Carries forward</v>
      </c>
    </row>
    <row r="411" spans="1:9">
      <c r="A411" s="9">
        <v>44834</v>
      </c>
      <c r="B411" t="s">
        <v>77</v>
      </c>
      <c r="C411" t="s">
        <v>22</v>
      </c>
      <c r="D411" s="4">
        <v>35</v>
      </c>
      <c r="E411" s="4">
        <v>1836</v>
      </c>
      <c r="F411">
        <v>270</v>
      </c>
      <c r="G411" t="s">
        <v>161</v>
      </c>
      <c r="H411" t="str">
        <f t="shared" si="6"/>
        <v>2022-09</v>
      </c>
      <c r="I411" t="str">
        <f>_xlfn.XLOOKUP(Table1[[#This Row],[Customer_ID]],Customers!$A$2:$A$30,Customers!$C$2:$C$30,"Not found")</f>
        <v>Carries forward</v>
      </c>
    </row>
    <row r="412" spans="1:9">
      <c r="A412" s="9"/>
      <c r="B412" t="s">
        <v>77</v>
      </c>
      <c r="C412" t="s">
        <v>14</v>
      </c>
      <c r="D412" s="4">
        <v>1000</v>
      </c>
      <c r="E412" s="4">
        <v>836</v>
      </c>
      <c r="F412">
        <v>270</v>
      </c>
      <c r="G412" t="s">
        <v>118</v>
      </c>
      <c r="H412" t="str">
        <f t="shared" si="6"/>
        <v/>
      </c>
      <c r="I412" t="str">
        <f>_xlfn.XLOOKUP(Table1[[#This Row],[Customer_ID]],Customers!$A$2:$A$30,Customers!$C$2:$C$30,"Not found")</f>
        <v>Carries forward</v>
      </c>
    </row>
    <row r="413" spans="1:9">
      <c r="A413" s="9">
        <v>44835</v>
      </c>
      <c r="B413" t="s">
        <v>77</v>
      </c>
      <c r="C413" t="s">
        <v>8</v>
      </c>
      <c r="D413" s="4">
        <v>370</v>
      </c>
      <c r="E413" s="4"/>
      <c r="F413">
        <v>270</v>
      </c>
      <c r="H413" t="str">
        <f t="shared" si="6"/>
        <v>2022-10</v>
      </c>
      <c r="I413" t="str">
        <f>_xlfn.XLOOKUP(Table1[[#This Row],[Customer_ID]],Customers!$A$2:$A$30,Customers!$C$2:$C$30,"Not found")</f>
        <v>Carries forward</v>
      </c>
    </row>
    <row r="414" spans="1:9">
      <c r="A414" s="9">
        <v>44840</v>
      </c>
      <c r="B414" t="s">
        <v>77</v>
      </c>
      <c r="C414" t="s">
        <v>8</v>
      </c>
      <c r="D414" s="4">
        <v>23</v>
      </c>
      <c r="E414" s="4"/>
      <c r="F414">
        <v>270</v>
      </c>
      <c r="H414" t="str">
        <f t="shared" si="6"/>
        <v>2022-10</v>
      </c>
      <c r="I414" t="str">
        <f>_xlfn.XLOOKUP(Table1[[#This Row],[Customer_ID]],Customers!$A$2:$A$30,Customers!$C$2:$C$30,"Not found")</f>
        <v>Carries forward</v>
      </c>
    </row>
    <row r="415" spans="1:9">
      <c r="A415" s="9">
        <v>44840</v>
      </c>
      <c r="B415" t="s">
        <v>77</v>
      </c>
      <c r="C415" t="s">
        <v>8</v>
      </c>
      <c r="D415" s="4">
        <v>98</v>
      </c>
      <c r="E415" s="4"/>
      <c r="F415">
        <v>270</v>
      </c>
      <c r="H415" t="str">
        <f t="shared" si="6"/>
        <v>2022-10</v>
      </c>
      <c r="I415" t="str">
        <f>_xlfn.XLOOKUP(Table1[[#This Row],[Customer_ID]],Customers!$A$2:$A$30,Customers!$C$2:$C$30,"Not found")</f>
        <v>Carries forward</v>
      </c>
    </row>
    <row r="416" spans="1:9">
      <c r="A416" s="9">
        <v>44841</v>
      </c>
      <c r="B416" t="s">
        <v>77</v>
      </c>
      <c r="C416" t="s">
        <v>8</v>
      </c>
      <c r="D416" s="4">
        <v>30</v>
      </c>
      <c r="E416" s="4"/>
      <c r="F416">
        <v>270</v>
      </c>
      <c r="H416" t="str">
        <f t="shared" si="6"/>
        <v>2022-10</v>
      </c>
      <c r="I416" t="str">
        <f>_xlfn.XLOOKUP(Table1[[#This Row],[Customer_ID]],Customers!$A$2:$A$30,Customers!$C$2:$C$30,"Not found")</f>
        <v>Carries forward</v>
      </c>
    </row>
    <row r="417" spans="1:9">
      <c r="A417" s="9">
        <v>44842</v>
      </c>
      <c r="B417" t="s">
        <v>77</v>
      </c>
      <c r="C417" t="s">
        <v>8</v>
      </c>
      <c r="D417" s="4">
        <v>65</v>
      </c>
      <c r="E417" s="4"/>
      <c r="F417">
        <v>270</v>
      </c>
      <c r="H417" t="str">
        <f t="shared" si="6"/>
        <v>2022-10</v>
      </c>
      <c r="I417" t="str">
        <f>_xlfn.XLOOKUP(Table1[[#This Row],[Customer_ID]],Customers!$A$2:$A$30,Customers!$C$2:$C$30,"Not found")</f>
        <v>Carries forward</v>
      </c>
    </row>
    <row r="418" spans="1:9">
      <c r="A418" s="9">
        <v>44843</v>
      </c>
      <c r="B418" t="s">
        <v>77</v>
      </c>
      <c r="C418" t="s">
        <v>8</v>
      </c>
      <c r="D418" s="4">
        <v>48</v>
      </c>
      <c r="E418" s="4"/>
      <c r="F418">
        <v>270</v>
      </c>
      <c r="H418" t="str">
        <f t="shared" si="6"/>
        <v>2022-10</v>
      </c>
      <c r="I418" t="str">
        <f>_xlfn.XLOOKUP(Table1[[#This Row],[Customer_ID]],Customers!$A$2:$A$30,Customers!$C$2:$C$30,"Not found")</f>
        <v>Carries forward</v>
      </c>
    </row>
    <row r="419" spans="1:9">
      <c r="A419" s="9">
        <v>44844</v>
      </c>
      <c r="B419" t="s">
        <v>77</v>
      </c>
      <c r="C419" t="s">
        <v>8</v>
      </c>
      <c r="D419" s="4">
        <v>92</v>
      </c>
      <c r="E419" s="4"/>
      <c r="F419">
        <v>270</v>
      </c>
      <c r="H419" t="str">
        <f t="shared" si="6"/>
        <v>2022-10</v>
      </c>
      <c r="I419" t="str">
        <f>_xlfn.XLOOKUP(Table1[[#This Row],[Customer_ID]],Customers!$A$2:$A$30,Customers!$C$2:$C$30,"Not found")</f>
        <v>Carries forward</v>
      </c>
    </row>
    <row r="420" spans="1:9">
      <c r="A420" s="9">
        <v>44845</v>
      </c>
      <c r="B420" t="s">
        <v>77</v>
      </c>
      <c r="C420" t="s">
        <v>8</v>
      </c>
      <c r="D420" s="4">
        <v>85</v>
      </c>
      <c r="E420" s="4"/>
      <c r="F420">
        <v>270</v>
      </c>
      <c r="G420" t="s">
        <v>119</v>
      </c>
      <c r="H420" t="str">
        <f t="shared" si="6"/>
        <v>2022-10</v>
      </c>
      <c r="I420" t="str">
        <f>_xlfn.XLOOKUP(Table1[[#This Row],[Customer_ID]],Customers!$A$2:$A$30,Customers!$C$2:$C$30,"Not found")</f>
        <v>Carries forward</v>
      </c>
    </row>
    <row r="421" spans="1:9">
      <c r="A421" s="9">
        <v>44845</v>
      </c>
      <c r="B421" t="s">
        <v>77</v>
      </c>
      <c r="C421" t="s">
        <v>8</v>
      </c>
      <c r="D421" s="4">
        <v>23</v>
      </c>
      <c r="E421" s="4"/>
      <c r="F421">
        <v>270</v>
      </c>
      <c r="H421" t="str">
        <f t="shared" si="6"/>
        <v>2022-10</v>
      </c>
      <c r="I421" t="str">
        <f>_xlfn.XLOOKUP(Table1[[#This Row],[Customer_ID]],Customers!$A$2:$A$30,Customers!$C$2:$C$30,"Not found")</f>
        <v>Carries forward</v>
      </c>
    </row>
    <row r="422" spans="1:9">
      <c r="A422" s="9">
        <v>44846</v>
      </c>
      <c r="B422" t="s">
        <v>77</v>
      </c>
      <c r="C422" t="s">
        <v>8</v>
      </c>
      <c r="D422" s="4">
        <v>65</v>
      </c>
      <c r="E422" s="4"/>
      <c r="F422">
        <v>270</v>
      </c>
      <c r="H422" t="str">
        <f t="shared" si="6"/>
        <v>2022-10</v>
      </c>
      <c r="I422" t="str">
        <f>_xlfn.XLOOKUP(Table1[[#This Row],[Customer_ID]],Customers!$A$2:$A$30,Customers!$C$2:$C$30,"Not found")</f>
        <v>Carries forward</v>
      </c>
    </row>
    <row r="423" spans="1:9">
      <c r="A423" s="9">
        <v>44848</v>
      </c>
      <c r="B423" t="s">
        <v>77</v>
      </c>
      <c r="C423" t="s">
        <v>8</v>
      </c>
      <c r="D423" s="4">
        <v>23</v>
      </c>
      <c r="E423" s="4"/>
      <c r="F423">
        <v>270</v>
      </c>
      <c r="H423" t="str">
        <f t="shared" si="6"/>
        <v>2022-10</v>
      </c>
      <c r="I423" t="str">
        <f>_xlfn.XLOOKUP(Table1[[#This Row],[Customer_ID]],Customers!$A$2:$A$30,Customers!$C$2:$C$30,"Not found")</f>
        <v>Carries forward</v>
      </c>
    </row>
    <row r="424" spans="1:9">
      <c r="A424" s="9">
        <v>44849</v>
      </c>
      <c r="B424" t="s">
        <v>77</v>
      </c>
      <c r="C424" t="s">
        <v>8</v>
      </c>
      <c r="D424" s="4">
        <v>255</v>
      </c>
      <c r="E424" s="4">
        <v>2013</v>
      </c>
      <c r="F424">
        <v>270</v>
      </c>
      <c r="G424" t="s">
        <v>120</v>
      </c>
      <c r="H424" t="str">
        <f t="shared" si="6"/>
        <v>2022-10</v>
      </c>
      <c r="I424" t="str">
        <f>_xlfn.XLOOKUP(Table1[[#This Row],[Customer_ID]],Customers!$A$2:$A$30,Customers!$C$2:$C$30,"Not found")</f>
        <v>Carries forward</v>
      </c>
    </row>
    <row r="425" spans="1:9">
      <c r="A425" s="9">
        <v>44851</v>
      </c>
      <c r="B425" t="s">
        <v>77</v>
      </c>
      <c r="C425" t="s">
        <v>8</v>
      </c>
      <c r="D425" s="4">
        <v>46</v>
      </c>
      <c r="E425" s="4"/>
      <c r="F425">
        <v>270</v>
      </c>
      <c r="H425" t="str">
        <f t="shared" si="6"/>
        <v>2022-10</v>
      </c>
      <c r="I425" t="str">
        <f>_xlfn.XLOOKUP(Table1[[#This Row],[Customer_ID]],Customers!$A$2:$A$30,Customers!$C$2:$C$30,"Not found")</f>
        <v>Carries forward</v>
      </c>
    </row>
    <row r="426" spans="1:9">
      <c r="A426" s="9">
        <v>44852</v>
      </c>
      <c r="B426" t="s">
        <v>77</v>
      </c>
      <c r="C426" t="s">
        <v>8</v>
      </c>
      <c r="D426" s="4">
        <v>33</v>
      </c>
      <c r="E426" s="4"/>
      <c r="F426">
        <v>270</v>
      </c>
      <c r="H426" t="str">
        <f t="shared" si="6"/>
        <v>2022-10</v>
      </c>
      <c r="I426" t="str">
        <f>_xlfn.XLOOKUP(Table1[[#This Row],[Customer_ID]],Customers!$A$2:$A$30,Customers!$C$2:$C$30,"Not found")</f>
        <v>Carries forward</v>
      </c>
    </row>
    <row r="427" spans="1:9">
      <c r="A427" s="9">
        <v>44853</v>
      </c>
      <c r="B427" t="s">
        <v>77</v>
      </c>
      <c r="C427" t="s">
        <v>8</v>
      </c>
      <c r="D427" s="4">
        <v>73</v>
      </c>
      <c r="E427" s="4"/>
      <c r="F427">
        <v>270</v>
      </c>
      <c r="H427" t="str">
        <f t="shared" si="6"/>
        <v>2022-10</v>
      </c>
      <c r="I427" t="str">
        <f>_xlfn.XLOOKUP(Table1[[#This Row],[Customer_ID]],Customers!$A$2:$A$30,Customers!$C$2:$C$30,"Not found")</f>
        <v>Carries forward</v>
      </c>
    </row>
    <row r="428" spans="1:9">
      <c r="A428" s="9">
        <v>44854</v>
      </c>
      <c r="B428" t="s">
        <v>77</v>
      </c>
      <c r="C428" t="s">
        <v>8</v>
      </c>
      <c r="D428" s="4">
        <v>68</v>
      </c>
      <c r="E428" s="4">
        <v>2233</v>
      </c>
      <c r="F428">
        <v>270</v>
      </c>
      <c r="G428" t="s">
        <v>121</v>
      </c>
      <c r="H428" t="str">
        <f t="shared" si="6"/>
        <v>2022-10</v>
      </c>
      <c r="I428" t="str">
        <f>_xlfn.XLOOKUP(Table1[[#This Row],[Customer_ID]],Customers!$A$2:$A$30,Customers!$C$2:$C$30,"Not found")</f>
        <v>Carries forward</v>
      </c>
    </row>
    <row r="429" spans="1:9">
      <c r="A429" s="9">
        <v>44856</v>
      </c>
      <c r="B429" t="s">
        <v>77</v>
      </c>
      <c r="C429" t="s">
        <v>8</v>
      </c>
      <c r="D429" s="4">
        <v>108</v>
      </c>
      <c r="E429" s="4">
        <v>2341</v>
      </c>
      <c r="F429">
        <v>270</v>
      </c>
      <c r="G429" t="s">
        <v>122</v>
      </c>
      <c r="H429" t="str">
        <f t="shared" si="6"/>
        <v>2022-10</v>
      </c>
      <c r="I429" t="str">
        <f>_xlfn.XLOOKUP(Table1[[#This Row],[Customer_ID]],Customers!$A$2:$A$30,Customers!$C$2:$C$30,"Not found")</f>
        <v>Carries forward</v>
      </c>
    </row>
    <row r="430" spans="1:9">
      <c r="A430" s="9">
        <v>44856</v>
      </c>
      <c r="B430" t="s">
        <v>77</v>
      </c>
      <c r="C430" t="s">
        <v>14</v>
      </c>
      <c r="D430" s="4">
        <v>1000</v>
      </c>
      <c r="E430" s="4">
        <v>1341</v>
      </c>
      <c r="F430">
        <v>270</v>
      </c>
      <c r="G430" t="s">
        <v>123</v>
      </c>
      <c r="H430" t="str">
        <f t="shared" si="6"/>
        <v>2022-10</v>
      </c>
      <c r="I430" t="str">
        <f>_xlfn.XLOOKUP(Table1[[#This Row],[Customer_ID]],Customers!$A$2:$A$30,Customers!$C$2:$C$30,"Not found")</f>
        <v>Carries forward</v>
      </c>
    </row>
    <row r="431" spans="1:9">
      <c r="A431" s="9">
        <v>44856</v>
      </c>
      <c r="B431" t="s">
        <v>77</v>
      </c>
      <c r="C431" t="s">
        <v>8</v>
      </c>
      <c r="D431" s="4">
        <v>56</v>
      </c>
      <c r="E431" s="4"/>
      <c r="F431">
        <v>270</v>
      </c>
      <c r="H431" t="str">
        <f t="shared" si="6"/>
        <v>2022-10</v>
      </c>
      <c r="I431" t="str">
        <f>_xlfn.XLOOKUP(Table1[[#This Row],[Customer_ID]],Customers!$A$2:$A$30,Customers!$C$2:$C$30,"Not found")</f>
        <v>Carries forward</v>
      </c>
    </row>
    <row r="432" spans="1:9">
      <c r="A432" s="9">
        <v>44858</v>
      </c>
      <c r="B432" t="s">
        <v>77</v>
      </c>
      <c r="C432" t="s">
        <v>8</v>
      </c>
      <c r="D432" s="4">
        <v>420</v>
      </c>
      <c r="E432" s="4"/>
      <c r="F432">
        <v>270</v>
      </c>
      <c r="H432" t="str">
        <f t="shared" si="6"/>
        <v>2022-10</v>
      </c>
      <c r="I432" t="str">
        <f>_xlfn.XLOOKUP(Table1[[#This Row],[Customer_ID]],Customers!$A$2:$A$30,Customers!$C$2:$C$30,"Not found")</f>
        <v>Carries forward</v>
      </c>
    </row>
    <row r="433" spans="1:9">
      <c r="A433" s="9">
        <v>44861</v>
      </c>
      <c r="B433" t="s">
        <v>77</v>
      </c>
      <c r="C433" t="s">
        <v>8</v>
      </c>
      <c r="D433" s="4">
        <v>266</v>
      </c>
      <c r="E433" s="4"/>
      <c r="F433">
        <v>270</v>
      </c>
      <c r="H433" t="str">
        <f t="shared" si="6"/>
        <v>2022-10</v>
      </c>
      <c r="I433" t="str">
        <f>_xlfn.XLOOKUP(Table1[[#This Row],[Customer_ID]],Customers!$A$2:$A$30,Customers!$C$2:$C$30,"Not found")</f>
        <v>Carries forward</v>
      </c>
    </row>
    <row r="434" spans="1:9">
      <c r="A434" s="9">
        <v>44862</v>
      </c>
      <c r="B434" t="s">
        <v>77</v>
      </c>
      <c r="C434" t="s">
        <v>8</v>
      </c>
      <c r="D434" s="4">
        <v>140</v>
      </c>
      <c r="E434" s="4"/>
      <c r="F434">
        <v>270</v>
      </c>
      <c r="H434" t="str">
        <f t="shared" si="6"/>
        <v>2022-10</v>
      </c>
      <c r="I434" t="str">
        <f>_xlfn.XLOOKUP(Table1[[#This Row],[Customer_ID]],Customers!$A$2:$A$30,Customers!$C$2:$C$30,"Not found")</f>
        <v>Carries forward</v>
      </c>
    </row>
    <row r="435" spans="1:9">
      <c r="A435" s="9">
        <v>44864</v>
      </c>
      <c r="B435" t="s">
        <v>77</v>
      </c>
      <c r="C435" t="s">
        <v>8</v>
      </c>
      <c r="D435" s="4">
        <v>89</v>
      </c>
      <c r="E435" s="4"/>
      <c r="F435">
        <v>270</v>
      </c>
      <c r="H435" t="str">
        <f t="shared" si="6"/>
        <v>2022-10</v>
      </c>
      <c r="I435" t="str">
        <f>_xlfn.XLOOKUP(Table1[[#This Row],[Customer_ID]],Customers!$A$2:$A$30,Customers!$C$2:$C$30,"Not found")</f>
        <v>Carries forward</v>
      </c>
    </row>
    <row r="436" spans="1:9">
      <c r="A436" s="9">
        <v>44865</v>
      </c>
      <c r="B436" t="s">
        <v>77</v>
      </c>
      <c r="C436" t="s">
        <v>8</v>
      </c>
      <c r="D436" s="4">
        <v>23</v>
      </c>
      <c r="E436" s="4"/>
      <c r="F436">
        <v>270</v>
      </c>
      <c r="H436" t="str">
        <f t="shared" si="6"/>
        <v>2022-10</v>
      </c>
      <c r="I436" t="str">
        <f>_xlfn.XLOOKUP(Table1[[#This Row],[Customer_ID]],Customers!$A$2:$A$30,Customers!$C$2:$C$30,"Not found")</f>
        <v>Carries forward</v>
      </c>
    </row>
    <row r="437" spans="1:9">
      <c r="A437" s="9">
        <v>44866</v>
      </c>
      <c r="B437" t="s">
        <v>77</v>
      </c>
      <c r="C437" t="s">
        <v>8</v>
      </c>
      <c r="D437" s="4">
        <v>109</v>
      </c>
      <c r="E437" s="4"/>
      <c r="F437">
        <v>270</v>
      </c>
      <c r="H437" t="str">
        <f t="shared" si="6"/>
        <v>2022-11</v>
      </c>
      <c r="I437" t="str">
        <f>_xlfn.XLOOKUP(Table1[[#This Row],[Customer_ID]],Customers!$A$2:$A$30,Customers!$C$2:$C$30,"Not found")</f>
        <v>Carries forward</v>
      </c>
    </row>
    <row r="438" spans="1:9">
      <c r="A438" s="9">
        <v>44867</v>
      </c>
      <c r="B438" t="s">
        <v>77</v>
      </c>
      <c r="C438" t="s">
        <v>8</v>
      </c>
      <c r="D438" s="4">
        <v>101</v>
      </c>
      <c r="E438" s="4"/>
      <c r="F438">
        <v>270</v>
      </c>
      <c r="H438" t="str">
        <f t="shared" si="6"/>
        <v>2022-11</v>
      </c>
      <c r="I438" t="str">
        <f>_xlfn.XLOOKUP(Table1[[#This Row],[Customer_ID]],Customers!$A$2:$A$30,Customers!$C$2:$C$30,"Not found")</f>
        <v>Carries forward</v>
      </c>
    </row>
    <row r="439" spans="1:9">
      <c r="A439" s="9">
        <v>44871</v>
      </c>
      <c r="B439" t="s">
        <v>77</v>
      </c>
      <c r="C439" t="s">
        <v>8</v>
      </c>
      <c r="D439" s="4">
        <v>48</v>
      </c>
      <c r="E439" s="4"/>
      <c r="F439">
        <v>270</v>
      </c>
      <c r="H439" t="str">
        <f t="shared" si="6"/>
        <v>2022-11</v>
      </c>
      <c r="I439" t="str">
        <f>_xlfn.XLOOKUP(Table1[[#This Row],[Customer_ID]],Customers!$A$2:$A$30,Customers!$C$2:$C$30,"Not found")</f>
        <v>Carries forward</v>
      </c>
    </row>
    <row r="440" spans="1:9">
      <c r="A440" s="9">
        <v>44873</v>
      </c>
      <c r="B440" t="s">
        <v>77</v>
      </c>
      <c r="C440" t="s">
        <v>8</v>
      </c>
      <c r="D440" s="4">
        <v>60</v>
      </c>
      <c r="E440" s="4"/>
      <c r="F440">
        <v>270</v>
      </c>
      <c r="H440" t="str">
        <f t="shared" si="6"/>
        <v>2022-11</v>
      </c>
      <c r="I440" t="str">
        <f>_xlfn.XLOOKUP(Table1[[#This Row],[Customer_ID]],Customers!$A$2:$A$30,Customers!$C$2:$C$30,"Not found")</f>
        <v>Carries forward</v>
      </c>
    </row>
    <row r="441" spans="1:9">
      <c r="A441" s="9">
        <v>44874</v>
      </c>
      <c r="B441" t="s">
        <v>77</v>
      </c>
      <c r="C441" t="s">
        <v>8</v>
      </c>
      <c r="D441" s="4">
        <v>57</v>
      </c>
      <c r="E441" s="4"/>
      <c r="F441">
        <v>270</v>
      </c>
      <c r="H441" t="str">
        <f t="shared" si="6"/>
        <v>2022-11</v>
      </c>
      <c r="I441" t="str">
        <f>_xlfn.XLOOKUP(Table1[[#This Row],[Customer_ID]],Customers!$A$2:$A$30,Customers!$C$2:$C$30,"Not found")</f>
        <v>Carries forward</v>
      </c>
    </row>
    <row r="442" spans="1:9">
      <c r="A442" s="9">
        <v>44874</v>
      </c>
      <c r="B442" t="s">
        <v>77</v>
      </c>
      <c r="C442" t="s">
        <v>22</v>
      </c>
      <c r="D442" s="4">
        <v>-12</v>
      </c>
      <c r="E442" s="4">
        <v>2698</v>
      </c>
      <c r="F442">
        <v>270</v>
      </c>
      <c r="G442" t="s">
        <v>162</v>
      </c>
      <c r="H442" t="str">
        <f t="shared" si="6"/>
        <v>2022-11</v>
      </c>
      <c r="I442" t="str">
        <f>_xlfn.XLOOKUP(Table1[[#This Row],[Customer_ID]],Customers!$A$2:$A$30,Customers!$C$2:$C$30,"Not found")</f>
        <v>Carries forward</v>
      </c>
    </row>
    <row r="443" spans="1:9">
      <c r="A443" s="9">
        <v>44875</v>
      </c>
      <c r="B443" t="s">
        <v>77</v>
      </c>
      <c r="C443" t="s">
        <v>14</v>
      </c>
      <c r="D443" s="4">
        <v>2000</v>
      </c>
      <c r="E443" s="4">
        <v>698</v>
      </c>
      <c r="F443">
        <v>270</v>
      </c>
      <c r="G443" t="s">
        <v>124</v>
      </c>
      <c r="H443" t="str">
        <f t="shared" si="6"/>
        <v>2022-11</v>
      </c>
      <c r="I443" t="str">
        <f>_xlfn.XLOOKUP(Table1[[#This Row],[Customer_ID]],Customers!$A$2:$A$30,Customers!$C$2:$C$30,"Not found")</f>
        <v>Carries forward</v>
      </c>
    </row>
    <row r="444" spans="1:9">
      <c r="A444" s="9">
        <v>44875</v>
      </c>
      <c r="B444" t="s">
        <v>77</v>
      </c>
      <c r="C444" t="s">
        <v>8</v>
      </c>
      <c r="D444" s="4">
        <v>72</v>
      </c>
      <c r="E444" s="4"/>
      <c r="F444">
        <v>270</v>
      </c>
      <c r="H444" t="str">
        <f t="shared" si="6"/>
        <v>2022-11</v>
      </c>
      <c r="I444" t="str">
        <f>_xlfn.XLOOKUP(Table1[[#This Row],[Customer_ID]],Customers!$A$2:$A$30,Customers!$C$2:$C$30,"Not found")</f>
        <v>Carries forward</v>
      </c>
    </row>
    <row r="445" spans="1:9">
      <c r="A445" s="9">
        <v>44876</v>
      </c>
      <c r="B445" t="s">
        <v>77</v>
      </c>
      <c r="C445" t="s">
        <v>8</v>
      </c>
      <c r="D445" s="4">
        <v>137</v>
      </c>
      <c r="E445" s="4"/>
      <c r="F445">
        <v>270</v>
      </c>
      <c r="H445" t="str">
        <f t="shared" si="6"/>
        <v>2022-11</v>
      </c>
      <c r="I445" t="str">
        <f>_xlfn.XLOOKUP(Table1[[#This Row],[Customer_ID]],Customers!$A$2:$A$30,Customers!$C$2:$C$30,"Not found")</f>
        <v>Carries forward</v>
      </c>
    </row>
    <row r="446" spans="1:9">
      <c r="A446" s="9">
        <v>44877</v>
      </c>
      <c r="B446" t="s">
        <v>77</v>
      </c>
      <c r="C446" t="s">
        <v>8</v>
      </c>
      <c r="D446" s="4">
        <v>154</v>
      </c>
      <c r="E446" s="4"/>
      <c r="F446">
        <v>270</v>
      </c>
      <c r="H446" t="str">
        <f t="shared" si="6"/>
        <v>2022-11</v>
      </c>
      <c r="I446" t="str">
        <f>_xlfn.XLOOKUP(Table1[[#This Row],[Customer_ID]],Customers!$A$2:$A$30,Customers!$C$2:$C$30,"Not found")</f>
        <v>Carries forward</v>
      </c>
    </row>
    <row r="447" spans="1:9">
      <c r="A447" s="9">
        <v>44877</v>
      </c>
      <c r="B447" t="s">
        <v>77</v>
      </c>
      <c r="C447" t="s">
        <v>8</v>
      </c>
      <c r="D447" s="4">
        <v>60</v>
      </c>
      <c r="E447" s="4"/>
      <c r="F447">
        <v>270</v>
      </c>
      <c r="H447" t="str">
        <f t="shared" si="6"/>
        <v>2022-11</v>
      </c>
      <c r="I447" t="str">
        <f>_xlfn.XLOOKUP(Table1[[#This Row],[Customer_ID]],Customers!$A$2:$A$30,Customers!$C$2:$C$30,"Not found")</f>
        <v>Carries forward</v>
      </c>
    </row>
    <row r="448" spans="1:9">
      <c r="A448" s="9">
        <v>44878</v>
      </c>
      <c r="B448" t="s">
        <v>77</v>
      </c>
      <c r="C448" t="s">
        <v>8</v>
      </c>
      <c r="D448" s="4">
        <v>23</v>
      </c>
      <c r="E448" s="4"/>
      <c r="F448">
        <v>270</v>
      </c>
      <c r="H448" t="str">
        <f t="shared" si="6"/>
        <v>2022-11</v>
      </c>
      <c r="I448" t="str">
        <f>_xlfn.XLOOKUP(Table1[[#This Row],[Customer_ID]],Customers!$A$2:$A$30,Customers!$C$2:$C$30,"Not found")</f>
        <v>Carries forward</v>
      </c>
    </row>
    <row r="449" spans="1:9">
      <c r="A449" s="9">
        <v>44878</v>
      </c>
      <c r="B449" t="s">
        <v>77</v>
      </c>
      <c r="C449" t="s">
        <v>8</v>
      </c>
      <c r="D449" s="4">
        <v>537</v>
      </c>
      <c r="E449" s="4"/>
      <c r="F449">
        <v>270</v>
      </c>
      <c r="H449" t="str">
        <f t="shared" si="6"/>
        <v>2022-11</v>
      </c>
      <c r="I449" t="str">
        <f>_xlfn.XLOOKUP(Table1[[#This Row],[Customer_ID]],Customers!$A$2:$A$30,Customers!$C$2:$C$30,"Not found")</f>
        <v>Carries forward</v>
      </c>
    </row>
    <row r="450" spans="1:9">
      <c r="A450" s="9">
        <v>44879</v>
      </c>
      <c r="B450" t="s">
        <v>77</v>
      </c>
      <c r="C450" t="s">
        <v>8</v>
      </c>
      <c r="D450" s="4">
        <v>28</v>
      </c>
      <c r="E450" s="4"/>
      <c r="F450">
        <v>270</v>
      </c>
      <c r="H450" t="str">
        <f t="shared" si="6"/>
        <v>2022-11</v>
      </c>
      <c r="I450" t="str">
        <f>_xlfn.XLOOKUP(Table1[[#This Row],[Customer_ID]],Customers!$A$2:$A$30,Customers!$C$2:$C$30,"Not found")</f>
        <v>Carries forward</v>
      </c>
    </row>
    <row r="451" spans="1:9">
      <c r="A451" s="9">
        <v>44881</v>
      </c>
      <c r="B451" t="s">
        <v>77</v>
      </c>
      <c r="C451" t="s">
        <v>8</v>
      </c>
      <c r="D451" s="4">
        <v>32</v>
      </c>
      <c r="E451" s="4"/>
      <c r="F451">
        <v>270</v>
      </c>
      <c r="H451" t="str">
        <f t="shared" ref="H451:H514" si="7">IF(A451="","",TEXT(A451,"yyyy-mm"))</f>
        <v>2022-11</v>
      </c>
      <c r="I451" t="str">
        <f>_xlfn.XLOOKUP(Table1[[#This Row],[Customer_ID]],Customers!$A$2:$A$30,Customers!$C$2:$C$30,"Not found")</f>
        <v>Carries forward</v>
      </c>
    </row>
    <row r="452" spans="1:9">
      <c r="A452" s="9">
        <v>44882</v>
      </c>
      <c r="B452" t="s">
        <v>77</v>
      </c>
      <c r="C452" t="s">
        <v>8</v>
      </c>
      <c r="D452" s="4">
        <v>242</v>
      </c>
      <c r="E452" s="4"/>
      <c r="F452">
        <v>270</v>
      </c>
      <c r="H452" t="str">
        <f t="shared" si="7"/>
        <v>2022-11</v>
      </c>
      <c r="I452" t="str">
        <f>_xlfn.XLOOKUP(Table1[[#This Row],[Customer_ID]],Customers!$A$2:$A$30,Customers!$C$2:$C$30,"Not found")</f>
        <v>Carries forward</v>
      </c>
    </row>
    <row r="453" spans="1:9">
      <c r="A453" s="9">
        <v>44884</v>
      </c>
      <c r="B453" t="s">
        <v>77</v>
      </c>
      <c r="C453" t="s">
        <v>8</v>
      </c>
      <c r="D453" s="4">
        <v>118</v>
      </c>
      <c r="E453" s="4"/>
      <c r="F453">
        <v>270</v>
      </c>
      <c r="H453" t="str">
        <f t="shared" si="7"/>
        <v>2022-11</v>
      </c>
      <c r="I453" t="str">
        <f>_xlfn.XLOOKUP(Table1[[#This Row],[Customer_ID]],Customers!$A$2:$A$30,Customers!$C$2:$C$30,"Not found")</f>
        <v>Carries forward</v>
      </c>
    </row>
    <row r="454" spans="1:9">
      <c r="A454" s="9">
        <v>44886</v>
      </c>
      <c r="B454" t="s">
        <v>77</v>
      </c>
      <c r="C454" t="s">
        <v>8</v>
      </c>
      <c r="D454" s="4">
        <v>301</v>
      </c>
      <c r="E454" s="4"/>
      <c r="F454">
        <v>270</v>
      </c>
      <c r="H454" t="str">
        <f t="shared" si="7"/>
        <v>2022-11</v>
      </c>
      <c r="I454" t="str">
        <f>_xlfn.XLOOKUP(Table1[[#This Row],[Customer_ID]],Customers!$A$2:$A$30,Customers!$C$2:$C$30,"Not found")</f>
        <v>Carries forward</v>
      </c>
    </row>
    <row r="455" spans="1:9">
      <c r="A455" s="9">
        <v>44888</v>
      </c>
      <c r="B455" t="s">
        <v>77</v>
      </c>
      <c r="C455" t="s">
        <v>8</v>
      </c>
      <c r="D455" s="4">
        <v>951</v>
      </c>
      <c r="E455" s="4"/>
      <c r="F455">
        <v>270</v>
      </c>
      <c r="H455" t="str">
        <f t="shared" si="7"/>
        <v>2022-11</v>
      </c>
      <c r="I455" t="str">
        <f>_xlfn.XLOOKUP(Table1[[#This Row],[Customer_ID]],Customers!$A$2:$A$30,Customers!$C$2:$C$30,"Not found")</f>
        <v>Carries forward</v>
      </c>
    </row>
    <row r="456" spans="1:9">
      <c r="A456" s="9">
        <v>44889</v>
      </c>
      <c r="B456" t="s">
        <v>77</v>
      </c>
      <c r="C456" t="s">
        <v>8</v>
      </c>
      <c r="D456" s="4">
        <v>186</v>
      </c>
      <c r="E456" s="4"/>
      <c r="F456">
        <v>270</v>
      </c>
      <c r="H456" t="str">
        <f t="shared" si="7"/>
        <v>2022-11</v>
      </c>
      <c r="I456" t="str">
        <f>_xlfn.XLOOKUP(Table1[[#This Row],[Customer_ID]],Customers!$A$2:$A$30,Customers!$C$2:$C$30,"Not found")</f>
        <v>Carries forward</v>
      </c>
    </row>
    <row r="457" spans="1:9">
      <c r="A457" s="9">
        <v>44890</v>
      </c>
      <c r="B457" t="s">
        <v>77</v>
      </c>
      <c r="C457" t="s">
        <v>8</v>
      </c>
      <c r="D457" s="4">
        <v>82</v>
      </c>
      <c r="E457" s="4"/>
      <c r="F457">
        <v>270</v>
      </c>
      <c r="H457" t="str">
        <f t="shared" si="7"/>
        <v>2022-11</v>
      </c>
      <c r="I457" t="str">
        <f>_xlfn.XLOOKUP(Table1[[#This Row],[Customer_ID]],Customers!$A$2:$A$30,Customers!$C$2:$C$30,"Not found")</f>
        <v>Carries forward</v>
      </c>
    </row>
    <row r="458" spans="1:9">
      <c r="A458" s="9">
        <v>44890</v>
      </c>
      <c r="B458" t="s">
        <v>77</v>
      </c>
      <c r="C458" t="s">
        <v>8</v>
      </c>
      <c r="D458" s="4">
        <v>185</v>
      </c>
      <c r="E458" s="4"/>
      <c r="F458">
        <v>270</v>
      </c>
      <c r="H458" t="str">
        <f t="shared" si="7"/>
        <v>2022-11</v>
      </c>
      <c r="I458" t="str">
        <f>_xlfn.XLOOKUP(Table1[[#This Row],[Customer_ID]],Customers!$A$2:$A$30,Customers!$C$2:$C$30,"Not found")</f>
        <v>Carries forward</v>
      </c>
    </row>
    <row r="459" spans="1:9">
      <c r="A459" s="9">
        <v>44891</v>
      </c>
      <c r="B459" t="s">
        <v>77</v>
      </c>
      <c r="C459" t="s">
        <v>8</v>
      </c>
      <c r="D459" s="4">
        <v>49</v>
      </c>
      <c r="E459" s="4"/>
      <c r="F459">
        <v>270</v>
      </c>
      <c r="H459" t="str">
        <f t="shared" si="7"/>
        <v>2022-11</v>
      </c>
      <c r="I459" t="str">
        <f>_xlfn.XLOOKUP(Table1[[#This Row],[Customer_ID]],Customers!$A$2:$A$30,Customers!$C$2:$C$30,"Not found")</f>
        <v>Carries forward</v>
      </c>
    </row>
    <row r="460" spans="1:9">
      <c r="A460" s="9">
        <v>44892</v>
      </c>
      <c r="B460" t="s">
        <v>77</v>
      </c>
      <c r="C460" t="s">
        <v>8</v>
      </c>
      <c r="D460" s="4">
        <v>90</v>
      </c>
      <c r="E460" s="4"/>
      <c r="F460">
        <v>270</v>
      </c>
      <c r="H460" t="str">
        <f t="shared" si="7"/>
        <v>2022-11</v>
      </c>
      <c r="I460" t="str">
        <f>_xlfn.XLOOKUP(Table1[[#This Row],[Customer_ID]],Customers!$A$2:$A$30,Customers!$C$2:$C$30,"Not found")</f>
        <v>Carries forward</v>
      </c>
    </row>
    <row r="461" spans="1:9">
      <c r="A461" s="9">
        <v>44894</v>
      </c>
      <c r="B461" t="s">
        <v>77</v>
      </c>
      <c r="C461" t="s">
        <v>8</v>
      </c>
      <c r="D461" s="4">
        <v>128</v>
      </c>
      <c r="E461" s="4"/>
      <c r="F461">
        <v>270</v>
      </c>
      <c r="H461" t="str">
        <f t="shared" si="7"/>
        <v>2022-11</v>
      </c>
      <c r="I461" t="str">
        <f>_xlfn.XLOOKUP(Table1[[#This Row],[Customer_ID]],Customers!$A$2:$A$30,Customers!$C$2:$C$30,"Not found")</f>
        <v>Carries forward</v>
      </c>
    </row>
    <row r="462" spans="1:9">
      <c r="A462" s="9">
        <v>44895</v>
      </c>
      <c r="B462" t="s">
        <v>77</v>
      </c>
      <c r="C462" t="s">
        <v>8</v>
      </c>
      <c r="D462" s="4">
        <v>250</v>
      </c>
      <c r="E462" s="4"/>
      <c r="F462">
        <v>270</v>
      </c>
      <c r="H462" t="str">
        <f t="shared" si="7"/>
        <v>2022-11</v>
      </c>
      <c r="I462" t="str">
        <f>_xlfn.XLOOKUP(Table1[[#This Row],[Customer_ID]],Customers!$A$2:$A$30,Customers!$C$2:$C$30,"Not found")</f>
        <v>Carries forward</v>
      </c>
    </row>
    <row r="463" spans="1:9">
      <c r="A463" s="9">
        <v>44896</v>
      </c>
      <c r="B463" t="s">
        <v>77</v>
      </c>
      <c r="C463" t="s">
        <v>8</v>
      </c>
      <c r="D463" s="4">
        <v>45</v>
      </c>
      <c r="E463" s="4"/>
      <c r="F463">
        <v>270</v>
      </c>
      <c r="H463" t="str">
        <f t="shared" si="7"/>
        <v>2022-12</v>
      </c>
      <c r="I463" t="str">
        <f>_xlfn.XLOOKUP(Table1[[#This Row],[Customer_ID]],Customers!$A$2:$A$30,Customers!$C$2:$C$30,"Not found")</f>
        <v>Carries forward</v>
      </c>
    </row>
    <row r="464" spans="1:9">
      <c r="A464" s="9">
        <v>44897</v>
      </c>
      <c r="B464" t="s">
        <v>77</v>
      </c>
      <c r="C464" t="s">
        <v>8</v>
      </c>
      <c r="D464" s="4">
        <v>36</v>
      </c>
      <c r="E464" s="4"/>
      <c r="F464">
        <v>270</v>
      </c>
      <c r="H464" t="str">
        <f t="shared" si="7"/>
        <v>2022-12</v>
      </c>
      <c r="I464" t="str">
        <f>_xlfn.XLOOKUP(Table1[[#This Row],[Customer_ID]],Customers!$A$2:$A$30,Customers!$C$2:$C$30,"Not found")</f>
        <v>Carries forward</v>
      </c>
    </row>
    <row r="465" spans="1:9">
      <c r="A465" s="9">
        <v>44898</v>
      </c>
      <c r="B465" t="s">
        <v>77</v>
      </c>
      <c r="C465" t="s">
        <v>8</v>
      </c>
      <c r="D465" s="4">
        <v>52</v>
      </c>
      <c r="E465" s="4"/>
      <c r="F465">
        <v>270</v>
      </c>
      <c r="H465" t="str">
        <f t="shared" si="7"/>
        <v>2022-12</v>
      </c>
      <c r="I465" t="str">
        <f>_xlfn.XLOOKUP(Table1[[#This Row],[Customer_ID]],Customers!$A$2:$A$30,Customers!$C$2:$C$30,"Not found")</f>
        <v>Carries forward</v>
      </c>
    </row>
    <row r="466" spans="1:9">
      <c r="A466" s="9">
        <v>44900</v>
      </c>
      <c r="B466" t="s">
        <v>77</v>
      </c>
      <c r="C466" t="s">
        <v>8</v>
      </c>
      <c r="D466" s="4">
        <v>173</v>
      </c>
      <c r="E466" s="4"/>
      <c r="F466">
        <v>270</v>
      </c>
      <c r="H466" t="str">
        <f t="shared" si="7"/>
        <v>2022-12</v>
      </c>
      <c r="I466" t="str">
        <f>_xlfn.XLOOKUP(Table1[[#This Row],[Customer_ID]],Customers!$A$2:$A$30,Customers!$C$2:$C$30,"Not found")</f>
        <v>Carries forward</v>
      </c>
    </row>
    <row r="467" spans="1:9">
      <c r="A467" s="9">
        <v>44901</v>
      </c>
      <c r="B467" t="s">
        <v>77</v>
      </c>
      <c r="C467" t="s">
        <v>8</v>
      </c>
      <c r="D467" s="4">
        <v>168</v>
      </c>
      <c r="E467" s="4"/>
      <c r="F467">
        <v>270</v>
      </c>
      <c r="H467" t="str">
        <f t="shared" si="7"/>
        <v>2022-12</v>
      </c>
      <c r="I467" t="str">
        <f>_xlfn.XLOOKUP(Table1[[#This Row],[Customer_ID]],Customers!$A$2:$A$30,Customers!$C$2:$C$30,"Not found")</f>
        <v>Carries forward</v>
      </c>
    </row>
    <row r="468" spans="1:9">
      <c r="A468" s="9">
        <v>44902</v>
      </c>
      <c r="B468" t="s">
        <v>77</v>
      </c>
      <c r="C468" t="s">
        <v>8</v>
      </c>
      <c r="D468" s="4">
        <v>60</v>
      </c>
      <c r="E468" s="4"/>
      <c r="F468">
        <v>270</v>
      </c>
      <c r="H468" t="str">
        <f t="shared" si="7"/>
        <v>2022-12</v>
      </c>
      <c r="I468" t="str">
        <f>_xlfn.XLOOKUP(Table1[[#This Row],[Customer_ID]],Customers!$A$2:$A$30,Customers!$C$2:$C$30,"Not found")</f>
        <v>Carries forward</v>
      </c>
    </row>
    <row r="469" spans="1:9">
      <c r="A469" s="9">
        <v>44903</v>
      </c>
      <c r="B469" t="s">
        <v>77</v>
      </c>
      <c r="C469" t="s">
        <v>8</v>
      </c>
      <c r="D469" s="4">
        <v>1715</v>
      </c>
      <c r="E469" s="4"/>
      <c r="F469">
        <v>270</v>
      </c>
      <c r="G469" t="s">
        <v>169</v>
      </c>
      <c r="H469" t="str">
        <f t="shared" si="7"/>
        <v>2022-12</v>
      </c>
      <c r="I469" t="str">
        <f>_xlfn.XLOOKUP(Table1[[#This Row],[Customer_ID]],Customers!$A$2:$A$30,Customers!$C$2:$C$30,"Not found")</f>
        <v>Carries forward</v>
      </c>
    </row>
    <row r="470" spans="1:9">
      <c r="A470" s="9">
        <v>44903</v>
      </c>
      <c r="B470" t="s">
        <v>77</v>
      </c>
      <c r="C470" t="s">
        <v>8</v>
      </c>
      <c r="D470" s="4">
        <v>120</v>
      </c>
      <c r="E470" s="4"/>
      <c r="F470">
        <v>270</v>
      </c>
      <c r="H470" t="str">
        <f t="shared" si="7"/>
        <v>2022-12</v>
      </c>
      <c r="I470" t="str">
        <f>_xlfn.XLOOKUP(Table1[[#This Row],[Customer_ID]],Customers!$A$2:$A$30,Customers!$C$2:$C$30,"Not found")</f>
        <v>Carries forward</v>
      </c>
    </row>
    <row r="471" spans="1:9">
      <c r="A471" s="9">
        <v>44904</v>
      </c>
      <c r="B471" t="s">
        <v>77</v>
      </c>
      <c r="C471" t="s">
        <v>8</v>
      </c>
      <c r="D471" s="4">
        <v>111</v>
      </c>
      <c r="E471" s="4"/>
      <c r="F471">
        <v>270</v>
      </c>
      <c r="H471" t="str">
        <f t="shared" si="7"/>
        <v>2022-12</v>
      </c>
      <c r="I471" t="str">
        <f>_xlfn.XLOOKUP(Table1[[#This Row],[Customer_ID]],Customers!$A$2:$A$30,Customers!$C$2:$C$30,"Not found")</f>
        <v>Carries forward</v>
      </c>
    </row>
    <row r="472" spans="1:9">
      <c r="A472" s="9">
        <v>44905</v>
      </c>
      <c r="B472" t="s">
        <v>77</v>
      </c>
      <c r="C472" t="s">
        <v>8</v>
      </c>
      <c r="D472" s="4">
        <v>62</v>
      </c>
      <c r="E472" s="4"/>
      <c r="F472">
        <v>270</v>
      </c>
      <c r="H472" t="str">
        <f t="shared" si="7"/>
        <v>2022-12</v>
      </c>
      <c r="I472" t="str">
        <f>_xlfn.XLOOKUP(Table1[[#This Row],[Customer_ID]],Customers!$A$2:$A$30,Customers!$C$2:$C$30,"Not found")</f>
        <v>Carries forward</v>
      </c>
    </row>
    <row r="473" spans="1:9">
      <c r="A473" s="9">
        <v>44905</v>
      </c>
      <c r="B473" t="s">
        <v>77</v>
      </c>
      <c r="C473" t="s">
        <v>8</v>
      </c>
      <c r="D473" s="4">
        <v>196</v>
      </c>
      <c r="E473" s="4"/>
      <c r="F473">
        <v>270</v>
      </c>
      <c r="H473" t="str">
        <f t="shared" si="7"/>
        <v>2022-12</v>
      </c>
      <c r="I473" t="str">
        <f>_xlfn.XLOOKUP(Table1[[#This Row],[Customer_ID]],Customers!$A$2:$A$30,Customers!$C$2:$C$30,"Not found")</f>
        <v>Carries forward</v>
      </c>
    </row>
    <row r="474" spans="1:9">
      <c r="A474" s="9">
        <v>44906</v>
      </c>
      <c r="B474" t="s">
        <v>77</v>
      </c>
      <c r="C474" t="s">
        <v>8</v>
      </c>
      <c r="D474" s="4">
        <v>369</v>
      </c>
      <c r="E474" s="4"/>
      <c r="F474">
        <v>270</v>
      </c>
      <c r="H474" t="str">
        <f t="shared" si="7"/>
        <v>2022-12</v>
      </c>
      <c r="I474" t="str">
        <f>_xlfn.XLOOKUP(Table1[[#This Row],[Customer_ID]],Customers!$A$2:$A$30,Customers!$C$2:$C$30,"Not found")</f>
        <v>Carries forward</v>
      </c>
    </row>
    <row r="475" spans="1:9">
      <c r="A475" s="9">
        <v>44906</v>
      </c>
      <c r="B475" t="s">
        <v>77</v>
      </c>
      <c r="C475" t="s">
        <v>8</v>
      </c>
      <c r="D475" s="4">
        <v>65</v>
      </c>
      <c r="E475" s="4"/>
      <c r="F475">
        <v>270</v>
      </c>
      <c r="H475" t="str">
        <f t="shared" si="7"/>
        <v>2022-12</v>
      </c>
      <c r="I475" t="str">
        <f>_xlfn.XLOOKUP(Table1[[#This Row],[Customer_ID]],Customers!$A$2:$A$30,Customers!$C$2:$C$30,"Not found")</f>
        <v>Carries forward</v>
      </c>
    </row>
    <row r="476" spans="1:9">
      <c r="A476" s="9">
        <v>44906</v>
      </c>
      <c r="B476" t="s">
        <v>77</v>
      </c>
      <c r="C476" t="s">
        <v>8</v>
      </c>
      <c r="D476" s="4">
        <v>128</v>
      </c>
      <c r="E476" s="4"/>
      <c r="F476">
        <v>270</v>
      </c>
      <c r="H476" t="str">
        <f t="shared" si="7"/>
        <v>2022-12</v>
      </c>
      <c r="I476" t="str">
        <f>_xlfn.XLOOKUP(Table1[[#This Row],[Customer_ID]],Customers!$A$2:$A$30,Customers!$C$2:$C$30,"Not found")</f>
        <v>Carries forward</v>
      </c>
    </row>
    <row r="477" spans="1:9">
      <c r="A477" s="9">
        <v>44906</v>
      </c>
      <c r="B477" t="s">
        <v>77</v>
      </c>
      <c r="C477" t="s">
        <v>22</v>
      </c>
      <c r="D477" s="4">
        <v>-54</v>
      </c>
      <c r="E477" s="4">
        <v>7569</v>
      </c>
      <c r="F477">
        <v>270</v>
      </c>
      <c r="G477" t="s">
        <v>163</v>
      </c>
      <c r="H477" t="str">
        <f t="shared" si="7"/>
        <v>2022-12</v>
      </c>
      <c r="I477" t="str">
        <f>_xlfn.XLOOKUP(Table1[[#This Row],[Customer_ID]],Customers!$A$2:$A$30,Customers!$C$2:$C$30,"Not found")</f>
        <v>Carries forward</v>
      </c>
    </row>
    <row r="478" spans="1:9">
      <c r="A478" s="9">
        <v>44907</v>
      </c>
      <c r="B478" t="s">
        <v>77</v>
      </c>
      <c r="C478" t="s">
        <v>8</v>
      </c>
      <c r="D478" s="4">
        <v>28</v>
      </c>
      <c r="E478" s="4"/>
      <c r="F478">
        <v>270</v>
      </c>
      <c r="H478" t="str">
        <f t="shared" si="7"/>
        <v>2022-12</v>
      </c>
      <c r="I478" t="str">
        <f>_xlfn.XLOOKUP(Table1[[#This Row],[Customer_ID]],Customers!$A$2:$A$30,Customers!$C$2:$C$30,"Not found")</f>
        <v>Carries forward</v>
      </c>
    </row>
    <row r="479" spans="1:9">
      <c r="A479" s="9">
        <v>44911</v>
      </c>
      <c r="B479" t="s">
        <v>77</v>
      </c>
      <c r="C479" t="s">
        <v>8</v>
      </c>
      <c r="D479" s="4">
        <v>189</v>
      </c>
      <c r="E479" s="4"/>
      <c r="F479">
        <v>270</v>
      </c>
      <c r="H479" t="str">
        <f t="shared" si="7"/>
        <v>2022-12</v>
      </c>
      <c r="I479" t="str">
        <f>_xlfn.XLOOKUP(Table1[[#This Row],[Customer_ID]],Customers!$A$2:$A$30,Customers!$C$2:$C$30,"Not found")</f>
        <v>Carries forward</v>
      </c>
    </row>
    <row r="480" spans="1:9">
      <c r="A480" s="9">
        <v>44911</v>
      </c>
      <c r="B480" t="s">
        <v>77</v>
      </c>
      <c r="C480" t="s">
        <v>22</v>
      </c>
      <c r="D480" s="4">
        <v>-13</v>
      </c>
      <c r="E480" s="4">
        <v>7773</v>
      </c>
      <c r="F480">
        <v>270</v>
      </c>
      <c r="G480" t="s">
        <v>164</v>
      </c>
      <c r="H480" t="str">
        <f t="shared" si="7"/>
        <v>2022-12</v>
      </c>
      <c r="I480" t="str">
        <f>_xlfn.XLOOKUP(Table1[[#This Row],[Customer_ID]],Customers!$A$2:$A$30,Customers!$C$2:$C$30,"Not found")</f>
        <v>Carries forward</v>
      </c>
    </row>
    <row r="481" spans="1:9">
      <c r="A481" s="9">
        <v>44911</v>
      </c>
      <c r="B481" t="s">
        <v>77</v>
      </c>
      <c r="C481" t="s">
        <v>14</v>
      </c>
      <c r="D481" s="4">
        <v>4000</v>
      </c>
      <c r="E481" s="4">
        <v>3773</v>
      </c>
      <c r="F481">
        <v>270</v>
      </c>
      <c r="G481" t="s">
        <v>125</v>
      </c>
      <c r="H481" t="str">
        <f t="shared" si="7"/>
        <v>2022-12</v>
      </c>
      <c r="I481" t="str">
        <f>_xlfn.XLOOKUP(Table1[[#This Row],[Customer_ID]],Customers!$A$2:$A$30,Customers!$C$2:$C$30,"Not found")</f>
        <v>Carries forward</v>
      </c>
    </row>
    <row r="482" spans="1:9">
      <c r="A482" s="9">
        <v>44912</v>
      </c>
      <c r="B482" t="s">
        <v>77</v>
      </c>
      <c r="C482" t="s">
        <v>8</v>
      </c>
      <c r="D482" s="4">
        <v>211</v>
      </c>
      <c r="E482" s="4"/>
      <c r="F482">
        <v>270</v>
      </c>
      <c r="H482" t="str">
        <f t="shared" si="7"/>
        <v>2022-12</v>
      </c>
      <c r="I482" t="str">
        <f>_xlfn.XLOOKUP(Table1[[#This Row],[Customer_ID]],Customers!$A$2:$A$30,Customers!$C$2:$C$30,"Not found")</f>
        <v>Carries forward</v>
      </c>
    </row>
    <row r="483" spans="1:9">
      <c r="A483" s="9">
        <v>44913</v>
      </c>
      <c r="B483" t="s">
        <v>77</v>
      </c>
      <c r="C483" t="s">
        <v>8</v>
      </c>
      <c r="D483" s="4">
        <v>105</v>
      </c>
      <c r="E483" s="4"/>
      <c r="F483">
        <v>270</v>
      </c>
      <c r="H483" t="str">
        <f t="shared" si="7"/>
        <v>2022-12</v>
      </c>
      <c r="I483" t="str">
        <f>_xlfn.XLOOKUP(Table1[[#This Row],[Customer_ID]],Customers!$A$2:$A$30,Customers!$C$2:$C$30,"Not found")</f>
        <v>Carries forward</v>
      </c>
    </row>
    <row r="484" spans="1:9">
      <c r="A484" s="9">
        <v>44916</v>
      </c>
      <c r="B484" t="s">
        <v>77</v>
      </c>
      <c r="C484" t="s">
        <v>8</v>
      </c>
      <c r="D484" s="4">
        <v>240</v>
      </c>
      <c r="E484" s="4"/>
      <c r="F484">
        <v>271</v>
      </c>
      <c r="H484" t="str">
        <f t="shared" si="7"/>
        <v>2022-12</v>
      </c>
      <c r="I484" t="str">
        <f>_xlfn.XLOOKUP(Table1[[#This Row],[Customer_ID]],Customers!$A$2:$A$30,Customers!$C$2:$C$30,"Not found")</f>
        <v>Carries forward</v>
      </c>
    </row>
    <row r="485" spans="1:9">
      <c r="A485" s="9">
        <v>44917</v>
      </c>
      <c r="B485" t="s">
        <v>77</v>
      </c>
      <c r="C485" t="s">
        <v>8</v>
      </c>
      <c r="D485" s="4">
        <v>80</v>
      </c>
      <c r="E485" s="4"/>
      <c r="F485">
        <v>271</v>
      </c>
      <c r="H485" t="str">
        <f t="shared" si="7"/>
        <v>2022-12</v>
      </c>
      <c r="I485" t="str">
        <f>_xlfn.XLOOKUP(Table1[[#This Row],[Customer_ID]],Customers!$A$2:$A$30,Customers!$C$2:$C$30,"Not found")</f>
        <v>Carries forward</v>
      </c>
    </row>
    <row r="486" spans="1:9">
      <c r="A486" s="9">
        <v>44918</v>
      </c>
      <c r="B486" t="s">
        <v>77</v>
      </c>
      <c r="C486" t="s">
        <v>8</v>
      </c>
      <c r="D486" s="4">
        <v>77</v>
      </c>
      <c r="E486" s="4"/>
      <c r="F486">
        <v>271</v>
      </c>
      <c r="H486" t="str">
        <f t="shared" si="7"/>
        <v>2022-12</v>
      </c>
      <c r="I486" t="str">
        <f>_xlfn.XLOOKUP(Table1[[#This Row],[Customer_ID]],Customers!$A$2:$A$30,Customers!$C$2:$C$30,"Not found")</f>
        <v>Carries forward</v>
      </c>
    </row>
    <row r="487" spans="1:9">
      <c r="A487" s="9">
        <v>44918</v>
      </c>
      <c r="B487" t="s">
        <v>77</v>
      </c>
      <c r="C487" t="s">
        <v>8</v>
      </c>
      <c r="D487" s="4">
        <v>406</v>
      </c>
      <c r="E487" s="4"/>
      <c r="F487">
        <v>271</v>
      </c>
      <c r="H487" t="str">
        <f t="shared" si="7"/>
        <v>2022-12</v>
      </c>
      <c r="I487" t="str">
        <f>_xlfn.XLOOKUP(Table1[[#This Row],[Customer_ID]],Customers!$A$2:$A$30,Customers!$C$2:$C$30,"Not found")</f>
        <v>Carries forward</v>
      </c>
    </row>
    <row r="488" spans="1:9">
      <c r="A488" s="9">
        <v>44919</v>
      </c>
      <c r="B488" t="s">
        <v>77</v>
      </c>
      <c r="C488" t="s">
        <v>8</v>
      </c>
      <c r="D488" s="4">
        <v>158</v>
      </c>
      <c r="E488" s="4"/>
      <c r="F488">
        <v>271</v>
      </c>
      <c r="H488" t="str">
        <f t="shared" si="7"/>
        <v>2022-12</v>
      </c>
      <c r="I488" t="str">
        <f>_xlfn.XLOOKUP(Table1[[#This Row],[Customer_ID]],Customers!$A$2:$A$30,Customers!$C$2:$C$30,"Not found")</f>
        <v>Carries forward</v>
      </c>
    </row>
    <row r="489" spans="1:9">
      <c r="A489" s="9">
        <v>44920</v>
      </c>
      <c r="B489" t="s">
        <v>77</v>
      </c>
      <c r="C489" t="s">
        <v>8</v>
      </c>
      <c r="D489" s="4">
        <v>33</v>
      </c>
      <c r="E489" s="4"/>
      <c r="F489">
        <v>271</v>
      </c>
      <c r="H489" t="str">
        <f t="shared" si="7"/>
        <v>2022-12</v>
      </c>
      <c r="I489" t="str">
        <f>_xlfn.XLOOKUP(Table1[[#This Row],[Customer_ID]],Customers!$A$2:$A$30,Customers!$C$2:$C$30,"Not found")</f>
        <v>Carries forward</v>
      </c>
    </row>
    <row r="490" spans="1:9">
      <c r="A490" s="9">
        <v>44921</v>
      </c>
      <c r="B490" t="s">
        <v>77</v>
      </c>
      <c r="C490" t="s">
        <v>8</v>
      </c>
      <c r="D490" s="4">
        <v>81</v>
      </c>
      <c r="E490" s="4"/>
      <c r="F490">
        <v>271</v>
      </c>
      <c r="H490" t="str">
        <f t="shared" si="7"/>
        <v>2022-12</v>
      </c>
      <c r="I490" t="str">
        <f>_xlfn.XLOOKUP(Table1[[#This Row],[Customer_ID]],Customers!$A$2:$A$30,Customers!$C$2:$C$30,"Not found")</f>
        <v>Carries forward</v>
      </c>
    </row>
    <row r="491" spans="1:9">
      <c r="A491" s="9">
        <v>44922</v>
      </c>
      <c r="B491" t="s">
        <v>77</v>
      </c>
      <c r="C491" t="s">
        <v>8</v>
      </c>
      <c r="D491" s="4">
        <v>194</v>
      </c>
      <c r="E491" s="4"/>
      <c r="F491">
        <v>271</v>
      </c>
      <c r="H491" t="str">
        <f t="shared" si="7"/>
        <v>2022-12</v>
      </c>
      <c r="I491" t="str">
        <f>_xlfn.XLOOKUP(Table1[[#This Row],[Customer_ID]],Customers!$A$2:$A$30,Customers!$C$2:$C$30,"Not found")</f>
        <v>Carries forward</v>
      </c>
    </row>
    <row r="492" spans="1:9">
      <c r="A492" s="9">
        <v>44923</v>
      </c>
      <c r="B492" t="s">
        <v>77</v>
      </c>
      <c r="C492" t="s">
        <v>8</v>
      </c>
      <c r="D492" s="4">
        <v>24</v>
      </c>
      <c r="E492" s="4"/>
      <c r="F492">
        <v>271</v>
      </c>
      <c r="H492" t="str">
        <f t="shared" si="7"/>
        <v>2022-12</v>
      </c>
      <c r="I492" t="str">
        <f>_xlfn.XLOOKUP(Table1[[#This Row],[Customer_ID]],Customers!$A$2:$A$30,Customers!$C$2:$C$30,"Not found")</f>
        <v>Carries forward</v>
      </c>
    </row>
    <row r="493" spans="1:9">
      <c r="A493" s="9">
        <v>44924</v>
      </c>
      <c r="B493" t="s">
        <v>77</v>
      </c>
      <c r="C493" t="s">
        <v>8</v>
      </c>
      <c r="D493" s="4">
        <v>20</v>
      </c>
      <c r="E493" s="4"/>
      <c r="F493">
        <v>271</v>
      </c>
      <c r="H493" t="str">
        <f t="shared" si="7"/>
        <v>2022-12</v>
      </c>
      <c r="I493" t="str">
        <f>_xlfn.XLOOKUP(Table1[[#This Row],[Customer_ID]],Customers!$A$2:$A$30,Customers!$C$2:$C$30,"Not found")</f>
        <v>Carries forward</v>
      </c>
    </row>
    <row r="494" spans="1:9">
      <c r="A494" s="9">
        <v>44924</v>
      </c>
      <c r="B494" t="s">
        <v>77</v>
      </c>
      <c r="C494" t="s">
        <v>8</v>
      </c>
      <c r="D494" s="4">
        <v>161</v>
      </c>
      <c r="E494" s="4"/>
      <c r="F494">
        <v>271</v>
      </c>
      <c r="H494" t="str">
        <f t="shared" si="7"/>
        <v>2022-12</v>
      </c>
      <c r="I494" t="str">
        <f>_xlfn.XLOOKUP(Table1[[#This Row],[Customer_ID]],Customers!$A$2:$A$30,Customers!$C$2:$C$30,"Not found")</f>
        <v>Carries forward</v>
      </c>
    </row>
    <row r="495" spans="1:9">
      <c r="A495" s="9">
        <v>44925</v>
      </c>
      <c r="B495" t="s">
        <v>77</v>
      </c>
      <c r="C495" t="s">
        <v>8</v>
      </c>
      <c r="D495" s="4">
        <v>296</v>
      </c>
      <c r="E495" s="4"/>
      <c r="F495">
        <v>271</v>
      </c>
      <c r="H495" t="str">
        <f t="shared" si="7"/>
        <v>2022-12</v>
      </c>
      <c r="I495" t="str">
        <f>_xlfn.XLOOKUP(Table1[[#This Row],[Customer_ID]],Customers!$A$2:$A$30,Customers!$C$2:$C$30,"Not found")</f>
        <v>Carries forward</v>
      </c>
    </row>
    <row r="496" spans="1:9">
      <c r="A496" s="9">
        <v>44926</v>
      </c>
      <c r="B496" t="s">
        <v>77</v>
      </c>
      <c r="C496" t="s">
        <v>8</v>
      </c>
      <c r="D496" s="4">
        <v>80</v>
      </c>
      <c r="E496" s="4"/>
      <c r="F496">
        <v>271</v>
      </c>
      <c r="H496" t="str">
        <f t="shared" si="7"/>
        <v>2022-12</v>
      </c>
      <c r="I496" t="str">
        <f>_xlfn.XLOOKUP(Table1[[#This Row],[Customer_ID]],Customers!$A$2:$A$30,Customers!$C$2:$C$30,"Not found")</f>
        <v>Carries forward</v>
      </c>
    </row>
    <row r="497" spans="1:9">
      <c r="A497" s="9">
        <v>44926</v>
      </c>
      <c r="B497" t="s">
        <v>77</v>
      </c>
      <c r="C497" t="s">
        <v>8</v>
      </c>
      <c r="D497" s="4">
        <v>97</v>
      </c>
      <c r="E497" s="4"/>
      <c r="F497">
        <v>271</v>
      </c>
      <c r="H497" t="str">
        <f t="shared" si="7"/>
        <v>2022-12</v>
      </c>
      <c r="I497" t="str">
        <f>_xlfn.XLOOKUP(Table1[[#This Row],[Customer_ID]],Customers!$A$2:$A$30,Customers!$C$2:$C$30,"Not found")</f>
        <v>Carries forward</v>
      </c>
    </row>
    <row r="498" spans="1:9">
      <c r="A498" s="9">
        <v>44926</v>
      </c>
      <c r="B498" t="s">
        <v>77</v>
      </c>
      <c r="C498" t="s">
        <v>8</v>
      </c>
      <c r="D498" s="4">
        <v>20</v>
      </c>
      <c r="E498" s="4"/>
      <c r="F498">
        <v>271</v>
      </c>
      <c r="H498" t="str">
        <f t="shared" si="7"/>
        <v>2022-12</v>
      </c>
      <c r="I498" t="str">
        <f>_xlfn.XLOOKUP(Table1[[#This Row],[Customer_ID]],Customers!$A$2:$A$30,Customers!$C$2:$C$30,"Not found")</f>
        <v>Carries forward</v>
      </c>
    </row>
    <row r="499" spans="1:9">
      <c r="A499" s="9">
        <v>44927</v>
      </c>
      <c r="B499" t="s">
        <v>77</v>
      </c>
      <c r="C499" t="s">
        <v>8</v>
      </c>
      <c r="D499" s="4">
        <v>58</v>
      </c>
      <c r="E499" s="4"/>
      <c r="F499">
        <v>271</v>
      </c>
      <c r="H499" t="str">
        <f t="shared" si="7"/>
        <v>2023-01</v>
      </c>
      <c r="I499" t="str">
        <f>_xlfn.XLOOKUP(Table1[[#This Row],[Customer_ID]],Customers!$A$2:$A$30,Customers!$C$2:$C$30,"Not found")</f>
        <v>Carries forward</v>
      </c>
    </row>
    <row r="500" spans="1:9">
      <c r="A500" s="9">
        <v>44928</v>
      </c>
      <c r="B500" t="s">
        <v>77</v>
      </c>
      <c r="C500" t="s">
        <v>8</v>
      </c>
      <c r="D500" s="4">
        <v>68</v>
      </c>
      <c r="E500" s="4"/>
      <c r="F500">
        <v>271</v>
      </c>
      <c r="H500" t="str">
        <f t="shared" si="7"/>
        <v>2023-01</v>
      </c>
      <c r="I500" t="str">
        <f>_xlfn.XLOOKUP(Table1[[#This Row],[Customer_ID]],Customers!$A$2:$A$30,Customers!$C$2:$C$30,"Not found")</f>
        <v>Carries forward</v>
      </c>
    </row>
    <row r="501" spans="1:9">
      <c r="A501" s="9">
        <v>44929</v>
      </c>
      <c r="B501" t="s">
        <v>77</v>
      </c>
      <c r="C501" t="s">
        <v>8</v>
      </c>
      <c r="D501" s="4">
        <v>24</v>
      </c>
      <c r="E501" s="4"/>
      <c r="F501">
        <v>271</v>
      </c>
      <c r="H501" t="str">
        <f t="shared" si="7"/>
        <v>2023-01</v>
      </c>
      <c r="I501" t="str">
        <f>_xlfn.XLOOKUP(Table1[[#This Row],[Customer_ID]],Customers!$A$2:$A$30,Customers!$C$2:$C$30,"Not found")</f>
        <v>Carries forward</v>
      </c>
    </row>
    <row r="502" spans="1:9">
      <c r="A502" s="9">
        <v>44930</v>
      </c>
      <c r="B502" t="s">
        <v>77</v>
      </c>
      <c r="C502" t="s">
        <v>8</v>
      </c>
      <c r="D502" s="4">
        <v>133</v>
      </c>
      <c r="E502" s="4"/>
      <c r="F502">
        <v>271</v>
      </c>
      <c r="H502" t="str">
        <f t="shared" si="7"/>
        <v>2023-01</v>
      </c>
      <c r="I502" t="str">
        <f>_xlfn.XLOOKUP(Table1[[#This Row],[Customer_ID]],Customers!$A$2:$A$30,Customers!$C$2:$C$30,"Not found")</f>
        <v>Carries forward</v>
      </c>
    </row>
    <row r="503" spans="1:9">
      <c r="A503" s="9">
        <v>44932</v>
      </c>
      <c r="B503" t="s">
        <v>77</v>
      </c>
      <c r="C503" t="s">
        <v>8</v>
      </c>
      <c r="D503" s="4">
        <v>96</v>
      </c>
      <c r="E503" s="4"/>
      <c r="F503">
        <v>271</v>
      </c>
      <c r="H503" t="str">
        <f t="shared" si="7"/>
        <v>2023-01</v>
      </c>
      <c r="I503" t="str">
        <f>_xlfn.XLOOKUP(Table1[[#This Row],[Customer_ID]],Customers!$A$2:$A$30,Customers!$C$2:$C$30,"Not found")</f>
        <v>Carries forward</v>
      </c>
    </row>
    <row r="504" spans="1:9">
      <c r="A504" s="9">
        <v>44932</v>
      </c>
      <c r="B504" t="s">
        <v>77</v>
      </c>
      <c r="C504" t="s">
        <v>8</v>
      </c>
      <c r="D504" s="4">
        <v>750</v>
      </c>
      <c r="E504" s="4"/>
      <c r="F504">
        <v>271</v>
      </c>
      <c r="H504" t="str">
        <f t="shared" si="7"/>
        <v>2023-01</v>
      </c>
      <c r="I504" t="str">
        <f>_xlfn.XLOOKUP(Table1[[#This Row],[Customer_ID]],Customers!$A$2:$A$30,Customers!$C$2:$C$30,"Not found")</f>
        <v>Carries forward</v>
      </c>
    </row>
    <row r="505" spans="1:9">
      <c r="A505" s="9">
        <v>44933</v>
      </c>
      <c r="B505" t="s">
        <v>77</v>
      </c>
      <c r="C505" t="s">
        <v>8</v>
      </c>
      <c r="D505" s="4">
        <v>31</v>
      </c>
      <c r="E505" s="4"/>
      <c r="F505">
        <v>271</v>
      </c>
      <c r="H505" t="str">
        <f t="shared" si="7"/>
        <v>2023-01</v>
      </c>
      <c r="I505" t="str">
        <f>_xlfn.XLOOKUP(Table1[[#This Row],[Customer_ID]],Customers!$A$2:$A$30,Customers!$C$2:$C$30,"Not found")</f>
        <v>Carries forward</v>
      </c>
    </row>
    <row r="506" spans="1:9">
      <c r="A506" s="9">
        <v>44935</v>
      </c>
      <c r="B506" t="s">
        <v>77</v>
      </c>
      <c r="C506" t="s">
        <v>8</v>
      </c>
      <c r="D506" s="4">
        <v>20</v>
      </c>
      <c r="E506" s="4"/>
      <c r="F506">
        <v>271</v>
      </c>
      <c r="G506" t="s">
        <v>126</v>
      </c>
      <c r="H506" t="str">
        <f t="shared" si="7"/>
        <v>2023-01</v>
      </c>
      <c r="I506" t="str">
        <f>_xlfn.XLOOKUP(Table1[[#This Row],[Customer_ID]],Customers!$A$2:$A$30,Customers!$C$2:$C$30,"Not found")</f>
        <v>Carries forward</v>
      </c>
    </row>
    <row r="507" spans="1:9">
      <c r="A507" s="9">
        <v>44936</v>
      </c>
      <c r="B507" t="s">
        <v>77</v>
      </c>
      <c r="C507" t="s">
        <v>8</v>
      </c>
      <c r="D507" s="4">
        <v>204</v>
      </c>
      <c r="E507" s="4"/>
      <c r="F507">
        <v>271</v>
      </c>
      <c r="H507" t="str">
        <f t="shared" si="7"/>
        <v>2023-01</v>
      </c>
      <c r="I507" t="str">
        <f>_xlfn.XLOOKUP(Table1[[#This Row],[Customer_ID]],Customers!$A$2:$A$30,Customers!$C$2:$C$30,"Not found")</f>
        <v>Carries forward</v>
      </c>
    </row>
    <row r="508" spans="1:9">
      <c r="A508" s="9">
        <v>44937</v>
      </c>
      <c r="B508" t="s">
        <v>77</v>
      </c>
      <c r="C508" t="s">
        <v>8</v>
      </c>
      <c r="D508" s="4">
        <v>51</v>
      </c>
      <c r="E508" s="4"/>
      <c r="F508">
        <v>271</v>
      </c>
      <c r="H508" t="str">
        <f t="shared" si="7"/>
        <v>2023-01</v>
      </c>
      <c r="I508" t="str">
        <f>_xlfn.XLOOKUP(Table1[[#This Row],[Customer_ID]],Customers!$A$2:$A$30,Customers!$C$2:$C$30,"Not found")</f>
        <v>Carries forward</v>
      </c>
    </row>
    <row r="509" spans="1:9">
      <c r="A509" s="9">
        <v>44938</v>
      </c>
      <c r="B509" t="s">
        <v>77</v>
      </c>
      <c r="C509" t="s">
        <v>8</v>
      </c>
      <c r="D509" s="4">
        <v>24</v>
      </c>
      <c r="E509" s="4"/>
      <c r="F509">
        <v>271</v>
      </c>
      <c r="H509" t="str">
        <f t="shared" si="7"/>
        <v>2023-01</v>
      </c>
      <c r="I509" t="str">
        <f>_xlfn.XLOOKUP(Table1[[#This Row],[Customer_ID]],Customers!$A$2:$A$30,Customers!$C$2:$C$30,"Not found")</f>
        <v>Carries forward</v>
      </c>
    </row>
    <row r="510" spans="1:9">
      <c r="A510" s="9">
        <v>44938</v>
      </c>
      <c r="B510" t="s">
        <v>77</v>
      </c>
      <c r="C510" t="s">
        <v>22</v>
      </c>
      <c r="D510" s="4">
        <v>2</v>
      </c>
      <c r="E510" s="4">
        <v>7201</v>
      </c>
      <c r="F510">
        <v>271</v>
      </c>
      <c r="G510" t="s">
        <v>156</v>
      </c>
      <c r="H510" t="str">
        <f t="shared" si="7"/>
        <v>2023-01</v>
      </c>
      <c r="I510" t="str">
        <f>_xlfn.XLOOKUP(Table1[[#This Row],[Customer_ID]],Customers!$A$2:$A$30,Customers!$C$2:$C$30,"Not found")</f>
        <v>Carries forward</v>
      </c>
    </row>
    <row r="511" spans="1:9">
      <c r="A511" s="9">
        <v>44939</v>
      </c>
      <c r="B511" t="s">
        <v>77</v>
      </c>
      <c r="C511" t="s">
        <v>14</v>
      </c>
      <c r="D511" s="4">
        <v>5000</v>
      </c>
      <c r="E511" s="4">
        <v>2201</v>
      </c>
      <c r="F511">
        <v>271</v>
      </c>
      <c r="G511" t="s">
        <v>127</v>
      </c>
      <c r="H511" t="str">
        <f t="shared" si="7"/>
        <v>2023-01</v>
      </c>
      <c r="I511" t="str">
        <f>_xlfn.XLOOKUP(Table1[[#This Row],[Customer_ID]],Customers!$A$2:$A$30,Customers!$C$2:$C$30,"Not found")</f>
        <v>Carries forward</v>
      </c>
    </row>
    <row r="512" spans="1:9">
      <c r="A512" s="9">
        <v>44939</v>
      </c>
      <c r="B512" t="s">
        <v>77</v>
      </c>
      <c r="C512" t="s">
        <v>8</v>
      </c>
      <c r="D512" s="4">
        <v>21</v>
      </c>
      <c r="E512" s="4"/>
      <c r="F512">
        <v>271</v>
      </c>
      <c r="H512" t="str">
        <f t="shared" si="7"/>
        <v>2023-01</v>
      </c>
      <c r="I512" t="str">
        <f>_xlfn.XLOOKUP(Table1[[#This Row],[Customer_ID]],Customers!$A$2:$A$30,Customers!$C$2:$C$30,"Not found")</f>
        <v>Carries forward</v>
      </c>
    </row>
    <row r="513" spans="1:9">
      <c r="A513" s="9">
        <v>44942</v>
      </c>
      <c r="B513" t="s">
        <v>77</v>
      </c>
      <c r="C513" t="s">
        <v>8</v>
      </c>
      <c r="D513" s="4">
        <v>105</v>
      </c>
      <c r="E513" s="4"/>
      <c r="F513">
        <v>271</v>
      </c>
      <c r="H513" t="str">
        <f t="shared" si="7"/>
        <v>2023-01</v>
      </c>
      <c r="I513" t="str">
        <f>_xlfn.XLOOKUP(Table1[[#This Row],[Customer_ID]],Customers!$A$2:$A$30,Customers!$C$2:$C$30,"Not found")</f>
        <v>Carries forward</v>
      </c>
    </row>
    <row r="514" spans="1:9">
      <c r="A514" s="9">
        <v>44942</v>
      </c>
      <c r="B514" t="s">
        <v>77</v>
      </c>
      <c r="C514" t="s">
        <v>8</v>
      </c>
      <c r="D514" s="4">
        <v>524</v>
      </c>
      <c r="E514" s="4"/>
      <c r="F514">
        <v>271</v>
      </c>
      <c r="H514" t="str">
        <f t="shared" si="7"/>
        <v>2023-01</v>
      </c>
      <c r="I514" t="str">
        <f>_xlfn.XLOOKUP(Table1[[#This Row],[Customer_ID]],Customers!$A$2:$A$30,Customers!$C$2:$C$30,"Not found")</f>
        <v>Carries forward</v>
      </c>
    </row>
    <row r="515" spans="1:9">
      <c r="A515" s="9">
        <v>44943</v>
      </c>
      <c r="B515" t="s">
        <v>77</v>
      </c>
      <c r="C515" t="s">
        <v>8</v>
      </c>
      <c r="D515" s="4">
        <v>10</v>
      </c>
      <c r="E515" s="4"/>
      <c r="F515">
        <v>271</v>
      </c>
      <c r="H515" t="str">
        <f t="shared" ref="H515:H578" si="8">IF(A515="","",TEXT(A515,"yyyy-mm"))</f>
        <v>2023-01</v>
      </c>
      <c r="I515" t="str">
        <f>_xlfn.XLOOKUP(Table1[[#This Row],[Customer_ID]],Customers!$A$2:$A$30,Customers!$C$2:$C$30,"Not found")</f>
        <v>Carries forward</v>
      </c>
    </row>
    <row r="516" spans="1:9">
      <c r="A516" s="9">
        <v>44944</v>
      </c>
      <c r="B516" t="s">
        <v>77</v>
      </c>
      <c r="C516" t="s">
        <v>8</v>
      </c>
      <c r="D516" s="4">
        <v>108</v>
      </c>
      <c r="E516" s="4"/>
      <c r="F516">
        <v>271</v>
      </c>
      <c r="H516" t="str">
        <f t="shared" si="8"/>
        <v>2023-01</v>
      </c>
      <c r="I516" t="str">
        <f>_xlfn.XLOOKUP(Table1[[#This Row],[Customer_ID]],Customers!$A$2:$A$30,Customers!$C$2:$C$30,"Not found")</f>
        <v>Carries forward</v>
      </c>
    </row>
    <row r="517" spans="1:9">
      <c r="A517" s="9">
        <v>44944</v>
      </c>
      <c r="B517" t="s">
        <v>77</v>
      </c>
      <c r="C517" t="s">
        <v>8</v>
      </c>
      <c r="D517" s="4">
        <v>153</v>
      </c>
      <c r="E517" s="4"/>
      <c r="F517">
        <v>271</v>
      </c>
      <c r="H517" t="str">
        <f t="shared" si="8"/>
        <v>2023-01</v>
      </c>
      <c r="I517" t="str">
        <f>_xlfn.XLOOKUP(Table1[[#This Row],[Customer_ID]],Customers!$A$2:$A$30,Customers!$C$2:$C$30,"Not found")</f>
        <v>Carries forward</v>
      </c>
    </row>
    <row r="518" spans="1:9">
      <c r="A518" s="9">
        <v>44945</v>
      </c>
      <c r="B518" t="s">
        <v>77</v>
      </c>
      <c r="C518" t="s">
        <v>8</v>
      </c>
      <c r="D518" s="4">
        <v>40</v>
      </c>
      <c r="E518" s="4"/>
      <c r="F518">
        <v>271</v>
      </c>
      <c r="H518" t="str">
        <f t="shared" si="8"/>
        <v>2023-01</v>
      </c>
      <c r="I518" t="str">
        <f>_xlfn.XLOOKUP(Table1[[#This Row],[Customer_ID]],Customers!$A$2:$A$30,Customers!$C$2:$C$30,"Not found")</f>
        <v>Carries forward</v>
      </c>
    </row>
    <row r="519" spans="1:9">
      <c r="A519" s="9">
        <v>44946</v>
      </c>
      <c r="B519" t="s">
        <v>77</v>
      </c>
      <c r="C519" t="s">
        <v>8</v>
      </c>
      <c r="D519" s="4">
        <v>421</v>
      </c>
      <c r="E519" s="4"/>
      <c r="F519">
        <v>271</v>
      </c>
      <c r="H519" t="str">
        <f t="shared" si="8"/>
        <v>2023-01</v>
      </c>
      <c r="I519" t="str">
        <f>_xlfn.XLOOKUP(Table1[[#This Row],[Customer_ID]],Customers!$A$2:$A$30,Customers!$C$2:$C$30,"Not found")</f>
        <v>Carries forward</v>
      </c>
    </row>
    <row r="520" spans="1:9">
      <c r="A520" s="9">
        <v>44947</v>
      </c>
      <c r="B520" t="s">
        <v>77</v>
      </c>
      <c r="C520" t="s">
        <v>8</v>
      </c>
      <c r="D520" s="4">
        <v>64</v>
      </c>
      <c r="E520" s="4"/>
      <c r="F520">
        <v>271</v>
      </c>
      <c r="H520" t="str">
        <f t="shared" si="8"/>
        <v>2023-01</v>
      </c>
      <c r="I520" t="str">
        <f>_xlfn.XLOOKUP(Table1[[#This Row],[Customer_ID]],Customers!$A$2:$A$30,Customers!$C$2:$C$30,"Not found")</f>
        <v>Carries forward</v>
      </c>
    </row>
    <row r="521" spans="1:9">
      <c r="A521" s="9">
        <v>44948</v>
      </c>
      <c r="B521" t="s">
        <v>77</v>
      </c>
      <c r="C521" t="s">
        <v>8</v>
      </c>
      <c r="D521" s="4">
        <v>290</v>
      </c>
      <c r="E521" s="4"/>
      <c r="F521">
        <v>271</v>
      </c>
      <c r="H521" t="str">
        <f t="shared" si="8"/>
        <v>2023-01</v>
      </c>
      <c r="I521" t="str">
        <f>_xlfn.XLOOKUP(Table1[[#This Row],[Customer_ID]],Customers!$A$2:$A$30,Customers!$C$2:$C$30,"Not found")</f>
        <v>Carries forward</v>
      </c>
    </row>
    <row r="522" spans="1:9">
      <c r="A522" s="9">
        <v>44948</v>
      </c>
      <c r="B522" t="s">
        <v>77</v>
      </c>
      <c r="C522" t="s">
        <v>8</v>
      </c>
      <c r="D522" s="4">
        <v>10</v>
      </c>
      <c r="E522" s="4"/>
      <c r="F522">
        <v>271</v>
      </c>
      <c r="H522" t="str">
        <f t="shared" si="8"/>
        <v>2023-01</v>
      </c>
      <c r="I522" t="str">
        <f>_xlfn.XLOOKUP(Table1[[#This Row],[Customer_ID]],Customers!$A$2:$A$30,Customers!$C$2:$C$30,"Not found")</f>
        <v>Carries forward</v>
      </c>
    </row>
    <row r="523" spans="1:9">
      <c r="A523" s="9">
        <v>44948</v>
      </c>
      <c r="B523" t="s">
        <v>77</v>
      </c>
      <c r="C523" t="s">
        <v>8</v>
      </c>
      <c r="D523" s="4">
        <v>21</v>
      </c>
      <c r="E523" s="4"/>
      <c r="F523">
        <v>271</v>
      </c>
      <c r="H523" t="str">
        <f t="shared" si="8"/>
        <v>2023-01</v>
      </c>
      <c r="I523" t="str">
        <f>_xlfn.XLOOKUP(Table1[[#This Row],[Customer_ID]],Customers!$A$2:$A$30,Customers!$C$2:$C$30,"Not found")</f>
        <v>Carries forward</v>
      </c>
    </row>
    <row r="524" spans="1:9">
      <c r="A524" s="9">
        <v>44948</v>
      </c>
      <c r="B524" t="s">
        <v>77</v>
      </c>
      <c r="C524" t="s">
        <v>8</v>
      </c>
      <c r="D524" s="4">
        <v>120</v>
      </c>
      <c r="E524" s="4"/>
      <c r="F524">
        <v>271</v>
      </c>
      <c r="H524" t="str">
        <f t="shared" si="8"/>
        <v>2023-01</v>
      </c>
      <c r="I524" t="str">
        <f>_xlfn.XLOOKUP(Table1[[#This Row],[Customer_ID]],Customers!$A$2:$A$30,Customers!$C$2:$C$30,"Not found")</f>
        <v>Carries forward</v>
      </c>
    </row>
    <row r="525" spans="1:9">
      <c r="A525" s="9">
        <v>44951</v>
      </c>
      <c r="B525" t="s">
        <v>77</v>
      </c>
      <c r="C525" t="s">
        <v>8</v>
      </c>
      <c r="D525" s="4">
        <v>21</v>
      </c>
      <c r="E525" s="4"/>
      <c r="F525">
        <v>271</v>
      </c>
      <c r="H525" t="str">
        <f t="shared" si="8"/>
        <v>2023-01</v>
      </c>
      <c r="I525" t="str">
        <f>_xlfn.XLOOKUP(Table1[[#This Row],[Customer_ID]],Customers!$A$2:$A$30,Customers!$C$2:$C$30,"Not found")</f>
        <v>Carries forward</v>
      </c>
    </row>
    <row r="526" spans="1:9">
      <c r="A526" s="9">
        <v>44951</v>
      </c>
      <c r="B526" t="s">
        <v>77</v>
      </c>
      <c r="C526" t="s">
        <v>8</v>
      </c>
      <c r="D526" s="4">
        <v>148</v>
      </c>
      <c r="E526" s="4"/>
      <c r="F526">
        <v>271</v>
      </c>
      <c r="H526" t="str">
        <f t="shared" si="8"/>
        <v>2023-01</v>
      </c>
      <c r="I526" t="str">
        <f>_xlfn.XLOOKUP(Table1[[#This Row],[Customer_ID]],Customers!$A$2:$A$30,Customers!$C$2:$C$30,"Not found")</f>
        <v>Carries forward</v>
      </c>
    </row>
    <row r="527" spans="1:9">
      <c r="A527" s="9">
        <v>44951</v>
      </c>
      <c r="B527" t="s">
        <v>77</v>
      </c>
      <c r="C527" t="s">
        <v>8</v>
      </c>
      <c r="D527" s="4">
        <v>77</v>
      </c>
      <c r="E527" s="4"/>
      <c r="F527">
        <v>271</v>
      </c>
      <c r="H527" t="str">
        <f t="shared" si="8"/>
        <v>2023-01</v>
      </c>
      <c r="I527" t="str">
        <f>_xlfn.XLOOKUP(Table1[[#This Row],[Customer_ID]],Customers!$A$2:$A$30,Customers!$C$2:$C$30,"Not found")</f>
        <v>Carries forward</v>
      </c>
    </row>
    <row r="528" spans="1:9">
      <c r="A528" s="9">
        <v>44952</v>
      </c>
      <c r="B528" t="s">
        <v>77</v>
      </c>
      <c r="C528" t="s">
        <v>8</v>
      </c>
      <c r="D528" s="4">
        <v>142</v>
      </c>
      <c r="E528" s="4"/>
      <c r="F528">
        <v>271</v>
      </c>
      <c r="H528" t="str">
        <f t="shared" si="8"/>
        <v>2023-01</v>
      </c>
      <c r="I528" t="str">
        <f>_xlfn.XLOOKUP(Table1[[#This Row],[Customer_ID]],Customers!$A$2:$A$30,Customers!$C$2:$C$30,"Not found")</f>
        <v>Carries forward</v>
      </c>
    </row>
    <row r="529" spans="1:9">
      <c r="A529" s="9">
        <v>44953</v>
      </c>
      <c r="B529" t="s">
        <v>77</v>
      </c>
      <c r="C529" t="s">
        <v>8</v>
      </c>
      <c r="D529" s="4">
        <v>36</v>
      </c>
      <c r="E529" s="4"/>
      <c r="F529">
        <v>271</v>
      </c>
      <c r="H529" t="str">
        <f t="shared" si="8"/>
        <v>2023-01</v>
      </c>
      <c r="I529" t="str">
        <f>_xlfn.XLOOKUP(Table1[[#This Row],[Customer_ID]],Customers!$A$2:$A$30,Customers!$C$2:$C$30,"Not found")</f>
        <v>Carries forward</v>
      </c>
    </row>
    <row r="530" spans="1:9">
      <c r="A530" s="9">
        <v>44954</v>
      </c>
      <c r="B530" t="s">
        <v>77</v>
      </c>
      <c r="C530" t="s">
        <v>8</v>
      </c>
      <c r="D530" s="4">
        <v>235</v>
      </c>
      <c r="E530" s="4"/>
      <c r="F530">
        <v>271</v>
      </c>
      <c r="H530" t="str">
        <f t="shared" si="8"/>
        <v>2023-01</v>
      </c>
      <c r="I530" t="str">
        <f>_xlfn.XLOOKUP(Table1[[#This Row],[Customer_ID]],Customers!$A$2:$A$30,Customers!$C$2:$C$30,"Not found")</f>
        <v>Carries forward</v>
      </c>
    </row>
    <row r="531" spans="1:9">
      <c r="A531" s="9">
        <v>44955</v>
      </c>
      <c r="B531" t="s">
        <v>77</v>
      </c>
      <c r="C531" t="s">
        <v>8</v>
      </c>
      <c r="D531" s="4">
        <v>36</v>
      </c>
      <c r="E531" s="4"/>
      <c r="F531">
        <v>271</v>
      </c>
      <c r="H531" t="str">
        <f t="shared" si="8"/>
        <v>2023-01</v>
      </c>
      <c r="I531" t="str">
        <f>_xlfn.XLOOKUP(Table1[[#This Row],[Customer_ID]],Customers!$A$2:$A$30,Customers!$C$2:$C$30,"Not found")</f>
        <v>Carries forward</v>
      </c>
    </row>
    <row r="532" spans="1:9">
      <c r="A532" s="9">
        <v>44956</v>
      </c>
      <c r="B532" t="s">
        <v>77</v>
      </c>
      <c r="C532" t="s">
        <v>8</v>
      </c>
      <c r="D532" s="4">
        <v>54</v>
      </c>
      <c r="E532" s="4"/>
      <c r="F532">
        <v>271</v>
      </c>
      <c r="H532" t="str">
        <f t="shared" si="8"/>
        <v>2023-01</v>
      </c>
      <c r="I532" t="str">
        <f>_xlfn.XLOOKUP(Table1[[#This Row],[Customer_ID]],Customers!$A$2:$A$30,Customers!$C$2:$C$30,"Not found")</f>
        <v>Carries forward</v>
      </c>
    </row>
    <row r="533" spans="1:9">
      <c r="A533" s="9">
        <v>44956</v>
      </c>
      <c r="B533" t="s">
        <v>77</v>
      </c>
      <c r="C533" t="s">
        <v>8</v>
      </c>
      <c r="D533" s="4">
        <v>1415</v>
      </c>
      <c r="E533" s="4"/>
      <c r="F533">
        <v>271</v>
      </c>
      <c r="H533" t="str">
        <f t="shared" si="8"/>
        <v>2023-01</v>
      </c>
      <c r="I533" t="str">
        <f>_xlfn.XLOOKUP(Table1[[#This Row],[Customer_ID]],Customers!$A$2:$A$30,Customers!$C$2:$C$30,"Not found")</f>
        <v>Carries forward</v>
      </c>
    </row>
    <row r="534" spans="1:9">
      <c r="A534" s="9">
        <v>44956</v>
      </c>
      <c r="B534" t="s">
        <v>77</v>
      </c>
      <c r="C534" t="s">
        <v>8</v>
      </c>
      <c r="D534" s="4">
        <v>203</v>
      </c>
      <c r="E534" s="4"/>
      <c r="F534">
        <v>271</v>
      </c>
      <c r="H534" t="str">
        <f t="shared" si="8"/>
        <v>2023-01</v>
      </c>
      <c r="I534" t="str">
        <f>_xlfn.XLOOKUP(Table1[[#This Row],[Customer_ID]],Customers!$A$2:$A$30,Customers!$C$2:$C$30,"Not found")</f>
        <v>Carries forward</v>
      </c>
    </row>
    <row r="535" spans="1:9">
      <c r="A535" s="9">
        <v>44957</v>
      </c>
      <c r="B535" t="s">
        <v>77</v>
      </c>
      <c r="C535" t="s">
        <v>8</v>
      </c>
      <c r="D535" s="4">
        <v>24</v>
      </c>
      <c r="E535" s="4"/>
      <c r="F535">
        <v>271</v>
      </c>
      <c r="H535" t="str">
        <f t="shared" si="8"/>
        <v>2023-01</v>
      </c>
      <c r="I535" t="str">
        <f>_xlfn.XLOOKUP(Table1[[#This Row],[Customer_ID]],Customers!$A$2:$A$30,Customers!$C$2:$C$30,"Not found")</f>
        <v>Carries forward</v>
      </c>
    </row>
    <row r="536" spans="1:9">
      <c r="A536" s="9">
        <v>44958</v>
      </c>
      <c r="B536" t="s">
        <v>77</v>
      </c>
      <c r="C536" t="s">
        <v>8</v>
      </c>
      <c r="D536" s="4">
        <v>10</v>
      </c>
      <c r="E536" s="4"/>
      <c r="F536">
        <v>271</v>
      </c>
      <c r="H536" t="str">
        <f t="shared" si="8"/>
        <v>2023-02</v>
      </c>
      <c r="I536" t="str">
        <f>_xlfn.XLOOKUP(Table1[[#This Row],[Customer_ID]],Customers!$A$2:$A$30,Customers!$C$2:$C$30,"Not found")</f>
        <v>Carries forward</v>
      </c>
    </row>
    <row r="537" spans="1:9">
      <c r="A537" s="9">
        <v>44958</v>
      </c>
      <c r="B537" t="s">
        <v>77</v>
      </c>
      <c r="C537" t="s">
        <v>8</v>
      </c>
      <c r="D537" s="4">
        <v>353</v>
      </c>
      <c r="E537" s="4"/>
      <c r="F537">
        <v>271</v>
      </c>
      <c r="H537" t="str">
        <f t="shared" si="8"/>
        <v>2023-02</v>
      </c>
      <c r="I537" t="str">
        <f>_xlfn.XLOOKUP(Table1[[#This Row],[Customer_ID]],Customers!$A$2:$A$30,Customers!$C$2:$C$30,"Not found")</f>
        <v>Carries forward</v>
      </c>
    </row>
    <row r="538" spans="1:9">
      <c r="A538" s="9">
        <v>44959</v>
      </c>
      <c r="B538" t="s">
        <v>77</v>
      </c>
      <c r="C538" t="s">
        <v>8</v>
      </c>
      <c r="D538" s="4">
        <v>292</v>
      </c>
      <c r="E538" s="4"/>
      <c r="F538">
        <v>271</v>
      </c>
      <c r="G538" t="s">
        <v>128</v>
      </c>
      <c r="H538" t="str">
        <f t="shared" si="8"/>
        <v>2023-02</v>
      </c>
      <c r="I538" t="str">
        <f>_xlfn.XLOOKUP(Table1[[#This Row],[Customer_ID]],Customers!$A$2:$A$30,Customers!$C$2:$C$30,"Not found")</f>
        <v>Carries forward</v>
      </c>
    </row>
    <row r="539" spans="1:9">
      <c r="A539" s="9">
        <v>44960</v>
      </c>
      <c r="B539" t="s">
        <v>77</v>
      </c>
      <c r="C539" t="s">
        <v>8</v>
      </c>
      <c r="D539" s="4">
        <v>68</v>
      </c>
      <c r="E539" s="4"/>
      <c r="F539">
        <v>271</v>
      </c>
      <c r="H539" t="str">
        <f t="shared" si="8"/>
        <v>2023-02</v>
      </c>
      <c r="I539" t="str">
        <f>_xlfn.XLOOKUP(Table1[[#This Row],[Customer_ID]],Customers!$A$2:$A$30,Customers!$C$2:$C$30,"Not found")</f>
        <v>Carries forward</v>
      </c>
    </row>
    <row r="540" spans="1:9">
      <c r="A540" s="9">
        <v>44961</v>
      </c>
      <c r="B540" t="s">
        <v>77</v>
      </c>
      <c r="C540" t="s">
        <v>8</v>
      </c>
      <c r="D540" s="4">
        <v>25</v>
      </c>
      <c r="E540" s="4"/>
      <c r="F540">
        <v>271</v>
      </c>
      <c r="H540" t="str">
        <f t="shared" si="8"/>
        <v>2023-02</v>
      </c>
      <c r="I540" t="str">
        <f>_xlfn.XLOOKUP(Table1[[#This Row],[Customer_ID]],Customers!$A$2:$A$30,Customers!$C$2:$C$30,"Not found")</f>
        <v>Carries forward</v>
      </c>
    </row>
    <row r="541" spans="1:9">
      <c r="A541" s="9">
        <v>44961</v>
      </c>
      <c r="B541" t="s">
        <v>77</v>
      </c>
      <c r="C541" t="s">
        <v>8</v>
      </c>
      <c r="D541" s="4">
        <v>67</v>
      </c>
      <c r="E541" s="4"/>
      <c r="F541">
        <v>271</v>
      </c>
      <c r="H541" t="str">
        <f t="shared" si="8"/>
        <v>2023-02</v>
      </c>
      <c r="I541" t="str">
        <f>_xlfn.XLOOKUP(Table1[[#This Row],[Customer_ID]],Customers!$A$2:$A$30,Customers!$C$2:$C$30,"Not found")</f>
        <v>Carries forward</v>
      </c>
    </row>
    <row r="542" spans="1:9">
      <c r="A542" s="9">
        <v>44962</v>
      </c>
      <c r="B542" t="s">
        <v>77</v>
      </c>
      <c r="C542" t="s">
        <v>8</v>
      </c>
      <c r="D542" s="4">
        <v>10</v>
      </c>
      <c r="E542" s="4"/>
      <c r="F542">
        <v>271</v>
      </c>
      <c r="H542" t="str">
        <f t="shared" si="8"/>
        <v>2023-02</v>
      </c>
      <c r="I542" t="str">
        <f>_xlfn.XLOOKUP(Table1[[#This Row],[Customer_ID]],Customers!$A$2:$A$30,Customers!$C$2:$C$30,"Not found")</f>
        <v>Carries forward</v>
      </c>
    </row>
    <row r="543" spans="1:9">
      <c r="A543" s="9">
        <v>44962</v>
      </c>
      <c r="B543" t="s">
        <v>77</v>
      </c>
      <c r="C543" t="s">
        <v>8</v>
      </c>
      <c r="D543" s="4">
        <v>49</v>
      </c>
      <c r="E543" s="4"/>
      <c r="F543">
        <v>271</v>
      </c>
      <c r="H543" t="str">
        <f t="shared" si="8"/>
        <v>2023-02</v>
      </c>
      <c r="I543" t="str">
        <f>_xlfn.XLOOKUP(Table1[[#This Row],[Customer_ID]],Customers!$A$2:$A$30,Customers!$C$2:$C$30,"Not found")</f>
        <v>Carries forward</v>
      </c>
    </row>
    <row r="544" spans="1:9">
      <c r="A544" s="9">
        <v>44963</v>
      </c>
      <c r="B544" t="s">
        <v>77</v>
      </c>
      <c r="C544" t="s">
        <v>8</v>
      </c>
      <c r="D544" s="4">
        <v>49</v>
      </c>
      <c r="E544" s="4"/>
      <c r="F544">
        <v>271</v>
      </c>
      <c r="H544" t="str">
        <f t="shared" si="8"/>
        <v>2023-02</v>
      </c>
      <c r="I544" t="str">
        <f>_xlfn.XLOOKUP(Table1[[#This Row],[Customer_ID]],Customers!$A$2:$A$30,Customers!$C$2:$C$30,"Not found")</f>
        <v>Carries forward</v>
      </c>
    </row>
    <row r="545" spans="1:9">
      <c r="A545" s="9">
        <v>44964</v>
      </c>
      <c r="B545" t="s">
        <v>77</v>
      </c>
      <c r="C545" t="s">
        <v>8</v>
      </c>
      <c r="D545" s="4">
        <v>326</v>
      </c>
      <c r="E545" s="4"/>
      <c r="F545">
        <v>271</v>
      </c>
      <c r="H545" t="str">
        <f t="shared" si="8"/>
        <v>2023-02</v>
      </c>
      <c r="I545" t="str">
        <f>_xlfn.XLOOKUP(Table1[[#This Row],[Customer_ID]],Customers!$A$2:$A$30,Customers!$C$2:$C$30,"Not found")</f>
        <v>Carries forward</v>
      </c>
    </row>
    <row r="546" spans="1:9">
      <c r="A546" s="9">
        <v>44964</v>
      </c>
      <c r="B546" t="s">
        <v>77</v>
      </c>
      <c r="C546" t="s">
        <v>8</v>
      </c>
      <c r="D546" s="4">
        <v>24</v>
      </c>
      <c r="E546" s="4"/>
      <c r="F546">
        <v>271</v>
      </c>
      <c r="H546" t="str">
        <f t="shared" si="8"/>
        <v>2023-02</v>
      </c>
      <c r="I546" t="str">
        <f>_xlfn.XLOOKUP(Table1[[#This Row],[Customer_ID]],Customers!$A$2:$A$30,Customers!$C$2:$C$30,"Not found")</f>
        <v>Carries forward</v>
      </c>
    </row>
    <row r="547" spans="1:9">
      <c r="A547" s="9">
        <v>44965</v>
      </c>
      <c r="B547" t="s">
        <v>77</v>
      </c>
      <c r="C547" t="s">
        <v>8</v>
      </c>
      <c r="D547" s="4">
        <v>130</v>
      </c>
      <c r="E547" s="4"/>
      <c r="F547">
        <v>271</v>
      </c>
      <c r="H547" t="str">
        <f t="shared" si="8"/>
        <v>2023-02</v>
      </c>
      <c r="I547" t="str">
        <f>_xlfn.XLOOKUP(Table1[[#This Row],[Customer_ID]],Customers!$A$2:$A$30,Customers!$C$2:$C$30,"Not found")</f>
        <v>Carries forward</v>
      </c>
    </row>
    <row r="548" spans="1:9">
      <c r="A548" s="9">
        <v>44966</v>
      </c>
      <c r="B548" t="s">
        <v>77</v>
      </c>
      <c r="C548" t="s">
        <v>8</v>
      </c>
      <c r="D548" s="4">
        <v>25</v>
      </c>
      <c r="E548" s="4"/>
      <c r="F548">
        <v>271</v>
      </c>
      <c r="H548" t="str">
        <f t="shared" si="8"/>
        <v>2023-02</v>
      </c>
      <c r="I548" t="str">
        <f>_xlfn.XLOOKUP(Table1[[#This Row],[Customer_ID]],Customers!$A$2:$A$30,Customers!$C$2:$C$30,"Not found")</f>
        <v>Carries forward</v>
      </c>
    </row>
    <row r="549" spans="1:9">
      <c r="A549" s="9">
        <v>44966</v>
      </c>
      <c r="B549" t="s">
        <v>77</v>
      </c>
      <c r="C549" t="s">
        <v>8</v>
      </c>
      <c r="D549" s="4">
        <v>49</v>
      </c>
      <c r="E549" s="4"/>
      <c r="F549">
        <v>271</v>
      </c>
      <c r="H549" t="str">
        <f t="shared" si="8"/>
        <v>2023-02</v>
      </c>
      <c r="I549" t="str">
        <f>_xlfn.XLOOKUP(Table1[[#This Row],[Customer_ID]],Customers!$A$2:$A$30,Customers!$C$2:$C$30,"Not found")</f>
        <v>Carries forward</v>
      </c>
    </row>
    <row r="550" spans="1:9">
      <c r="A550" s="9">
        <v>44967</v>
      </c>
      <c r="B550" t="s">
        <v>77</v>
      </c>
      <c r="C550" t="s">
        <v>8</v>
      </c>
      <c r="D550" s="4">
        <v>99</v>
      </c>
      <c r="E550" s="4"/>
      <c r="F550">
        <v>271</v>
      </c>
      <c r="H550" t="str">
        <f t="shared" si="8"/>
        <v>2023-02</v>
      </c>
      <c r="I550" t="str">
        <f>_xlfn.XLOOKUP(Table1[[#This Row],[Customer_ID]],Customers!$A$2:$A$30,Customers!$C$2:$C$30,"Not found")</f>
        <v>Carries forward</v>
      </c>
    </row>
    <row r="551" spans="1:9">
      <c r="A551" s="9">
        <v>44967</v>
      </c>
      <c r="B551" t="s">
        <v>77</v>
      </c>
      <c r="C551" t="s">
        <v>8</v>
      </c>
      <c r="D551" s="4">
        <v>20</v>
      </c>
      <c r="E551" s="4"/>
      <c r="F551">
        <v>271</v>
      </c>
      <c r="H551" t="str">
        <f t="shared" si="8"/>
        <v>2023-02</v>
      </c>
      <c r="I551" t="str">
        <f>_xlfn.XLOOKUP(Table1[[#This Row],[Customer_ID]],Customers!$A$2:$A$30,Customers!$C$2:$C$30,"Not found")</f>
        <v>Carries forward</v>
      </c>
    </row>
    <row r="552" spans="1:9">
      <c r="A552" s="9">
        <v>44967</v>
      </c>
      <c r="B552" t="s">
        <v>77</v>
      </c>
      <c r="C552" t="s">
        <v>22</v>
      </c>
      <c r="D552" s="4">
        <v>-313</v>
      </c>
      <c r="E552" s="4">
        <v>8078</v>
      </c>
      <c r="F552">
        <v>271</v>
      </c>
      <c r="G552" t="s">
        <v>157</v>
      </c>
      <c r="H552" t="str">
        <f t="shared" si="8"/>
        <v>2023-02</v>
      </c>
      <c r="I552" t="str">
        <f>_xlfn.XLOOKUP(Table1[[#This Row],[Customer_ID]],Customers!$A$2:$A$30,Customers!$C$2:$C$30,"Not found")</f>
        <v>Carries forward</v>
      </c>
    </row>
    <row r="553" spans="1:9">
      <c r="A553" s="9">
        <v>44968</v>
      </c>
      <c r="B553" t="s">
        <v>77</v>
      </c>
      <c r="C553" t="s">
        <v>8</v>
      </c>
      <c r="D553" s="4">
        <v>10</v>
      </c>
      <c r="E553" s="4"/>
      <c r="F553">
        <v>271</v>
      </c>
      <c r="H553" t="str">
        <f t="shared" si="8"/>
        <v>2023-02</v>
      </c>
      <c r="I553" t="str">
        <f>_xlfn.XLOOKUP(Table1[[#This Row],[Customer_ID]],Customers!$A$2:$A$30,Customers!$C$2:$C$30,"Not found")</f>
        <v>Carries forward</v>
      </c>
    </row>
    <row r="554" spans="1:9">
      <c r="A554" s="9">
        <v>44969</v>
      </c>
      <c r="B554" t="s">
        <v>77</v>
      </c>
      <c r="C554" t="s">
        <v>8</v>
      </c>
      <c r="D554" s="4">
        <v>33</v>
      </c>
      <c r="E554" s="4"/>
      <c r="F554">
        <v>271</v>
      </c>
      <c r="H554" t="str">
        <f t="shared" si="8"/>
        <v>2023-02</v>
      </c>
      <c r="I554" t="str">
        <f>_xlfn.XLOOKUP(Table1[[#This Row],[Customer_ID]],Customers!$A$2:$A$30,Customers!$C$2:$C$30,"Not found")</f>
        <v>Carries forward</v>
      </c>
    </row>
    <row r="555" spans="1:9">
      <c r="A555" s="9">
        <v>44970</v>
      </c>
      <c r="B555" t="s">
        <v>77</v>
      </c>
      <c r="C555" t="s">
        <v>8</v>
      </c>
      <c r="D555" s="4">
        <v>36</v>
      </c>
      <c r="E555" s="4"/>
      <c r="F555">
        <v>271</v>
      </c>
      <c r="H555" t="str">
        <f t="shared" si="8"/>
        <v>2023-02</v>
      </c>
      <c r="I555" t="str">
        <f>_xlfn.XLOOKUP(Table1[[#This Row],[Customer_ID]],Customers!$A$2:$A$30,Customers!$C$2:$C$30,"Not found")</f>
        <v>Carries forward</v>
      </c>
    </row>
    <row r="556" spans="1:9">
      <c r="A556" s="9">
        <v>44971</v>
      </c>
      <c r="B556" t="s">
        <v>77</v>
      </c>
      <c r="C556" t="s">
        <v>8</v>
      </c>
      <c r="D556" s="4">
        <v>144</v>
      </c>
      <c r="E556" s="4">
        <v>8301</v>
      </c>
      <c r="F556">
        <v>271</v>
      </c>
      <c r="G556" t="s">
        <v>129</v>
      </c>
      <c r="H556" t="str">
        <f t="shared" si="8"/>
        <v>2023-02</v>
      </c>
      <c r="I556" t="str">
        <f>_xlfn.XLOOKUP(Table1[[#This Row],[Customer_ID]],Customers!$A$2:$A$30,Customers!$C$2:$C$30,"Not found")</f>
        <v>Carries forward</v>
      </c>
    </row>
    <row r="557" spans="1:9">
      <c r="A557" s="9"/>
      <c r="B557" t="s">
        <v>77</v>
      </c>
      <c r="C557" t="s">
        <v>14</v>
      </c>
      <c r="D557" s="4">
        <v>5000</v>
      </c>
      <c r="E557" s="4">
        <v>3301</v>
      </c>
      <c r="F557">
        <v>271</v>
      </c>
      <c r="G557" t="s">
        <v>130</v>
      </c>
      <c r="H557" t="str">
        <f t="shared" si="8"/>
        <v/>
      </c>
      <c r="I557" t="str">
        <f>_xlfn.XLOOKUP(Table1[[#This Row],[Customer_ID]],Customers!$A$2:$A$30,Customers!$C$2:$C$30,"Not found")</f>
        <v>Carries forward</v>
      </c>
    </row>
    <row r="558" spans="1:9">
      <c r="A558" s="9">
        <v>44973</v>
      </c>
      <c r="B558" t="s">
        <v>77</v>
      </c>
      <c r="C558" t="s">
        <v>8</v>
      </c>
      <c r="D558" s="4">
        <v>55</v>
      </c>
      <c r="E558" s="4"/>
      <c r="F558">
        <v>271</v>
      </c>
      <c r="H558" t="str">
        <f t="shared" si="8"/>
        <v>2023-02</v>
      </c>
      <c r="I558" t="str">
        <f>_xlfn.XLOOKUP(Table1[[#This Row],[Customer_ID]],Customers!$A$2:$A$30,Customers!$C$2:$C$30,"Not found")</f>
        <v>Carries forward</v>
      </c>
    </row>
    <row r="559" spans="1:9">
      <c r="A559" s="9">
        <v>44974</v>
      </c>
      <c r="B559" t="s">
        <v>77</v>
      </c>
      <c r="C559" t="s">
        <v>8</v>
      </c>
      <c r="D559" s="4">
        <v>117</v>
      </c>
      <c r="E559" s="4"/>
      <c r="F559">
        <v>271</v>
      </c>
      <c r="H559" t="str">
        <f t="shared" si="8"/>
        <v>2023-02</v>
      </c>
      <c r="I559" t="str">
        <f>_xlfn.XLOOKUP(Table1[[#This Row],[Customer_ID]],Customers!$A$2:$A$30,Customers!$C$2:$C$30,"Not found")</f>
        <v>Carries forward</v>
      </c>
    </row>
    <row r="560" spans="1:9">
      <c r="A560" s="9">
        <v>44974</v>
      </c>
      <c r="B560" t="s">
        <v>77</v>
      </c>
      <c r="C560" t="s">
        <v>8</v>
      </c>
      <c r="D560" s="4">
        <v>280</v>
      </c>
      <c r="E560" s="4"/>
      <c r="F560">
        <v>271</v>
      </c>
      <c r="H560" t="str">
        <f t="shared" si="8"/>
        <v>2023-02</v>
      </c>
      <c r="I560" t="str">
        <f>_xlfn.XLOOKUP(Table1[[#This Row],[Customer_ID]],Customers!$A$2:$A$30,Customers!$C$2:$C$30,"Not found")</f>
        <v>Carries forward</v>
      </c>
    </row>
    <row r="561" spans="1:9">
      <c r="A561" s="9">
        <v>44975</v>
      </c>
      <c r="B561" t="s">
        <v>77</v>
      </c>
      <c r="C561" t="s">
        <v>8</v>
      </c>
      <c r="D561" s="4">
        <v>15</v>
      </c>
      <c r="E561" s="4"/>
      <c r="F561">
        <v>271</v>
      </c>
      <c r="H561" t="str">
        <f t="shared" si="8"/>
        <v>2023-02</v>
      </c>
      <c r="I561" t="str">
        <f>_xlfn.XLOOKUP(Table1[[#This Row],[Customer_ID]],Customers!$A$2:$A$30,Customers!$C$2:$C$30,"Not found")</f>
        <v>Carries forward</v>
      </c>
    </row>
    <row r="562" spans="1:9">
      <c r="A562" s="9">
        <v>44978</v>
      </c>
      <c r="B562" t="s">
        <v>77</v>
      </c>
      <c r="C562" t="s">
        <v>8</v>
      </c>
      <c r="D562" s="4">
        <v>25</v>
      </c>
      <c r="E562" s="4"/>
      <c r="F562">
        <v>271</v>
      </c>
      <c r="H562" t="str">
        <f t="shared" si="8"/>
        <v>2023-02</v>
      </c>
      <c r="I562" t="str">
        <f>_xlfn.XLOOKUP(Table1[[#This Row],[Customer_ID]],Customers!$A$2:$A$30,Customers!$C$2:$C$30,"Not found")</f>
        <v>Carries forward</v>
      </c>
    </row>
    <row r="563" spans="1:9">
      <c r="A563" s="9">
        <v>44979</v>
      </c>
      <c r="B563" t="s">
        <v>77</v>
      </c>
      <c r="C563" t="s">
        <v>8</v>
      </c>
      <c r="D563" s="4">
        <v>656</v>
      </c>
      <c r="E563" s="4"/>
      <c r="F563">
        <v>271</v>
      </c>
      <c r="G563" t="s">
        <v>158</v>
      </c>
      <c r="H563" t="str">
        <f t="shared" si="8"/>
        <v>2023-02</v>
      </c>
      <c r="I563" t="str">
        <f>_xlfn.XLOOKUP(Table1[[#This Row],[Customer_ID]],Customers!$A$2:$A$30,Customers!$C$2:$C$30,"Not found")</f>
        <v>Carries forward</v>
      </c>
    </row>
    <row r="564" spans="1:9">
      <c r="A564" s="9">
        <v>44980</v>
      </c>
      <c r="B564" t="s">
        <v>77</v>
      </c>
      <c r="C564" t="s">
        <v>8</v>
      </c>
      <c r="D564" s="4">
        <v>149</v>
      </c>
      <c r="E564" s="4"/>
      <c r="F564">
        <v>271</v>
      </c>
      <c r="H564" t="str">
        <f t="shared" si="8"/>
        <v>2023-02</v>
      </c>
      <c r="I564" t="str">
        <f>_xlfn.XLOOKUP(Table1[[#This Row],[Customer_ID]],Customers!$A$2:$A$30,Customers!$C$2:$C$30,"Not found")</f>
        <v>Carries forward</v>
      </c>
    </row>
    <row r="565" spans="1:9">
      <c r="A565" s="9">
        <v>44981</v>
      </c>
      <c r="B565" t="s">
        <v>77</v>
      </c>
      <c r="C565" t="s">
        <v>8</v>
      </c>
      <c r="D565" s="4">
        <v>110</v>
      </c>
      <c r="E565" s="4"/>
      <c r="F565">
        <v>271</v>
      </c>
      <c r="H565" t="str">
        <f t="shared" si="8"/>
        <v>2023-02</v>
      </c>
      <c r="I565" t="str">
        <f>_xlfn.XLOOKUP(Table1[[#This Row],[Customer_ID]],Customers!$A$2:$A$30,Customers!$C$2:$C$30,"Not found")</f>
        <v>Carries forward</v>
      </c>
    </row>
    <row r="566" spans="1:9">
      <c r="A566" s="9">
        <v>44981</v>
      </c>
      <c r="B566" t="s">
        <v>77</v>
      </c>
      <c r="C566" t="s">
        <v>8</v>
      </c>
      <c r="D566" s="4">
        <v>25</v>
      </c>
      <c r="E566" s="4"/>
      <c r="F566">
        <v>271</v>
      </c>
      <c r="H566" t="str">
        <f t="shared" si="8"/>
        <v>2023-02</v>
      </c>
      <c r="I566" t="str">
        <f>_xlfn.XLOOKUP(Table1[[#This Row],[Customer_ID]],Customers!$A$2:$A$30,Customers!$C$2:$C$30,"Not found")</f>
        <v>Carries forward</v>
      </c>
    </row>
    <row r="567" spans="1:9">
      <c r="A567" s="9">
        <v>44982</v>
      </c>
      <c r="B567" t="s">
        <v>77</v>
      </c>
      <c r="C567" t="s">
        <v>8</v>
      </c>
      <c r="D567" s="4">
        <v>95</v>
      </c>
      <c r="E567" s="4"/>
      <c r="F567">
        <v>271</v>
      </c>
      <c r="H567" t="str">
        <f t="shared" si="8"/>
        <v>2023-02</v>
      </c>
      <c r="I567" t="str">
        <f>_xlfn.XLOOKUP(Table1[[#This Row],[Customer_ID]],Customers!$A$2:$A$30,Customers!$C$2:$C$30,"Not found")</f>
        <v>Carries forward</v>
      </c>
    </row>
    <row r="568" spans="1:9">
      <c r="A568" s="9">
        <v>44982</v>
      </c>
      <c r="B568" t="s">
        <v>77</v>
      </c>
      <c r="C568" t="s">
        <v>8</v>
      </c>
      <c r="D568" s="4">
        <v>42</v>
      </c>
      <c r="E568" s="4"/>
      <c r="F568">
        <v>271</v>
      </c>
      <c r="H568" t="str">
        <f t="shared" si="8"/>
        <v>2023-02</v>
      </c>
      <c r="I568" t="str">
        <f>_xlfn.XLOOKUP(Table1[[#This Row],[Customer_ID]],Customers!$A$2:$A$30,Customers!$C$2:$C$30,"Not found")</f>
        <v>Carries forward</v>
      </c>
    </row>
    <row r="569" spans="1:9">
      <c r="A569" s="9">
        <v>44983</v>
      </c>
      <c r="B569" t="s">
        <v>77</v>
      </c>
      <c r="C569" t="s">
        <v>8</v>
      </c>
      <c r="D569" s="4">
        <v>98</v>
      </c>
      <c r="E569" s="4"/>
      <c r="F569">
        <v>271</v>
      </c>
      <c r="H569" t="str">
        <f t="shared" si="8"/>
        <v>2023-02</v>
      </c>
      <c r="I569" t="str">
        <f>_xlfn.XLOOKUP(Table1[[#This Row],[Customer_ID]],Customers!$A$2:$A$30,Customers!$C$2:$C$30,"Not found")</f>
        <v>Carries forward</v>
      </c>
    </row>
    <row r="570" spans="1:9">
      <c r="A570" s="9">
        <v>44983</v>
      </c>
      <c r="B570" t="s">
        <v>77</v>
      </c>
      <c r="C570" t="s">
        <v>8</v>
      </c>
      <c r="D570" s="4">
        <v>20</v>
      </c>
      <c r="E570" s="4"/>
      <c r="F570">
        <v>271</v>
      </c>
      <c r="H570" t="str">
        <f t="shared" si="8"/>
        <v>2023-02</v>
      </c>
      <c r="I570" t="str">
        <f>_xlfn.XLOOKUP(Table1[[#This Row],[Customer_ID]],Customers!$A$2:$A$30,Customers!$C$2:$C$30,"Not found")</f>
        <v>Carries forward</v>
      </c>
    </row>
    <row r="571" spans="1:9">
      <c r="A571" s="9">
        <v>44983</v>
      </c>
      <c r="B571" t="s">
        <v>77</v>
      </c>
      <c r="C571" t="s">
        <v>8</v>
      </c>
      <c r="D571" s="4">
        <v>25</v>
      </c>
      <c r="E571" s="4"/>
      <c r="F571">
        <v>271</v>
      </c>
      <c r="G571" t="s">
        <v>117</v>
      </c>
      <c r="H571" t="str">
        <f t="shared" si="8"/>
        <v>2023-02</v>
      </c>
      <c r="I571" t="str">
        <f>_xlfn.XLOOKUP(Table1[[#This Row],[Customer_ID]],Customers!$A$2:$A$30,Customers!$C$2:$C$30,"Not found")</f>
        <v>Carries forward</v>
      </c>
    </row>
    <row r="572" spans="1:9">
      <c r="A572" s="9">
        <v>44985</v>
      </c>
      <c r="B572" t="s">
        <v>77</v>
      </c>
      <c r="C572" t="s">
        <v>8</v>
      </c>
      <c r="D572" s="4">
        <v>200</v>
      </c>
      <c r="E572" s="4"/>
      <c r="F572">
        <v>271</v>
      </c>
      <c r="G572" t="s">
        <v>131</v>
      </c>
      <c r="H572" t="str">
        <f t="shared" si="8"/>
        <v>2023-02</v>
      </c>
      <c r="I572" t="str">
        <f>_xlfn.XLOOKUP(Table1[[#This Row],[Customer_ID]],Customers!$A$2:$A$30,Customers!$C$2:$C$30,"Not found")</f>
        <v>Carries forward</v>
      </c>
    </row>
    <row r="573" spans="1:9">
      <c r="A573" s="9">
        <v>44989</v>
      </c>
      <c r="B573" t="s">
        <v>77</v>
      </c>
      <c r="C573" t="s">
        <v>8</v>
      </c>
      <c r="D573" s="4">
        <v>75</v>
      </c>
      <c r="E573" s="4"/>
      <c r="F573">
        <v>271</v>
      </c>
      <c r="G573" t="s">
        <v>132</v>
      </c>
      <c r="H573" t="str">
        <f t="shared" si="8"/>
        <v>2023-03</v>
      </c>
      <c r="I573" t="str">
        <f>_xlfn.XLOOKUP(Table1[[#This Row],[Customer_ID]],Customers!$A$2:$A$30,Customers!$C$2:$C$30,"Not found")</f>
        <v>Carries forward</v>
      </c>
    </row>
    <row r="574" spans="1:9">
      <c r="A574" s="9">
        <v>44989</v>
      </c>
      <c r="B574" t="s">
        <v>77</v>
      </c>
      <c r="C574" t="s">
        <v>8</v>
      </c>
      <c r="D574" s="4">
        <v>10</v>
      </c>
      <c r="E574" s="4"/>
      <c r="F574">
        <v>271</v>
      </c>
      <c r="H574" t="str">
        <f t="shared" si="8"/>
        <v>2023-03</v>
      </c>
      <c r="I574" t="str">
        <f>_xlfn.XLOOKUP(Table1[[#This Row],[Customer_ID]],Customers!$A$2:$A$30,Customers!$C$2:$C$30,"Not found")</f>
        <v>Carries forward</v>
      </c>
    </row>
    <row r="575" spans="1:9">
      <c r="A575" s="9">
        <v>44990</v>
      </c>
      <c r="B575" t="s">
        <v>77</v>
      </c>
      <c r="C575" t="s">
        <v>8</v>
      </c>
      <c r="D575" s="4">
        <v>56</v>
      </c>
      <c r="E575" s="4"/>
      <c r="F575">
        <v>271</v>
      </c>
      <c r="H575" t="str">
        <f t="shared" si="8"/>
        <v>2023-03</v>
      </c>
      <c r="I575" t="str">
        <f>_xlfn.XLOOKUP(Table1[[#This Row],[Customer_ID]],Customers!$A$2:$A$30,Customers!$C$2:$C$30,"Not found")</f>
        <v>Carries forward</v>
      </c>
    </row>
    <row r="576" spans="1:9">
      <c r="A576" s="9">
        <v>44991</v>
      </c>
      <c r="B576" t="s">
        <v>77</v>
      </c>
      <c r="C576" t="s">
        <v>8</v>
      </c>
      <c r="D576" s="4">
        <v>56</v>
      </c>
      <c r="E576" s="4"/>
      <c r="F576">
        <v>271</v>
      </c>
      <c r="H576" t="str">
        <f t="shared" si="8"/>
        <v>2023-03</v>
      </c>
      <c r="I576" t="str">
        <f>_xlfn.XLOOKUP(Table1[[#This Row],[Customer_ID]],Customers!$A$2:$A$30,Customers!$C$2:$C$30,"Not found")</f>
        <v>Carries forward</v>
      </c>
    </row>
    <row r="577" spans="1:9">
      <c r="A577" s="9">
        <v>44992</v>
      </c>
      <c r="B577" t="s">
        <v>77</v>
      </c>
      <c r="C577" t="s">
        <v>8</v>
      </c>
      <c r="D577" s="4">
        <v>195</v>
      </c>
      <c r="E577" s="4"/>
      <c r="F577">
        <v>271</v>
      </c>
      <c r="H577" t="str">
        <f t="shared" si="8"/>
        <v>2023-03</v>
      </c>
      <c r="I577" t="str">
        <f>_xlfn.XLOOKUP(Table1[[#This Row],[Customer_ID]],Customers!$A$2:$A$30,Customers!$C$2:$C$30,"Not found")</f>
        <v>Carries forward</v>
      </c>
    </row>
    <row r="578" spans="1:9">
      <c r="A578" s="9">
        <v>44993</v>
      </c>
      <c r="B578" t="s">
        <v>77</v>
      </c>
      <c r="C578" t="s">
        <v>8</v>
      </c>
      <c r="D578" s="4">
        <v>70</v>
      </c>
      <c r="E578" s="4"/>
      <c r="F578">
        <v>271</v>
      </c>
      <c r="H578" t="str">
        <f t="shared" si="8"/>
        <v>2023-03</v>
      </c>
      <c r="I578" t="str">
        <f>_xlfn.XLOOKUP(Table1[[#This Row],[Customer_ID]],Customers!$A$2:$A$30,Customers!$C$2:$C$30,"Not found")</f>
        <v>Carries forward</v>
      </c>
    </row>
    <row r="579" spans="1:9">
      <c r="A579" s="9">
        <v>44994</v>
      </c>
      <c r="B579" t="s">
        <v>77</v>
      </c>
      <c r="C579" t="s">
        <v>8</v>
      </c>
      <c r="D579" s="4">
        <v>120</v>
      </c>
      <c r="E579" s="4"/>
      <c r="F579">
        <v>271</v>
      </c>
      <c r="H579" t="str">
        <f t="shared" ref="H579:H642" si="9">IF(A579="","",TEXT(A579,"yyyy-mm"))</f>
        <v>2023-03</v>
      </c>
      <c r="I579" t="str">
        <f>_xlfn.XLOOKUP(Table1[[#This Row],[Customer_ID]],Customers!$A$2:$A$30,Customers!$C$2:$C$30,"Not found")</f>
        <v>Carries forward</v>
      </c>
    </row>
    <row r="580" spans="1:9">
      <c r="A580" s="9">
        <v>44996</v>
      </c>
      <c r="B580" t="s">
        <v>77</v>
      </c>
      <c r="C580" t="s">
        <v>8</v>
      </c>
      <c r="D580" s="4">
        <v>89</v>
      </c>
      <c r="E580" s="4"/>
      <c r="F580">
        <v>271</v>
      </c>
      <c r="H580" t="str">
        <f t="shared" si="9"/>
        <v>2023-03</v>
      </c>
      <c r="I580" t="str">
        <f>_xlfn.XLOOKUP(Table1[[#This Row],[Customer_ID]],Customers!$A$2:$A$30,Customers!$C$2:$C$30,"Not found")</f>
        <v>Carries forward</v>
      </c>
    </row>
    <row r="581" spans="1:9">
      <c r="A581" s="9">
        <v>44997</v>
      </c>
      <c r="B581" t="s">
        <v>77</v>
      </c>
      <c r="C581" t="s">
        <v>8</v>
      </c>
      <c r="D581" s="4">
        <v>74</v>
      </c>
      <c r="E581" s="4"/>
      <c r="F581">
        <v>271</v>
      </c>
      <c r="H581" t="str">
        <f t="shared" si="9"/>
        <v>2023-03</v>
      </c>
      <c r="I581" t="str">
        <f>_xlfn.XLOOKUP(Table1[[#This Row],[Customer_ID]],Customers!$A$2:$A$30,Customers!$C$2:$C$30,"Not found")</f>
        <v>Carries forward</v>
      </c>
    </row>
    <row r="582" spans="1:9">
      <c r="A582" s="9">
        <v>44997</v>
      </c>
      <c r="B582" t="s">
        <v>77</v>
      </c>
      <c r="C582" t="s">
        <v>22</v>
      </c>
      <c r="D582" s="4">
        <v>100</v>
      </c>
      <c r="E582" s="4">
        <v>6058</v>
      </c>
      <c r="F582">
        <v>271</v>
      </c>
      <c r="G582" t="s">
        <v>159</v>
      </c>
      <c r="H582" t="str">
        <f t="shared" si="9"/>
        <v>2023-03</v>
      </c>
      <c r="I582" t="str">
        <f>_xlfn.XLOOKUP(Table1[[#This Row],[Customer_ID]],Customers!$A$2:$A$30,Customers!$C$2:$C$30,"Not found")</f>
        <v>Carries forward</v>
      </c>
    </row>
    <row r="583" spans="1:9">
      <c r="A583" s="9">
        <v>44860</v>
      </c>
      <c r="B583" t="s">
        <v>78</v>
      </c>
      <c r="C583" t="s">
        <v>28</v>
      </c>
      <c r="D583" s="4">
        <v>653</v>
      </c>
      <c r="E583" s="4">
        <v>653</v>
      </c>
      <c r="F583">
        <v>282</v>
      </c>
      <c r="G583" t="s">
        <v>133</v>
      </c>
      <c r="H583" t="str">
        <f t="shared" si="9"/>
        <v>2022-10</v>
      </c>
      <c r="I583" t="str">
        <f>_xlfn.XLOOKUP(Table1[[#This Row],[Customer_ID]],Customers!$A$2:$A$30,Customers!$C$2:$C$30,"Not found")</f>
        <v>Carries forward</v>
      </c>
    </row>
    <row r="584" spans="1:9">
      <c r="A584" s="9">
        <v>44860</v>
      </c>
      <c r="B584" t="s">
        <v>78</v>
      </c>
      <c r="C584" t="s">
        <v>8</v>
      </c>
      <c r="D584" s="4">
        <v>25</v>
      </c>
      <c r="E584" s="4"/>
      <c r="F584">
        <v>282</v>
      </c>
      <c r="H584" t="str">
        <f t="shared" si="9"/>
        <v>2022-10</v>
      </c>
      <c r="I584" t="str">
        <f>_xlfn.XLOOKUP(Table1[[#This Row],[Customer_ID]],Customers!$A$2:$A$30,Customers!$C$2:$C$30,"Not found")</f>
        <v>Carries forward</v>
      </c>
    </row>
    <row r="585" spans="1:9">
      <c r="A585" s="9">
        <v>44861</v>
      </c>
      <c r="B585" t="s">
        <v>78</v>
      </c>
      <c r="C585" t="s">
        <v>8</v>
      </c>
      <c r="D585" s="4">
        <v>25</v>
      </c>
      <c r="E585" s="4"/>
      <c r="F585">
        <v>282</v>
      </c>
      <c r="H585" t="str">
        <f t="shared" si="9"/>
        <v>2022-10</v>
      </c>
      <c r="I585" t="str">
        <f>_xlfn.XLOOKUP(Table1[[#This Row],[Customer_ID]],Customers!$A$2:$A$30,Customers!$C$2:$C$30,"Not found")</f>
        <v>Carries forward</v>
      </c>
    </row>
    <row r="586" spans="1:9">
      <c r="A586" s="9">
        <v>44862</v>
      </c>
      <c r="B586" t="s">
        <v>78</v>
      </c>
      <c r="C586" t="s">
        <v>8</v>
      </c>
      <c r="D586" s="4">
        <v>10</v>
      </c>
      <c r="E586" s="4"/>
      <c r="F586">
        <v>282</v>
      </c>
      <c r="H586" t="str">
        <f t="shared" si="9"/>
        <v>2022-10</v>
      </c>
      <c r="I586" t="str">
        <f>_xlfn.XLOOKUP(Table1[[#This Row],[Customer_ID]],Customers!$A$2:$A$30,Customers!$C$2:$C$30,"Not found")</f>
        <v>Carries forward</v>
      </c>
    </row>
    <row r="587" spans="1:9">
      <c r="A587" s="9">
        <v>44862</v>
      </c>
      <c r="B587" t="s">
        <v>78</v>
      </c>
      <c r="C587" t="s">
        <v>8</v>
      </c>
      <c r="D587" s="4">
        <v>25</v>
      </c>
      <c r="E587" s="4"/>
      <c r="F587">
        <v>282</v>
      </c>
      <c r="H587" t="str">
        <f t="shared" si="9"/>
        <v>2022-10</v>
      </c>
      <c r="I587" t="str">
        <f>_xlfn.XLOOKUP(Table1[[#This Row],[Customer_ID]],Customers!$A$2:$A$30,Customers!$C$2:$C$30,"Not found")</f>
        <v>Carries forward</v>
      </c>
    </row>
    <row r="588" spans="1:9">
      <c r="A588" s="9">
        <v>44862</v>
      </c>
      <c r="B588" t="s">
        <v>78</v>
      </c>
      <c r="C588" t="s">
        <v>8</v>
      </c>
      <c r="D588" s="4">
        <v>15</v>
      </c>
      <c r="E588" s="4"/>
      <c r="F588">
        <v>282</v>
      </c>
      <c r="H588" t="str">
        <f t="shared" si="9"/>
        <v>2022-10</v>
      </c>
      <c r="I588" t="str">
        <f>_xlfn.XLOOKUP(Table1[[#This Row],[Customer_ID]],Customers!$A$2:$A$30,Customers!$C$2:$C$30,"Not found")</f>
        <v>Carries forward</v>
      </c>
    </row>
    <row r="589" spans="1:9">
      <c r="A589" s="9">
        <v>44863</v>
      </c>
      <c r="B589" t="s">
        <v>78</v>
      </c>
      <c r="C589" t="s">
        <v>8</v>
      </c>
      <c r="D589" s="4">
        <v>25</v>
      </c>
      <c r="E589" s="4"/>
      <c r="F589">
        <v>282</v>
      </c>
      <c r="H589" t="str">
        <f t="shared" si="9"/>
        <v>2022-10</v>
      </c>
      <c r="I589" t="str">
        <f>_xlfn.XLOOKUP(Table1[[#This Row],[Customer_ID]],Customers!$A$2:$A$30,Customers!$C$2:$C$30,"Not found")</f>
        <v>Carries forward</v>
      </c>
    </row>
    <row r="590" spans="1:9">
      <c r="A590" s="9">
        <v>44863</v>
      </c>
      <c r="B590" t="s">
        <v>78</v>
      </c>
      <c r="C590" t="s">
        <v>8</v>
      </c>
      <c r="D590" s="4">
        <v>70</v>
      </c>
      <c r="E590" s="4"/>
      <c r="F590">
        <v>282</v>
      </c>
      <c r="H590" t="str">
        <f t="shared" si="9"/>
        <v>2022-10</v>
      </c>
      <c r="I590" t="str">
        <f>_xlfn.XLOOKUP(Table1[[#This Row],[Customer_ID]],Customers!$A$2:$A$30,Customers!$C$2:$C$30,"Not found")</f>
        <v>Carries forward</v>
      </c>
    </row>
    <row r="591" spans="1:9">
      <c r="A591" s="9">
        <v>44865</v>
      </c>
      <c r="B591" t="s">
        <v>78</v>
      </c>
      <c r="C591" t="s">
        <v>8</v>
      </c>
      <c r="D591" s="4">
        <v>10</v>
      </c>
      <c r="E591" s="4"/>
      <c r="F591">
        <v>282</v>
      </c>
      <c r="H591" t="str">
        <f t="shared" si="9"/>
        <v>2022-10</v>
      </c>
      <c r="I591" t="str">
        <f>_xlfn.XLOOKUP(Table1[[#This Row],[Customer_ID]],Customers!$A$2:$A$30,Customers!$C$2:$C$30,"Not found")</f>
        <v>Carries forward</v>
      </c>
    </row>
    <row r="592" spans="1:9">
      <c r="A592" s="9">
        <v>44865</v>
      </c>
      <c r="B592" t="s">
        <v>78</v>
      </c>
      <c r="C592" t="s">
        <v>8</v>
      </c>
      <c r="D592" s="4">
        <v>35</v>
      </c>
      <c r="E592" s="4"/>
      <c r="F592">
        <v>282</v>
      </c>
      <c r="H592" t="str">
        <f t="shared" si="9"/>
        <v>2022-10</v>
      </c>
      <c r="I592" t="str">
        <f>_xlfn.XLOOKUP(Table1[[#This Row],[Customer_ID]],Customers!$A$2:$A$30,Customers!$C$2:$C$30,"Not found")</f>
        <v>Carries forward</v>
      </c>
    </row>
    <row r="593" spans="1:9">
      <c r="A593" s="9">
        <v>44866</v>
      </c>
      <c r="B593" t="s">
        <v>78</v>
      </c>
      <c r="C593" t="s">
        <v>8</v>
      </c>
      <c r="D593" s="4">
        <v>30</v>
      </c>
      <c r="E593" s="4"/>
      <c r="F593">
        <v>282</v>
      </c>
      <c r="H593" t="str">
        <f t="shared" si="9"/>
        <v>2022-11</v>
      </c>
      <c r="I593" t="str">
        <f>_xlfn.XLOOKUP(Table1[[#This Row],[Customer_ID]],Customers!$A$2:$A$30,Customers!$C$2:$C$30,"Not found")</f>
        <v>Carries forward</v>
      </c>
    </row>
    <row r="594" spans="1:9">
      <c r="A594" s="9">
        <v>44866</v>
      </c>
      <c r="B594" t="s">
        <v>78</v>
      </c>
      <c r="C594" t="s">
        <v>8</v>
      </c>
      <c r="D594" s="4">
        <v>15</v>
      </c>
      <c r="E594" s="4"/>
      <c r="F594">
        <v>282</v>
      </c>
      <c r="H594" t="str">
        <f t="shared" si="9"/>
        <v>2022-11</v>
      </c>
      <c r="I594" t="str">
        <f>_xlfn.XLOOKUP(Table1[[#This Row],[Customer_ID]],Customers!$A$2:$A$30,Customers!$C$2:$C$30,"Not found")</f>
        <v>Carries forward</v>
      </c>
    </row>
    <row r="595" spans="1:9">
      <c r="A595" s="9">
        <v>44867</v>
      </c>
      <c r="B595" t="s">
        <v>78</v>
      </c>
      <c r="C595" t="s">
        <v>8</v>
      </c>
      <c r="D595" s="4">
        <v>10</v>
      </c>
      <c r="E595" s="4"/>
      <c r="F595">
        <v>282</v>
      </c>
      <c r="H595" t="str">
        <f t="shared" si="9"/>
        <v>2022-11</v>
      </c>
      <c r="I595" t="str">
        <f>_xlfn.XLOOKUP(Table1[[#This Row],[Customer_ID]],Customers!$A$2:$A$30,Customers!$C$2:$C$30,"Not found")</f>
        <v>Carries forward</v>
      </c>
    </row>
    <row r="596" spans="1:9">
      <c r="A596" s="9">
        <v>44868</v>
      </c>
      <c r="B596" t="s">
        <v>78</v>
      </c>
      <c r="C596" t="s">
        <v>8</v>
      </c>
      <c r="D596" s="4">
        <v>35</v>
      </c>
      <c r="E596" s="4"/>
      <c r="F596">
        <v>282</v>
      </c>
      <c r="H596" t="str">
        <f t="shared" si="9"/>
        <v>2022-11</v>
      </c>
      <c r="I596" t="str">
        <f>_xlfn.XLOOKUP(Table1[[#This Row],[Customer_ID]],Customers!$A$2:$A$30,Customers!$C$2:$C$30,"Not found")</f>
        <v>Carries forward</v>
      </c>
    </row>
    <row r="597" spans="1:9">
      <c r="A597" s="9">
        <v>44872</v>
      </c>
      <c r="B597" t="s">
        <v>78</v>
      </c>
      <c r="C597" t="s">
        <v>8</v>
      </c>
      <c r="D597" s="4">
        <v>25</v>
      </c>
      <c r="E597" s="4"/>
      <c r="F597">
        <v>282</v>
      </c>
      <c r="H597" t="str">
        <f t="shared" si="9"/>
        <v>2022-11</v>
      </c>
      <c r="I597" t="str">
        <f>_xlfn.XLOOKUP(Table1[[#This Row],[Customer_ID]],Customers!$A$2:$A$30,Customers!$C$2:$C$30,"Not found")</f>
        <v>Carries forward</v>
      </c>
    </row>
    <row r="598" spans="1:9">
      <c r="A598" s="9">
        <v>44872</v>
      </c>
      <c r="B598" t="s">
        <v>78</v>
      </c>
      <c r="C598" t="s">
        <v>8</v>
      </c>
      <c r="D598" s="4">
        <v>30</v>
      </c>
      <c r="E598" s="4"/>
      <c r="F598">
        <v>282</v>
      </c>
      <c r="H598" t="str">
        <f t="shared" si="9"/>
        <v>2022-11</v>
      </c>
      <c r="I598" t="str">
        <f>_xlfn.XLOOKUP(Table1[[#This Row],[Customer_ID]],Customers!$A$2:$A$30,Customers!$C$2:$C$30,"Not found")</f>
        <v>Carries forward</v>
      </c>
    </row>
    <row r="599" spans="1:9">
      <c r="A599" s="9">
        <v>44873</v>
      </c>
      <c r="B599" t="s">
        <v>78</v>
      </c>
      <c r="C599" t="s">
        <v>8</v>
      </c>
      <c r="D599" s="4">
        <v>25</v>
      </c>
      <c r="E599" s="4"/>
      <c r="F599">
        <v>282</v>
      </c>
      <c r="H599" t="str">
        <f t="shared" si="9"/>
        <v>2022-11</v>
      </c>
      <c r="I599" t="str">
        <f>_xlfn.XLOOKUP(Table1[[#This Row],[Customer_ID]],Customers!$A$2:$A$30,Customers!$C$2:$C$30,"Not found")</f>
        <v>Carries forward</v>
      </c>
    </row>
    <row r="600" spans="1:9">
      <c r="A600" s="9">
        <v>44874</v>
      </c>
      <c r="B600" t="s">
        <v>78</v>
      </c>
      <c r="C600" t="s">
        <v>8</v>
      </c>
      <c r="D600" s="4">
        <v>10</v>
      </c>
      <c r="E600" s="4">
        <v>1073</v>
      </c>
      <c r="F600">
        <v>282</v>
      </c>
      <c r="G600" t="s">
        <v>134</v>
      </c>
      <c r="H600" t="str">
        <f t="shared" si="9"/>
        <v>2022-11</v>
      </c>
      <c r="I600" t="str">
        <f>_xlfn.XLOOKUP(Table1[[#This Row],[Customer_ID]],Customers!$A$2:$A$30,Customers!$C$2:$C$30,"Not found")</f>
        <v>Carries forward</v>
      </c>
    </row>
    <row r="601" spans="1:9">
      <c r="A601" s="9">
        <v>44874</v>
      </c>
      <c r="B601" t="s">
        <v>78</v>
      </c>
      <c r="C601" t="s">
        <v>8</v>
      </c>
      <c r="D601" s="4">
        <v>25</v>
      </c>
      <c r="E601" s="4"/>
      <c r="F601">
        <v>282</v>
      </c>
      <c r="H601" t="str">
        <f t="shared" si="9"/>
        <v>2022-11</v>
      </c>
      <c r="I601" t="str">
        <f>_xlfn.XLOOKUP(Table1[[#This Row],[Customer_ID]],Customers!$A$2:$A$30,Customers!$C$2:$C$30,"Not found")</f>
        <v>Carries forward</v>
      </c>
    </row>
    <row r="602" spans="1:9">
      <c r="A602" s="9">
        <v>44875</v>
      </c>
      <c r="B602" t="s">
        <v>78</v>
      </c>
      <c r="C602" t="s">
        <v>8</v>
      </c>
      <c r="D602" s="4">
        <v>25</v>
      </c>
      <c r="E602" s="4"/>
      <c r="F602">
        <v>282</v>
      </c>
      <c r="H602" t="str">
        <f t="shared" si="9"/>
        <v>2022-11</v>
      </c>
      <c r="I602" t="str">
        <f>_xlfn.XLOOKUP(Table1[[#This Row],[Customer_ID]],Customers!$A$2:$A$30,Customers!$C$2:$C$30,"Not found")</f>
        <v>Carries forward</v>
      </c>
    </row>
    <row r="603" spans="1:9">
      <c r="A603" s="9">
        <v>44875</v>
      </c>
      <c r="B603" t="s">
        <v>78</v>
      </c>
      <c r="C603" t="s">
        <v>8</v>
      </c>
      <c r="D603" s="4">
        <v>37</v>
      </c>
      <c r="E603" s="4">
        <v>1160</v>
      </c>
      <c r="F603">
        <v>282</v>
      </c>
      <c r="G603" t="s">
        <v>135</v>
      </c>
      <c r="H603" t="str">
        <f t="shared" si="9"/>
        <v>2022-11</v>
      </c>
      <c r="I603" t="str">
        <f>_xlfn.XLOOKUP(Table1[[#This Row],[Customer_ID]],Customers!$A$2:$A$30,Customers!$C$2:$C$30,"Not found")</f>
        <v>Carries forward</v>
      </c>
    </row>
    <row r="604" spans="1:9">
      <c r="A604" s="9">
        <v>44875</v>
      </c>
      <c r="B604" t="s">
        <v>78</v>
      </c>
      <c r="C604" t="s">
        <v>14</v>
      </c>
      <c r="D604" s="4">
        <v>800</v>
      </c>
      <c r="E604" s="4">
        <v>360</v>
      </c>
      <c r="F604">
        <v>282</v>
      </c>
      <c r="G604" t="s">
        <v>136</v>
      </c>
      <c r="H604" t="str">
        <f t="shared" si="9"/>
        <v>2022-11</v>
      </c>
      <c r="I604" t="str">
        <f>_xlfn.XLOOKUP(Table1[[#This Row],[Customer_ID]],Customers!$A$2:$A$30,Customers!$C$2:$C$30,"Not found")</f>
        <v>Carries forward</v>
      </c>
    </row>
    <row r="605" spans="1:9">
      <c r="A605" s="9">
        <v>44876</v>
      </c>
      <c r="B605" t="s">
        <v>78</v>
      </c>
      <c r="C605" t="s">
        <v>8</v>
      </c>
      <c r="D605" s="4">
        <v>10</v>
      </c>
      <c r="E605" s="4"/>
      <c r="F605">
        <v>282</v>
      </c>
      <c r="H605" t="str">
        <f t="shared" si="9"/>
        <v>2022-11</v>
      </c>
      <c r="I605" t="str">
        <f>_xlfn.XLOOKUP(Table1[[#This Row],[Customer_ID]],Customers!$A$2:$A$30,Customers!$C$2:$C$30,"Not found")</f>
        <v>Carries forward</v>
      </c>
    </row>
    <row r="606" spans="1:9">
      <c r="A606" s="9">
        <v>44876</v>
      </c>
      <c r="B606" t="s">
        <v>78</v>
      </c>
      <c r="C606" t="s">
        <v>8</v>
      </c>
      <c r="D606" s="4">
        <v>27</v>
      </c>
      <c r="E606" s="4"/>
      <c r="F606">
        <v>282</v>
      </c>
      <c r="H606" t="str">
        <f t="shared" si="9"/>
        <v>2022-11</v>
      </c>
      <c r="I606" t="str">
        <f>_xlfn.XLOOKUP(Table1[[#This Row],[Customer_ID]],Customers!$A$2:$A$30,Customers!$C$2:$C$30,"Not found")</f>
        <v>Carries forward</v>
      </c>
    </row>
    <row r="607" spans="1:9">
      <c r="A607" s="9">
        <v>44877</v>
      </c>
      <c r="B607" t="s">
        <v>78</v>
      </c>
      <c r="C607" t="s">
        <v>8</v>
      </c>
      <c r="D607" s="4">
        <v>30</v>
      </c>
      <c r="E607" s="4"/>
      <c r="F607">
        <v>282</v>
      </c>
      <c r="H607" t="str">
        <f t="shared" si="9"/>
        <v>2022-11</v>
      </c>
      <c r="I607" t="str">
        <f>_xlfn.XLOOKUP(Table1[[#This Row],[Customer_ID]],Customers!$A$2:$A$30,Customers!$C$2:$C$30,"Not found")</f>
        <v>Carries forward</v>
      </c>
    </row>
    <row r="608" spans="1:9">
      <c r="A608" s="9">
        <v>44877</v>
      </c>
      <c r="B608" t="s">
        <v>78</v>
      </c>
      <c r="C608" t="s">
        <v>8</v>
      </c>
      <c r="D608" s="4">
        <v>30</v>
      </c>
      <c r="E608" s="4"/>
      <c r="F608">
        <v>282</v>
      </c>
      <c r="H608" t="str">
        <f t="shared" si="9"/>
        <v>2022-11</v>
      </c>
      <c r="I608" t="str">
        <f>_xlfn.XLOOKUP(Table1[[#This Row],[Customer_ID]],Customers!$A$2:$A$30,Customers!$C$2:$C$30,"Not found")</f>
        <v>Carries forward</v>
      </c>
    </row>
    <row r="609" spans="1:9">
      <c r="A609" s="9">
        <v>44879</v>
      </c>
      <c r="B609" t="s">
        <v>78</v>
      </c>
      <c r="C609" t="s">
        <v>8</v>
      </c>
      <c r="D609" s="4">
        <v>35</v>
      </c>
      <c r="E609" s="4"/>
      <c r="F609">
        <v>282</v>
      </c>
      <c r="H609" t="str">
        <f t="shared" si="9"/>
        <v>2022-11</v>
      </c>
      <c r="I609" t="str">
        <f>_xlfn.XLOOKUP(Table1[[#This Row],[Customer_ID]],Customers!$A$2:$A$30,Customers!$C$2:$C$30,"Not found")</f>
        <v>Carries forward</v>
      </c>
    </row>
    <row r="610" spans="1:9">
      <c r="A610" s="9">
        <v>44879</v>
      </c>
      <c r="B610" t="s">
        <v>78</v>
      </c>
      <c r="C610" t="s">
        <v>8</v>
      </c>
      <c r="D610" s="4">
        <v>25</v>
      </c>
      <c r="E610" s="4"/>
      <c r="F610">
        <v>282</v>
      </c>
      <c r="H610" t="str">
        <f t="shared" si="9"/>
        <v>2022-11</v>
      </c>
      <c r="I610" t="str">
        <f>_xlfn.XLOOKUP(Table1[[#This Row],[Customer_ID]],Customers!$A$2:$A$30,Customers!$C$2:$C$30,"Not found")</f>
        <v>Carries forward</v>
      </c>
    </row>
    <row r="611" spans="1:9">
      <c r="A611" s="9">
        <v>44880</v>
      </c>
      <c r="B611" t="s">
        <v>78</v>
      </c>
      <c r="C611" t="s">
        <v>8</v>
      </c>
      <c r="D611" s="4">
        <v>15</v>
      </c>
      <c r="E611" s="4"/>
      <c r="F611">
        <v>282</v>
      </c>
      <c r="H611" t="str">
        <f t="shared" si="9"/>
        <v>2022-11</v>
      </c>
      <c r="I611" t="str">
        <f>_xlfn.XLOOKUP(Table1[[#This Row],[Customer_ID]],Customers!$A$2:$A$30,Customers!$C$2:$C$30,"Not found")</f>
        <v>Carries forward</v>
      </c>
    </row>
    <row r="612" spans="1:9">
      <c r="A612" s="9">
        <v>44880</v>
      </c>
      <c r="B612" t="s">
        <v>78</v>
      </c>
      <c r="C612" t="s">
        <v>8</v>
      </c>
      <c r="D612" s="4">
        <v>30</v>
      </c>
      <c r="E612" s="4"/>
      <c r="F612">
        <v>282</v>
      </c>
      <c r="H612" t="str">
        <f t="shared" si="9"/>
        <v>2022-11</v>
      </c>
      <c r="I612" t="str">
        <f>_xlfn.XLOOKUP(Table1[[#This Row],[Customer_ID]],Customers!$A$2:$A$30,Customers!$C$2:$C$30,"Not found")</f>
        <v>Carries forward</v>
      </c>
    </row>
    <row r="613" spans="1:9">
      <c r="A613" s="9">
        <v>44881</v>
      </c>
      <c r="B613" t="s">
        <v>78</v>
      </c>
      <c r="C613" t="s">
        <v>8</v>
      </c>
      <c r="D613" s="4">
        <v>35</v>
      </c>
      <c r="E613" s="4"/>
      <c r="F613">
        <v>282</v>
      </c>
      <c r="H613" t="str">
        <f t="shared" si="9"/>
        <v>2022-11</v>
      </c>
      <c r="I613" t="str">
        <f>_xlfn.XLOOKUP(Table1[[#This Row],[Customer_ID]],Customers!$A$2:$A$30,Customers!$C$2:$C$30,"Not found")</f>
        <v>Carries forward</v>
      </c>
    </row>
    <row r="614" spans="1:9">
      <c r="A614" s="9">
        <v>44882</v>
      </c>
      <c r="B614" t="s">
        <v>78</v>
      </c>
      <c r="C614" t="s">
        <v>8</v>
      </c>
      <c r="D614" s="4">
        <v>20</v>
      </c>
      <c r="E614" s="4"/>
      <c r="F614">
        <v>282</v>
      </c>
      <c r="H614" t="str">
        <f t="shared" si="9"/>
        <v>2022-11</v>
      </c>
      <c r="I614" t="str">
        <f>_xlfn.XLOOKUP(Table1[[#This Row],[Customer_ID]],Customers!$A$2:$A$30,Customers!$C$2:$C$30,"Not found")</f>
        <v>Carries forward</v>
      </c>
    </row>
    <row r="615" spans="1:9">
      <c r="A615" s="9">
        <v>44884</v>
      </c>
      <c r="B615" t="s">
        <v>78</v>
      </c>
      <c r="C615" t="s">
        <v>8</v>
      </c>
      <c r="D615" s="4">
        <v>40</v>
      </c>
      <c r="E615" s="4"/>
      <c r="F615">
        <v>282</v>
      </c>
      <c r="H615" t="str">
        <f t="shared" si="9"/>
        <v>2022-11</v>
      </c>
      <c r="I615" t="str">
        <f>_xlfn.XLOOKUP(Table1[[#This Row],[Customer_ID]],Customers!$A$2:$A$30,Customers!$C$2:$C$30,"Not found")</f>
        <v>Carries forward</v>
      </c>
    </row>
    <row r="616" spans="1:9">
      <c r="A616" s="9">
        <v>44886</v>
      </c>
      <c r="B616" t="s">
        <v>78</v>
      </c>
      <c r="C616" t="s">
        <v>8</v>
      </c>
      <c r="D616" s="4">
        <v>35</v>
      </c>
      <c r="E616" s="4"/>
      <c r="F616">
        <v>282</v>
      </c>
      <c r="H616" t="str">
        <f t="shared" si="9"/>
        <v>2022-11</v>
      </c>
      <c r="I616" t="str">
        <f>_xlfn.XLOOKUP(Table1[[#This Row],[Customer_ID]],Customers!$A$2:$A$30,Customers!$C$2:$C$30,"Not found")</f>
        <v>Carries forward</v>
      </c>
    </row>
    <row r="617" spans="1:9">
      <c r="A617" s="9">
        <v>44886</v>
      </c>
      <c r="B617" t="s">
        <v>78</v>
      </c>
      <c r="C617" t="s">
        <v>8</v>
      </c>
      <c r="D617" s="4">
        <v>20</v>
      </c>
      <c r="E617" s="4"/>
      <c r="F617">
        <v>282</v>
      </c>
      <c r="H617" t="str">
        <f t="shared" si="9"/>
        <v>2022-11</v>
      </c>
      <c r="I617" t="str">
        <f>_xlfn.XLOOKUP(Table1[[#This Row],[Customer_ID]],Customers!$A$2:$A$30,Customers!$C$2:$C$30,"Not found")</f>
        <v>Carries forward</v>
      </c>
    </row>
    <row r="618" spans="1:9">
      <c r="A618" s="9">
        <v>44887</v>
      </c>
      <c r="B618" t="s">
        <v>78</v>
      </c>
      <c r="C618" t="s">
        <v>8</v>
      </c>
      <c r="D618" s="4">
        <v>35</v>
      </c>
      <c r="E618" s="4"/>
      <c r="F618">
        <v>282</v>
      </c>
      <c r="H618" t="str">
        <f t="shared" si="9"/>
        <v>2022-11</v>
      </c>
      <c r="I618" t="str">
        <f>_xlfn.XLOOKUP(Table1[[#This Row],[Customer_ID]],Customers!$A$2:$A$30,Customers!$C$2:$C$30,"Not found")</f>
        <v>Carries forward</v>
      </c>
    </row>
    <row r="619" spans="1:9">
      <c r="A619" s="9">
        <v>44887</v>
      </c>
      <c r="B619" t="s">
        <v>78</v>
      </c>
      <c r="C619" t="s">
        <v>8</v>
      </c>
      <c r="D619" s="4">
        <v>30</v>
      </c>
      <c r="E619" s="4"/>
      <c r="F619">
        <v>282</v>
      </c>
      <c r="H619" t="str">
        <f t="shared" si="9"/>
        <v>2022-11</v>
      </c>
      <c r="I619" t="str">
        <f>_xlfn.XLOOKUP(Table1[[#This Row],[Customer_ID]],Customers!$A$2:$A$30,Customers!$C$2:$C$30,"Not found")</f>
        <v>Carries forward</v>
      </c>
    </row>
    <row r="620" spans="1:9">
      <c r="A620" s="9">
        <v>44888</v>
      </c>
      <c r="B620" t="s">
        <v>78</v>
      </c>
      <c r="C620" t="s">
        <v>8</v>
      </c>
      <c r="D620" s="4">
        <v>45</v>
      </c>
      <c r="E620" s="4"/>
      <c r="F620">
        <v>282</v>
      </c>
      <c r="H620" t="str">
        <f t="shared" si="9"/>
        <v>2022-11</v>
      </c>
      <c r="I620" t="str">
        <f>_xlfn.XLOOKUP(Table1[[#This Row],[Customer_ID]],Customers!$A$2:$A$30,Customers!$C$2:$C$30,"Not found")</f>
        <v>Carries forward</v>
      </c>
    </row>
    <row r="621" spans="1:9">
      <c r="A621" s="9">
        <v>44890</v>
      </c>
      <c r="B621" t="s">
        <v>78</v>
      </c>
      <c r="C621" t="s">
        <v>8</v>
      </c>
      <c r="D621" s="4">
        <v>40</v>
      </c>
      <c r="E621" s="4"/>
      <c r="F621">
        <v>282</v>
      </c>
      <c r="H621" t="str">
        <f t="shared" si="9"/>
        <v>2022-11</v>
      </c>
      <c r="I621" t="str">
        <f>_xlfn.XLOOKUP(Table1[[#This Row],[Customer_ID]],Customers!$A$2:$A$30,Customers!$C$2:$C$30,"Not found")</f>
        <v>Carries forward</v>
      </c>
    </row>
    <row r="622" spans="1:9">
      <c r="A622" s="9">
        <v>44893</v>
      </c>
      <c r="B622" t="s">
        <v>78</v>
      </c>
      <c r="C622" t="s">
        <v>8</v>
      </c>
      <c r="D622" s="4">
        <v>30</v>
      </c>
      <c r="E622" s="4"/>
      <c r="F622">
        <v>282</v>
      </c>
      <c r="H622" t="str">
        <f t="shared" si="9"/>
        <v>2022-11</v>
      </c>
      <c r="I622" t="str">
        <f>_xlfn.XLOOKUP(Table1[[#This Row],[Customer_ID]],Customers!$A$2:$A$30,Customers!$C$2:$C$30,"Not found")</f>
        <v>Carries forward</v>
      </c>
    </row>
    <row r="623" spans="1:9">
      <c r="A623" s="9">
        <v>44893</v>
      </c>
      <c r="B623" t="s">
        <v>78</v>
      </c>
      <c r="C623" t="s">
        <v>22</v>
      </c>
      <c r="D623" s="4">
        <v>30</v>
      </c>
      <c r="E623" s="4">
        <v>922</v>
      </c>
      <c r="F623">
        <v>282</v>
      </c>
      <c r="G623" t="s">
        <v>165</v>
      </c>
      <c r="H623" t="str">
        <f t="shared" si="9"/>
        <v>2022-11</v>
      </c>
      <c r="I623" t="str">
        <f>_xlfn.XLOOKUP(Table1[[#This Row],[Customer_ID]],Customers!$A$2:$A$30,Customers!$C$2:$C$30,"Not found")</f>
        <v>Carries forward</v>
      </c>
    </row>
    <row r="624" spans="1:9">
      <c r="A624" s="9">
        <v>44894</v>
      </c>
      <c r="B624" t="s">
        <v>78</v>
      </c>
      <c r="C624" t="s">
        <v>8</v>
      </c>
      <c r="D624" s="4">
        <v>40</v>
      </c>
      <c r="E624" s="4"/>
      <c r="F624">
        <v>282</v>
      </c>
      <c r="H624" t="str">
        <f t="shared" si="9"/>
        <v>2022-11</v>
      </c>
      <c r="I624" t="str">
        <f>_xlfn.XLOOKUP(Table1[[#This Row],[Customer_ID]],Customers!$A$2:$A$30,Customers!$C$2:$C$30,"Not found")</f>
        <v>Carries forward</v>
      </c>
    </row>
    <row r="625" spans="1:9">
      <c r="A625" s="9">
        <v>44895</v>
      </c>
      <c r="B625" t="s">
        <v>78</v>
      </c>
      <c r="C625" t="s">
        <v>8</v>
      </c>
      <c r="D625" s="4">
        <v>25</v>
      </c>
      <c r="E625" s="4"/>
      <c r="F625">
        <v>282</v>
      </c>
      <c r="H625" t="str">
        <f t="shared" si="9"/>
        <v>2022-11</v>
      </c>
      <c r="I625" t="str">
        <f>_xlfn.XLOOKUP(Table1[[#This Row],[Customer_ID]],Customers!$A$2:$A$30,Customers!$C$2:$C$30,"Not found")</f>
        <v>Carries forward</v>
      </c>
    </row>
    <row r="626" spans="1:9">
      <c r="A626" s="9">
        <v>44895</v>
      </c>
      <c r="B626" t="s">
        <v>78</v>
      </c>
      <c r="C626" t="s">
        <v>8</v>
      </c>
      <c r="D626" s="4">
        <v>37</v>
      </c>
      <c r="E626" s="4"/>
      <c r="F626">
        <v>282</v>
      </c>
      <c r="H626" t="str">
        <f t="shared" si="9"/>
        <v>2022-11</v>
      </c>
      <c r="I626" t="str">
        <f>_xlfn.XLOOKUP(Table1[[#This Row],[Customer_ID]],Customers!$A$2:$A$30,Customers!$C$2:$C$30,"Not found")</f>
        <v>Carries forward</v>
      </c>
    </row>
    <row r="627" spans="1:9">
      <c r="A627" s="9">
        <v>44895</v>
      </c>
      <c r="B627" t="s">
        <v>78</v>
      </c>
      <c r="C627" t="s">
        <v>8</v>
      </c>
      <c r="D627" s="4">
        <v>39</v>
      </c>
      <c r="E627" s="4"/>
      <c r="F627">
        <v>282</v>
      </c>
      <c r="H627" t="str">
        <f t="shared" si="9"/>
        <v>2022-11</v>
      </c>
      <c r="I627" t="str">
        <f>_xlfn.XLOOKUP(Table1[[#This Row],[Customer_ID]],Customers!$A$2:$A$30,Customers!$C$2:$C$30,"Not found")</f>
        <v>Carries forward</v>
      </c>
    </row>
    <row r="628" spans="1:9">
      <c r="A628" s="9">
        <v>44896</v>
      </c>
      <c r="B628" t="s">
        <v>78</v>
      </c>
      <c r="C628" t="s">
        <v>8</v>
      </c>
      <c r="D628" s="4">
        <v>10</v>
      </c>
      <c r="E628" s="4"/>
      <c r="F628">
        <v>282</v>
      </c>
      <c r="H628" t="str">
        <f t="shared" si="9"/>
        <v>2022-12</v>
      </c>
      <c r="I628" t="str">
        <f>_xlfn.XLOOKUP(Table1[[#This Row],[Customer_ID]],Customers!$A$2:$A$30,Customers!$C$2:$C$30,"Not found")</f>
        <v>Carries forward</v>
      </c>
    </row>
    <row r="629" spans="1:9">
      <c r="A629" s="9">
        <v>44896</v>
      </c>
      <c r="B629" t="s">
        <v>78</v>
      </c>
      <c r="C629" t="s">
        <v>8</v>
      </c>
      <c r="D629" s="4">
        <v>25</v>
      </c>
      <c r="E629" s="4"/>
      <c r="F629">
        <v>282</v>
      </c>
      <c r="H629" t="str">
        <f t="shared" si="9"/>
        <v>2022-12</v>
      </c>
      <c r="I629" t="str">
        <f>_xlfn.XLOOKUP(Table1[[#This Row],[Customer_ID]],Customers!$A$2:$A$30,Customers!$C$2:$C$30,"Not found")</f>
        <v>Carries forward</v>
      </c>
    </row>
    <row r="630" spans="1:9">
      <c r="A630" s="9">
        <v>44897</v>
      </c>
      <c r="B630" t="s">
        <v>78</v>
      </c>
      <c r="C630" t="s">
        <v>8</v>
      </c>
      <c r="D630" s="4">
        <v>10</v>
      </c>
      <c r="E630" s="4"/>
      <c r="F630">
        <v>282</v>
      </c>
      <c r="H630" t="str">
        <f t="shared" si="9"/>
        <v>2022-12</v>
      </c>
      <c r="I630" t="str">
        <f>_xlfn.XLOOKUP(Table1[[#This Row],[Customer_ID]],Customers!$A$2:$A$30,Customers!$C$2:$C$30,"Not found")</f>
        <v>Carries forward</v>
      </c>
    </row>
    <row r="631" spans="1:9">
      <c r="A631" s="9">
        <v>44897</v>
      </c>
      <c r="B631" t="s">
        <v>78</v>
      </c>
      <c r="C631" t="s">
        <v>8</v>
      </c>
      <c r="D631" s="4">
        <v>30</v>
      </c>
      <c r="E631" s="4"/>
      <c r="F631">
        <v>282</v>
      </c>
      <c r="H631" t="str">
        <f t="shared" si="9"/>
        <v>2022-12</v>
      </c>
      <c r="I631" t="str">
        <f>_xlfn.XLOOKUP(Table1[[#This Row],[Customer_ID]],Customers!$A$2:$A$30,Customers!$C$2:$C$30,"Not found")</f>
        <v>Carries forward</v>
      </c>
    </row>
    <row r="632" spans="1:9">
      <c r="A632" s="9">
        <v>44898</v>
      </c>
      <c r="B632" t="s">
        <v>78</v>
      </c>
      <c r="C632" t="s">
        <v>8</v>
      </c>
      <c r="D632" s="4">
        <v>10</v>
      </c>
      <c r="E632" s="4"/>
      <c r="F632">
        <v>282</v>
      </c>
      <c r="H632" t="str">
        <f t="shared" si="9"/>
        <v>2022-12</v>
      </c>
      <c r="I632" t="str">
        <f>_xlfn.XLOOKUP(Table1[[#This Row],[Customer_ID]],Customers!$A$2:$A$30,Customers!$C$2:$C$30,"Not found")</f>
        <v>Carries forward</v>
      </c>
    </row>
    <row r="633" spans="1:9">
      <c r="A633" s="9">
        <v>44898</v>
      </c>
      <c r="B633" t="s">
        <v>78</v>
      </c>
      <c r="C633" t="s">
        <v>8</v>
      </c>
      <c r="D633" s="4">
        <v>30</v>
      </c>
      <c r="E633" s="4"/>
      <c r="F633">
        <v>282</v>
      </c>
      <c r="H633" t="str">
        <f t="shared" si="9"/>
        <v>2022-12</v>
      </c>
      <c r="I633" t="str">
        <f>_xlfn.XLOOKUP(Table1[[#This Row],[Customer_ID]],Customers!$A$2:$A$30,Customers!$C$2:$C$30,"Not found")</f>
        <v>Carries forward</v>
      </c>
    </row>
    <row r="634" spans="1:9">
      <c r="A634" s="9">
        <v>44900</v>
      </c>
      <c r="B634" t="s">
        <v>78</v>
      </c>
      <c r="C634" t="s">
        <v>8</v>
      </c>
      <c r="D634" s="4">
        <v>25</v>
      </c>
      <c r="E634" s="4"/>
      <c r="F634">
        <v>282</v>
      </c>
      <c r="H634" t="str">
        <f t="shared" si="9"/>
        <v>2022-12</v>
      </c>
      <c r="I634" t="str">
        <f>_xlfn.XLOOKUP(Table1[[#This Row],[Customer_ID]],Customers!$A$2:$A$30,Customers!$C$2:$C$30,"Not found")</f>
        <v>Carries forward</v>
      </c>
    </row>
    <row r="635" spans="1:9">
      <c r="A635" s="9">
        <v>44901</v>
      </c>
      <c r="B635" t="s">
        <v>78</v>
      </c>
      <c r="C635" t="s">
        <v>8</v>
      </c>
      <c r="D635" s="4">
        <v>10</v>
      </c>
      <c r="E635" s="4"/>
      <c r="F635">
        <v>282</v>
      </c>
      <c r="H635" t="str">
        <f t="shared" si="9"/>
        <v>2022-12</v>
      </c>
      <c r="I635" t="str">
        <f>_xlfn.XLOOKUP(Table1[[#This Row],[Customer_ID]],Customers!$A$2:$A$30,Customers!$C$2:$C$30,"Not found")</f>
        <v>Carries forward</v>
      </c>
    </row>
    <row r="636" spans="1:9">
      <c r="A636" s="9">
        <v>44901</v>
      </c>
      <c r="B636" t="s">
        <v>78</v>
      </c>
      <c r="C636" t="s">
        <v>8</v>
      </c>
      <c r="D636" s="4">
        <v>15</v>
      </c>
      <c r="E636" s="4"/>
      <c r="F636">
        <v>282</v>
      </c>
      <c r="H636" t="str">
        <f t="shared" si="9"/>
        <v>2022-12</v>
      </c>
      <c r="I636" t="str">
        <f>_xlfn.XLOOKUP(Table1[[#This Row],[Customer_ID]],Customers!$A$2:$A$30,Customers!$C$2:$C$30,"Not found")</f>
        <v>Carries forward</v>
      </c>
    </row>
    <row r="637" spans="1:9">
      <c r="A637" s="9">
        <v>44901</v>
      </c>
      <c r="B637" t="s">
        <v>78</v>
      </c>
      <c r="C637" t="s">
        <v>22</v>
      </c>
      <c r="D637" s="4">
        <v>-20</v>
      </c>
      <c r="E637" s="4">
        <v>1208</v>
      </c>
      <c r="F637">
        <v>282</v>
      </c>
      <c r="G637" t="s">
        <v>166</v>
      </c>
      <c r="H637" t="str">
        <f t="shared" si="9"/>
        <v>2022-12</v>
      </c>
      <c r="I637" t="str">
        <f>_xlfn.XLOOKUP(Table1[[#This Row],[Customer_ID]],Customers!$A$2:$A$30,Customers!$C$2:$C$30,"Not found")</f>
        <v>Carries forward</v>
      </c>
    </row>
    <row r="638" spans="1:9">
      <c r="A638" s="9">
        <v>44901</v>
      </c>
      <c r="B638" t="s">
        <v>78</v>
      </c>
      <c r="C638" t="s">
        <v>8</v>
      </c>
      <c r="D638" s="4">
        <v>20</v>
      </c>
      <c r="E638" s="4"/>
      <c r="F638">
        <v>282</v>
      </c>
      <c r="H638" t="str">
        <f t="shared" si="9"/>
        <v>2022-12</v>
      </c>
      <c r="I638" t="str">
        <f>_xlfn.XLOOKUP(Table1[[#This Row],[Customer_ID]],Customers!$A$2:$A$30,Customers!$C$2:$C$30,"Not found")</f>
        <v>Carries forward</v>
      </c>
    </row>
    <row r="639" spans="1:9">
      <c r="A639" s="9">
        <v>44921</v>
      </c>
      <c r="B639" t="s">
        <v>78</v>
      </c>
      <c r="C639" t="s">
        <v>8</v>
      </c>
      <c r="D639" s="4">
        <v>10</v>
      </c>
      <c r="E639" s="4"/>
      <c r="F639">
        <v>282</v>
      </c>
      <c r="H639" t="str">
        <f t="shared" si="9"/>
        <v>2022-12</v>
      </c>
      <c r="I639" t="str">
        <f>_xlfn.XLOOKUP(Table1[[#This Row],[Customer_ID]],Customers!$A$2:$A$30,Customers!$C$2:$C$30,"Not found")</f>
        <v>Carries forward</v>
      </c>
    </row>
    <row r="640" spans="1:9">
      <c r="A640" s="9">
        <v>44922</v>
      </c>
      <c r="B640" t="s">
        <v>78</v>
      </c>
      <c r="C640" t="s">
        <v>8</v>
      </c>
      <c r="D640" s="4">
        <v>15</v>
      </c>
      <c r="E640" s="4"/>
      <c r="F640">
        <v>282</v>
      </c>
      <c r="H640" t="str">
        <f t="shared" si="9"/>
        <v>2022-12</v>
      </c>
      <c r="I640" t="str">
        <f>_xlfn.XLOOKUP(Table1[[#This Row],[Customer_ID]],Customers!$A$2:$A$30,Customers!$C$2:$C$30,"Not found")</f>
        <v>Carries forward</v>
      </c>
    </row>
    <row r="641" spans="1:9">
      <c r="A641" s="9">
        <v>44923</v>
      </c>
      <c r="B641" t="s">
        <v>78</v>
      </c>
      <c r="C641" t="s">
        <v>8</v>
      </c>
      <c r="D641" s="4">
        <v>25</v>
      </c>
      <c r="E641" s="4"/>
      <c r="F641">
        <v>282</v>
      </c>
      <c r="H641" t="str">
        <f t="shared" si="9"/>
        <v>2022-12</v>
      </c>
      <c r="I641" t="str">
        <f>_xlfn.XLOOKUP(Table1[[#This Row],[Customer_ID]],Customers!$A$2:$A$30,Customers!$C$2:$C$30,"Not found")</f>
        <v>Carries forward</v>
      </c>
    </row>
    <row r="642" spans="1:9">
      <c r="A642" s="9">
        <v>44924</v>
      </c>
      <c r="B642" t="s">
        <v>78</v>
      </c>
      <c r="C642" t="s">
        <v>8</v>
      </c>
      <c r="D642" s="4">
        <v>30</v>
      </c>
      <c r="E642" s="4"/>
      <c r="F642">
        <v>282</v>
      </c>
      <c r="H642" t="str">
        <f t="shared" si="9"/>
        <v>2022-12</v>
      </c>
      <c r="I642" t="str">
        <f>_xlfn.XLOOKUP(Table1[[#This Row],[Customer_ID]],Customers!$A$2:$A$30,Customers!$C$2:$C$30,"Not found")</f>
        <v>Carries forward</v>
      </c>
    </row>
    <row r="643" spans="1:9">
      <c r="A643" s="9">
        <v>44924</v>
      </c>
      <c r="B643" t="s">
        <v>78</v>
      </c>
      <c r="C643" t="s">
        <v>8</v>
      </c>
      <c r="D643" s="4">
        <v>20</v>
      </c>
      <c r="E643" s="4"/>
      <c r="F643">
        <v>282</v>
      </c>
      <c r="H643" t="str">
        <f t="shared" ref="H643:H706" si="10">IF(A643="","",TEXT(A643,"yyyy-mm"))</f>
        <v>2022-12</v>
      </c>
      <c r="I643" t="str">
        <f>_xlfn.XLOOKUP(Table1[[#This Row],[Customer_ID]],Customers!$A$2:$A$30,Customers!$C$2:$C$30,"Not found")</f>
        <v>Carries forward</v>
      </c>
    </row>
    <row r="644" spans="1:9">
      <c r="A644" s="9">
        <v>44925</v>
      </c>
      <c r="B644" t="s">
        <v>78</v>
      </c>
      <c r="C644" t="s">
        <v>8</v>
      </c>
      <c r="D644" s="4">
        <v>30</v>
      </c>
      <c r="E644" s="4"/>
      <c r="F644">
        <v>282</v>
      </c>
      <c r="H644" t="str">
        <f t="shared" si="10"/>
        <v>2022-12</v>
      </c>
      <c r="I644" t="str">
        <f>_xlfn.XLOOKUP(Table1[[#This Row],[Customer_ID]],Customers!$A$2:$A$30,Customers!$C$2:$C$30,"Not found")</f>
        <v>Carries forward</v>
      </c>
    </row>
    <row r="645" spans="1:9">
      <c r="A645" s="9">
        <v>44925</v>
      </c>
      <c r="B645" t="s">
        <v>78</v>
      </c>
      <c r="C645" t="s">
        <v>8</v>
      </c>
      <c r="D645" s="4">
        <v>27</v>
      </c>
      <c r="E645" s="4"/>
      <c r="F645">
        <v>282</v>
      </c>
      <c r="H645" t="str">
        <f t="shared" si="10"/>
        <v>2022-12</v>
      </c>
      <c r="I645" t="str">
        <f>_xlfn.XLOOKUP(Table1[[#This Row],[Customer_ID]],Customers!$A$2:$A$30,Customers!$C$2:$C$30,"Not found")</f>
        <v>Carries forward</v>
      </c>
    </row>
    <row r="646" spans="1:9">
      <c r="A646" s="9">
        <v>44926</v>
      </c>
      <c r="B646" t="s">
        <v>78</v>
      </c>
      <c r="C646" t="s">
        <v>8</v>
      </c>
      <c r="D646" s="4">
        <v>15</v>
      </c>
      <c r="E646" s="4"/>
      <c r="F646">
        <v>282</v>
      </c>
      <c r="H646" t="str">
        <f t="shared" si="10"/>
        <v>2022-12</v>
      </c>
      <c r="I646" t="str">
        <f>_xlfn.XLOOKUP(Table1[[#This Row],[Customer_ID]],Customers!$A$2:$A$30,Customers!$C$2:$C$30,"Not found")</f>
        <v>Carries forward</v>
      </c>
    </row>
    <row r="647" spans="1:9">
      <c r="A647" s="9">
        <v>44926</v>
      </c>
      <c r="B647" t="s">
        <v>78</v>
      </c>
      <c r="C647" t="s">
        <v>8</v>
      </c>
      <c r="D647" s="4">
        <v>30</v>
      </c>
      <c r="E647" s="4"/>
      <c r="F647">
        <v>282</v>
      </c>
      <c r="H647" t="str">
        <f t="shared" si="10"/>
        <v>2022-12</v>
      </c>
      <c r="I647" t="str">
        <f>_xlfn.XLOOKUP(Table1[[#This Row],[Customer_ID]],Customers!$A$2:$A$30,Customers!$C$2:$C$30,"Not found")</f>
        <v>Carries forward</v>
      </c>
    </row>
    <row r="648" spans="1:9">
      <c r="A648" s="9">
        <v>44927</v>
      </c>
      <c r="B648" t="s">
        <v>78</v>
      </c>
      <c r="C648" t="s">
        <v>8</v>
      </c>
      <c r="D648" s="4">
        <v>35</v>
      </c>
      <c r="E648" s="4"/>
      <c r="F648">
        <v>282</v>
      </c>
      <c r="H648" t="str">
        <f t="shared" si="10"/>
        <v>2023-01</v>
      </c>
      <c r="I648" t="str">
        <f>_xlfn.XLOOKUP(Table1[[#This Row],[Customer_ID]],Customers!$A$2:$A$30,Customers!$C$2:$C$30,"Not found")</f>
        <v>Carries forward</v>
      </c>
    </row>
    <row r="649" spans="1:9">
      <c r="A649" s="9">
        <v>44927</v>
      </c>
      <c r="B649" t="s">
        <v>78</v>
      </c>
      <c r="C649" t="s">
        <v>8</v>
      </c>
      <c r="D649" s="4">
        <v>15</v>
      </c>
      <c r="E649" s="4"/>
      <c r="F649">
        <v>282</v>
      </c>
      <c r="H649" t="str">
        <f t="shared" si="10"/>
        <v>2023-01</v>
      </c>
      <c r="I649" t="str">
        <f>_xlfn.XLOOKUP(Table1[[#This Row],[Customer_ID]],Customers!$A$2:$A$30,Customers!$C$2:$C$30,"Not found")</f>
        <v>Carries forward</v>
      </c>
    </row>
    <row r="650" spans="1:9">
      <c r="A650" s="9">
        <v>44928</v>
      </c>
      <c r="B650" t="s">
        <v>78</v>
      </c>
      <c r="C650" t="s">
        <v>8</v>
      </c>
      <c r="D650" s="4">
        <v>35</v>
      </c>
      <c r="E650" s="4"/>
      <c r="F650">
        <v>282</v>
      </c>
      <c r="H650" t="str">
        <f t="shared" si="10"/>
        <v>2023-01</v>
      </c>
      <c r="I650" t="str">
        <f>_xlfn.XLOOKUP(Table1[[#This Row],[Customer_ID]],Customers!$A$2:$A$30,Customers!$C$2:$C$30,"Not found")</f>
        <v>Carries forward</v>
      </c>
    </row>
    <row r="651" spans="1:9">
      <c r="A651" s="9">
        <v>44929</v>
      </c>
      <c r="B651" t="s">
        <v>78</v>
      </c>
      <c r="C651" t="s">
        <v>8</v>
      </c>
      <c r="D651" s="4">
        <v>10</v>
      </c>
      <c r="E651" s="4"/>
      <c r="F651">
        <v>282</v>
      </c>
      <c r="H651" t="str">
        <f t="shared" si="10"/>
        <v>2023-01</v>
      </c>
      <c r="I651" t="str">
        <f>_xlfn.XLOOKUP(Table1[[#This Row],[Customer_ID]],Customers!$A$2:$A$30,Customers!$C$2:$C$30,"Not found")</f>
        <v>Carries forward</v>
      </c>
    </row>
    <row r="652" spans="1:9">
      <c r="A652" s="9">
        <v>44931</v>
      </c>
      <c r="B652" t="s">
        <v>78</v>
      </c>
      <c r="C652" t="s">
        <v>8</v>
      </c>
      <c r="D652" s="4">
        <v>27</v>
      </c>
      <c r="E652" s="4"/>
      <c r="F652">
        <v>282</v>
      </c>
      <c r="H652" t="str">
        <f t="shared" si="10"/>
        <v>2023-01</v>
      </c>
      <c r="I652" t="str">
        <f>_xlfn.XLOOKUP(Table1[[#This Row],[Customer_ID]],Customers!$A$2:$A$30,Customers!$C$2:$C$30,"Not found")</f>
        <v>Carries forward</v>
      </c>
    </row>
    <row r="653" spans="1:9">
      <c r="A653" s="9">
        <v>44931</v>
      </c>
      <c r="B653" t="s">
        <v>78</v>
      </c>
      <c r="C653" t="s">
        <v>8</v>
      </c>
      <c r="D653" s="4">
        <v>15</v>
      </c>
      <c r="E653" s="4">
        <v>1567</v>
      </c>
      <c r="F653">
        <v>282</v>
      </c>
      <c r="G653" t="s">
        <v>137</v>
      </c>
      <c r="H653" t="str">
        <f t="shared" si="10"/>
        <v>2023-01</v>
      </c>
      <c r="I653" t="str">
        <f>_xlfn.XLOOKUP(Table1[[#This Row],[Customer_ID]],Customers!$A$2:$A$30,Customers!$C$2:$C$30,"Not found")</f>
        <v>Carries forward</v>
      </c>
    </row>
    <row r="654" spans="1:9">
      <c r="A654" s="9">
        <v>44932</v>
      </c>
      <c r="B654" t="s">
        <v>78</v>
      </c>
      <c r="C654" t="s">
        <v>8</v>
      </c>
      <c r="D654" s="4">
        <v>30</v>
      </c>
      <c r="E654" s="4"/>
      <c r="F654">
        <v>282</v>
      </c>
      <c r="H654" t="str">
        <f t="shared" si="10"/>
        <v>2023-01</v>
      </c>
      <c r="I654" t="str">
        <f>_xlfn.XLOOKUP(Table1[[#This Row],[Customer_ID]],Customers!$A$2:$A$30,Customers!$C$2:$C$30,"Not found")</f>
        <v>Carries forward</v>
      </c>
    </row>
    <row r="655" spans="1:9">
      <c r="A655" s="9">
        <v>44933</v>
      </c>
      <c r="B655" t="s">
        <v>78</v>
      </c>
      <c r="C655" t="s">
        <v>8</v>
      </c>
      <c r="D655" s="4">
        <v>25</v>
      </c>
      <c r="E655" s="4"/>
      <c r="F655">
        <v>282</v>
      </c>
      <c r="H655" t="str">
        <f t="shared" si="10"/>
        <v>2023-01</v>
      </c>
      <c r="I655" t="str">
        <f>_xlfn.XLOOKUP(Table1[[#This Row],[Customer_ID]],Customers!$A$2:$A$30,Customers!$C$2:$C$30,"Not found")</f>
        <v>Carries forward</v>
      </c>
    </row>
    <row r="656" spans="1:9">
      <c r="A656" s="9">
        <v>44933</v>
      </c>
      <c r="B656" t="s">
        <v>78</v>
      </c>
      <c r="C656" t="s">
        <v>8</v>
      </c>
      <c r="D656" s="4">
        <v>10</v>
      </c>
      <c r="E656" s="4"/>
      <c r="F656">
        <v>282</v>
      </c>
      <c r="H656" t="str">
        <f t="shared" si="10"/>
        <v>2023-01</v>
      </c>
      <c r="I656" t="str">
        <f>_xlfn.XLOOKUP(Table1[[#This Row],[Customer_ID]],Customers!$A$2:$A$30,Customers!$C$2:$C$30,"Not found")</f>
        <v>Carries forward</v>
      </c>
    </row>
    <row r="657" spans="1:9">
      <c r="A657" s="9">
        <v>44934</v>
      </c>
      <c r="B657" t="s">
        <v>78</v>
      </c>
      <c r="C657" t="s">
        <v>8</v>
      </c>
      <c r="D657" s="4">
        <v>25</v>
      </c>
      <c r="E657" s="4"/>
      <c r="F657">
        <v>282</v>
      </c>
      <c r="H657" t="str">
        <f t="shared" si="10"/>
        <v>2023-01</v>
      </c>
      <c r="I657" t="str">
        <f>_xlfn.XLOOKUP(Table1[[#This Row],[Customer_ID]],Customers!$A$2:$A$30,Customers!$C$2:$C$30,"Not found")</f>
        <v>Carries forward</v>
      </c>
    </row>
    <row r="658" spans="1:9">
      <c r="A658" s="9">
        <v>44935</v>
      </c>
      <c r="B658" t="s">
        <v>78</v>
      </c>
      <c r="C658" t="s">
        <v>8</v>
      </c>
      <c r="D658" s="4">
        <v>25</v>
      </c>
      <c r="E658" s="4"/>
      <c r="F658">
        <v>282</v>
      </c>
      <c r="H658" t="str">
        <f t="shared" si="10"/>
        <v>2023-01</v>
      </c>
      <c r="I658" t="str">
        <f>_xlfn.XLOOKUP(Table1[[#This Row],[Customer_ID]],Customers!$A$2:$A$30,Customers!$C$2:$C$30,"Not found")</f>
        <v>Carries forward</v>
      </c>
    </row>
    <row r="659" spans="1:9">
      <c r="A659" s="9">
        <v>44936</v>
      </c>
      <c r="B659" t="s">
        <v>78</v>
      </c>
      <c r="C659" t="s">
        <v>8</v>
      </c>
      <c r="D659" s="4">
        <v>30</v>
      </c>
      <c r="E659" s="4"/>
      <c r="F659">
        <v>282</v>
      </c>
      <c r="H659" t="str">
        <f t="shared" si="10"/>
        <v>2023-01</v>
      </c>
      <c r="I659" t="str">
        <f>_xlfn.XLOOKUP(Table1[[#This Row],[Customer_ID]],Customers!$A$2:$A$30,Customers!$C$2:$C$30,"Not found")</f>
        <v>Carries forward</v>
      </c>
    </row>
    <row r="660" spans="1:9">
      <c r="A660" s="9">
        <v>44938</v>
      </c>
      <c r="B660" t="s">
        <v>78</v>
      </c>
      <c r="C660" t="s">
        <v>8</v>
      </c>
      <c r="D660" s="4">
        <v>30</v>
      </c>
      <c r="E660" s="4">
        <v>1742</v>
      </c>
      <c r="F660">
        <v>282</v>
      </c>
      <c r="G660" t="s">
        <v>138</v>
      </c>
      <c r="H660" t="str">
        <f t="shared" si="10"/>
        <v>2023-01</v>
      </c>
      <c r="I660" t="str">
        <f>_xlfn.XLOOKUP(Table1[[#This Row],[Customer_ID]],Customers!$A$2:$A$30,Customers!$C$2:$C$30,"Not found")</f>
        <v>Carries forward</v>
      </c>
    </row>
    <row r="661" spans="1:9">
      <c r="A661" s="9">
        <v>44938</v>
      </c>
      <c r="B661" t="s">
        <v>78</v>
      </c>
      <c r="C661" t="s">
        <v>14</v>
      </c>
      <c r="D661" s="4">
        <v>500</v>
      </c>
      <c r="E661" s="4">
        <v>1242</v>
      </c>
      <c r="F661">
        <v>282</v>
      </c>
      <c r="G661" t="s">
        <v>139</v>
      </c>
      <c r="H661" t="str">
        <f t="shared" si="10"/>
        <v>2023-01</v>
      </c>
      <c r="I661" t="str">
        <f>_xlfn.XLOOKUP(Table1[[#This Row],[Customer_ID]],Customers!$A$2:$A$30,Customers!$C$2:$C$30,"Not found")</f>
        <v>Carries forward</v>
      </c>
    </row>
    <row r="662" spans="1:9">
      <c r="A662" s="9">
        <v>44939</v>
      </c>
      <c r="B662" t="s">
        <v>78</v>
      </c>
      <c r="C662" t="s">
        <v>8</v>
      </c>
      <c r="D662" s="4">
        <v>25</v>
      </c>
      <c r="E662" s="4"/>
      <c r="F662">
        <v>282</v>
      </c>
      <c r="H662" t="str">
        <f t="shared" si="10"/>
        <v>2023-01</v>
      </c>
      <c r="I662" t="str">
        <f>_xlfn.XLOOKUP(Table1[[#This Row],[Customer_ID]],Customers!$A$2:$A$30,Customers!$C$2:$C$30,"Not found")</f>
        <v>Carries forward</v>
      </c>
    </row>
    <row r="663" spans="1:9">
      <c r="A663" s="9">
        <v>44939</v>
      </c>
      <c r="B663" t="s">
        <v>78</v>
      </c>
      <c r="C663" t="s">
        <v>8</v>
      </c>
      <c r="D663" s="4">
        <v>15</v>
      </c>
      <c r="E663" s="4"/>
      <c r="F663">
        <v>282</v>
      </c>
      <c r="H663" t="str">
        <f t="shared" si="10"/>
        <v>2023-01</v>
      </c>
      <c r="I663" t="str">
        <f>_xlfn.XLOOKUP(Table1[[#This Row],[Customer_ID]],Customers!$A$2:$A$30,Customers!$C$2:$C$30,"Not found")</f>
        <v>Carries forward</v>
      </c>
    </row>
    <row r="664" spans="1:9">
      <c r="A664" s="9">
        <v>44940</v>
      </c>
      <c r="B664" t="s">
        <v>78</v>
      </c>
      <c r="C664" t="s">
        <v>8</v>
      </c>
      <c r="D664" s="4">
        <v>10</v>
      </c>
      <c r="E664" s="4"/>
      <c r="F664">
        <v>282</v>
      </c>
      <c r="H664" t="str">
        <f t="shared" si="10"/>
        <v>2023-01</v>
      </c>
      <c r="I664" t="str">
        <f>_xlfn.XLOOKUP(Table1[[#This Row],[Customer_ID]],Customers!$A$2:$A$30,Customers!$C$2:$C$30,"Not found")</f>
        <v>Carries forward</v>
      </c>
    </row>
    <row r="665" spans="1:9">
      <c r="A665" s="9">
        <v>44940</v>
      </c>
      <c r="B665" t="s">
        <v>78</v>
      </c>
      <c r="C665" t="s">
        <v>8</v>
      </c>
      <c r="D665" s="4">
        <v>10</v>
      </c>
      <c r="E665" s="4"/>
      <c r="F665">
        <v>282</v>
      </c>
      <c r="H665" t="str">
        <f t="shared" si="10"/>
        <v>2023-01</v>
      </c>
      <c r="I665" t="str">
        <f>_xlfn.XLOOKUP(Table1[[#This Row],[Customer_ID]],Customers!$A$2:$A$30,Customers!$C$2:$C$30,"Not found")</f>
        <v>Carries forward</v>
      </c>
    </row>
    <row r="666" spans="1:9">
      <c r="A666" s="9">
        <v>44941</v>
      </c>
      <c r="B666" t="s">
        <v>78</v>
      </c>
      <c r="C666" t="s">
        <v>8</v>
      </c>
      <c r="D666" s="4">
        <v>15</v>
      </c>
      <c r="E666" s="4"/>
      <c r="F666">
        <v>282</v>
      </c>
      <c r="H666" t="str">
        <f t="shared" si="10"/>
        <v>2023-01</v>
      </c>
      <c r="I666" t="str">
        <f>_xlfn.XLOOKUP(Table1[[#This Row],[Customer_ID]],Customers!$A$2:$A$30,Customers!$C$2:$C$30,"Not found")</f>
        <v>Carries forward</v>
      </c>
    </row>
    <row r="667" spans="1:9">
      <c r="A667" s="9">
        <v>44942</v>
      </c>
      <c r="B667" t="s">
        <v>78</v>
      </c>
      <c r="C667" t="s">
        <v>8</v>
      </c>
      <c r="D667" s="4">
        <v>10</v>
      </c>
      <c r="E667" s="4"/>
      <c r="F667">
        <v>282</v>
      </c>
      <c r="H667" t="str">
        <f t="shared" si="10"/>
        <v>2023-01</v>
      </c>
      <c r="I667" t="str">
        <f>_xlfn.XLOOKUP(Table1[[#This Row],[Customer_ID]],Customers!$A$2:$A$30,Customers!$C$2:$C$30,"Not found")</f>
        <v>Carries forward</v>
      </c>
    </row>
    <row r="668" spans="1:9">
      <c r="A668" s="9">
        <v>44943</v>
      </c>
      <c r="B668" t="s">
        <v>78</v>
      </c>
      <c r="C668" t="s">
        <v>8</v>
      </c>
      <c r="D668" s="4">
        <v>25</v>
      </c>
      <c r="E668" s="4"/>
      <c r="F668">
        <v>282</v>
      </c>
      <c r="H668" t="str">
        <f t="shared" si="10"/>
        <v>2023-01</v>
      </c>
      <c r="I668" t="str">
        <f>_xlfn.XLOOKUP(Table1[[#This Row],[Customer_ID]],Customers!$A$2:$A$30,Customers!$C$2:$C$30,"Not found")</f>
        <v>Carries forward</v>
      </c>
    </row>
    <row r="669" spans="1:9">
      <c r="A669" s="9">
        <v>44945</v>
      </c>
      <c r="B669" t="s">
        <v>78</v>
      </c>
      <c r="C669" t="s">
        <v>8</v>
      </c>
      <c r="D669" s="4">
        <v>30</v>
      </c>
      <c r="E669" s="4"/>
      <c r="F669">
        <v>282</v>
      </c>
      <c r="H669" t="str">
        <f t="shared" si="10"/>
        <v>2023-01</v>
      </c>
      <c r="I669" t="str">
        <f>_xlfn.XLOOKUP(Table1[[#This Row],[Customer_ID]],Customers!$A$2:$A$30,Customers!$C$2:$C$30,"Not found")</f>
        <v>Carries forward</v>
      </c>
    </row>
    <row r="670" spans="1:9">
      <c r="A670" s="9">
        <v>44945</v>
      </c>
      <c r="B670" t="s">
        <v>78</v>
      </c>
      <c r="C670" t="s">
        <v>8</v>
      </c>
      <c r="D670" s="4">
        <v>30</v>
      </c>
      <c r="E670" s="4"/>
      <c r="F670">
        <v>282</v>
      </c>
      <c r="H670" t="str">
        <f t="shared" si="10"/>
        <v>2023-01</v>
      </c>
      <c r="I670" t="str">
        <f>_xlfn.XLOOKUP(Table1[[#This Row],[Customer_ID]],Customers!$A$2:$A$30,Customers!$C$2:$C$30,"Not found")</f>
        <v>Carries forward</v>
      </c>
    </row>
    <row r="671" spans="1:9">
      <c r="A671" s="9">
        <v>44946</v>
      </c>
      <c r="B671" t="s">
        <v>78</v>
      </c>
      <c r="C671" t="s">
        <v>8</v>
      </c>
      <c r="D671" s="4">
        <v>25</v>
      </c>
      <c r="E671" s="4"/>
      <c r="F671">
        <v>282</v>
      </c>
      <c r="H671" t="str">
        <f t="shared" si="10"/>
        <v>2023-01</v>
      </c>
      <c r="I671" t="str">
        <f>_xlfn.XLOOKUP(Table1[[#This Row],[Customer_ID]],Customers!$A$2:$A$30,Customers!$C$2:$C$30,"Not found")</f>
        <v>Carries forward</v>
      </c>
    </row>
    <row r="672" spans="1:9">
      <c r="A672" s="9">
        <v>44947</v>
      </c>
      <c r="B672" t="s">
        <v>78</v>
      </c>
      <c r="C672" t="s">
        <v>8</v>
      </c>
      <c r="D672" s="4">
        <v>25</v>
      </c>
      <c r="E672" s="4"/>
      <c r="F672">
        <v>282</v>
      </c>
      <c r="H672" t="str">
        <f t="shared" si="10"/>
        <v>2023-01</v>
      </c>
      <c r="I672" t="str">
        <f>_xlfn.XLOOKUP(Table1[[#This Row],[Customer_ID]],Customers!$A$2:$A$30,Customers!$C$2:$C$30,"Not found")</f>
        <v>Carries forward</v>
      </c>
    </row>
    <row r="673" spans="1:9">
      <c r="A673" s="9">
        <v>44947</v>
      </c>
      <c r="B673" t="s">
        <v>78</v>
      </c>
      <c r="C673" t="s">
        <v>8</v>
      </c>
      <c r="D673" s="4">
        <v>10</v>
      </c>
      <c r="E673" s="4"/>
      <c r="F673">
        <v>282</v>
      </c>
      <c r="H673" t="str">
        <f t="shared" si="10"/>
        <v>2023-01</v>
      </c>
      <c r="I673" t="str">
        <f>_xlfn.XLOOKUP(Table1[[#This Row],[Customer_ID]],Customers!$A$2:$A$30,Customers!$C$2:$C$30,"Not found")</f>
        <v>Carries forward</v>
      </c>
    </row>
    <row r="674" spans="1:9">
      <c r="A674" s="9">
        <v>44948</v>
      </c>
      <c r="B674" t="s">
        <v>78</v>
      </c>
      <c r="C674" t="s">
        <v>8</v>
      </c>
      <c r="D674" s="4">
        <v>20</v>
      </c>
      <c r="E674" s="4"/>
      <c r="F674">
        <v>282</v>
      </c>
      <c r="H674" t="str">
        <f t="shared" si="10"/>
        <v>2023-01</v>
      </c>
      <c r="I674" t="str">
        <f>_xlfn.XLOOKUP(Table1[[#This Row],[Customer_ID]],Customers!$A$2:$A$30,Customers!$C$2:$C$30,"Not found")</f>
        <v>Carries forward</v>
      </c>
    </row>
    <row r="675" spans="1:9">
      <c r="A675" s="9">
        <v>44949</v>
      </c>
      <c r="B675" t="s">
        <v>78</v>
      </c>
      <c r="C675" t="s">
        <v>8</v>
      </c>
      <c r="D675" s="4">
        <v>10</v>
      </c>
      <c r="E675" s="4"/>
      <c r="F675">
        <v>282</v>
      </c>
      <c r="H675" t="str">
        <f t="shared" si="10"/>
        <v>2023-01</v>
      </c>
      <c r="I675" t="str">
        <f>_xlfn.XLOOKUP(Table1[[#This Row],[Customer_ID]],Customers!$A$2:$A$30,Customers!$C$2:$C$30,"Not found")</f>
        <v>Carries forward</v>
      </c>
    </row>
    <row r="676" spans="1:9">
      <c r="A676" s="9">
        <v>44949</v>
      </c>
      <c r="B676" t="s">
        <v>78</v>
      </c>
      <c r="C676" t="s">
        <v>8</v>
      </c>
      <c r="D676" s="4">
        <v>38</v>
      </c>
      <c r="E676" s="4"/>
      <c r="F676">
        <v>282</v>
      </c>
      <c r="H676" t="str">
        <f t="shared" si="10"/>
        <v>2023-01</v>
      </c>
      <c r="I676" t="str">
        <f>_xlfn.XLOOKUP(Table1[[#This Row],[Customer_ID]],Customers!$A$2:$A$30,Customers!$C$2:$C$30,"Not found")</f>
        <v>Carries forward</v>
      </c>
    </row>
    <row r="677" spans="1:9">
      <c r="A677" s="9">
        <v>44950</v>
      </c>
      <c r="B677" t="s">
        <v>78</v>
      </c>
      <c r="C677" t="s">
        <v>8</v>
      </c>
      <c r="D677" s="4">
        <v>25</v>
      </c>
      <c r="E677" s="4"/>
      <c r="F677">
        <v>282</v>
      </c>
      <c r="H677" t="str">
        <f t="shared" si="10"/>
        <v>2023-01</v>
      </c>
      <c r="I677" t="str">
        <f>_xlfn.XLOOKUP(Table1[[#This Row],[Customer_ID]],Customers!$A$2:$A$30,Customers!$C$2:$C$30,"Not found")</f>
        <v>Carries forward</v>
      </c>
    </row>
    <row r="678" spans="1:9">
      <c r="A678" s="9">
        <v>44950</v>
      </c>
      <c r="B678" t="s">
        <v>78</v>
      </c>
      <c r="C678" t="s">
        <v>8</v>
      </c>
      <c r="D678" s="4">
        <v>30</v>
      </c>
      <c r="E678" s="4"/>
      <c r="F678">
        <v>282</v>
      </c>
      <c r="H678" t="str">
        <f t="shared" si="10"/>
        <v>2023-01</v>
      </c>
      <c r="I678" t="str">
        <f>_xlfn.XLOOKUP(Table1[[#This Row],[Customer_ID]],Customers!$A$2:$A$30,Customers!$C$2:$C$30,"Not found")</f>
        <v>Carries forward</v>
      </c>
    </row>
    <row r="679" spans="1:9">
      <c r="A679" s="9">
        <v>44951</v>
      </c>
      <c r="B679" t="s">
        <v>78</v>
      </c>
      <c r="C679" t="s">
        <v>8</v>
      </c>
      <c r="D679" s="4">
        <v>30</v>
      </c>
      <c r="E679" s="4"/>
      <c r="F679">
        <v>282</v>
      </c>
      <c r="H679" t="str">
        <f t="shared" si="10"/>
        <v>2023-01</v>
      </c>
      <c r="I679" t="str">
        <f>_xlfn.XLOOKUP(Table1[[#This Row],[Customer_ID]],Customers!$A$2:$A$30,Customers!$C$2:$C$30,"Not found")</f>
        <v>Carries forward</v>
      </c>
    </row>
    <row r="680" spans="1:9">
      <c r="A680" s="9">
        <v>44952</v>
      </c>
      <c r="B680" t="s">
        <v>78</v>
      </c>
      <c r="C680" t="s">
        <v>8</v>
      </c>
      <c r="D680" s="4">
        <v>25</v>
      </c>
      <c r="E680" s="4"/>
      <c r="F680">
        <v>282</v>
      </c>
      <c r="H680" t="str">
        <f t="shared" si="10"/>
        <v>2023-01</v>
      </c>
      <c r="I680" t="str">
        <f>_xlfn.XLOOKUP(Table1[[#This Row],[Customer_ID]],Customers!$A$2:$A$30,Customers!$C$2:$C$30,"Not found")</f>
        <v>Carries forward</v>
      </c>
    </row>
    <row r="681" spans="1:9">
      <c r="A681" s="9">
        <v>44955</v>
      </c>
      <c r="B681" t="s">
        <v>78</v>
      </c>
      <c r="C681" t="s">
        <v>8</v>
      </c>
      <c r="D681" s="4">
        <v>35</v>
      </c>
      <c r="E681" s="4"/>
      <c r="F681">
        <v>282</v>
      </c>
      <c r="H681" t="str">
        <f t="shared" si="10"/>
        <v>2023-01</v>
      </c>
      <c r="I681" t="str">
        <f>_xlfn.XLOOKUP(Table1[[#This Row],[Customer_ID]],Customers!$A$2:$A$30,Customers!$C$2:$C$30,"Not found")</f>
        <v>Carries forward</v>
      </c>
    </row>
    <row r="682" spans="1:9">
      <c r="A682" s="9">
        <v>44956</v>
      </c>
      <c r="B682" t="s">
        <v>78</v>
      </c>
      <c r="C682" t="s">
        <v>8</v>
      </c>
      <c r="D682" s="4">
        <v>25</v>
      </c>
      <c r="E682" s="4"/>
      <c r="F682">
        <v>282</v>
      </c>
      <c r="H682" t="str">
        <f t="shared" si="10"/>
        <v>2023-01</v>
      </c>
      <c r="I682" t="str">
        <f>_xlfn.XLOOKUP(Table1[[#This Row],[Customer_ID]],Customers!$A$2:$A$30,Customers!$C$2:$C$30,"Not found")</f>
        <v>Carries forward</v>
      </c>
    </row>
    <row r="683" spans="1:9">
      <c r="A683" s="9">
        <v>44956</v>
      </c>
      <c r="B683" t="s">
        <v>78</v>
      </c>
      <c r="C683" t="s">
        <v>8</v>
      </c>
      <c r="D683" s="4">
        <v>20</v>
      </c>
      <c r="E683" s="4"/>
      <c r="F683">
        <v>282</v>
      </c>
      <c r="H683" t="str">
        <f t="shared" si="10"/>
        <v>2023-01</v>
      </c>
      <c r="I683" t="str">
        <f>_xlfn.XLOOKUP(Table1[[#This Row],[Customer_ID]],Customers!$A$2:$A$30,Customers!$C$2:$C$30,"Not found")</f>
        <v>Carries forward</v>
      </c>
    </row>
    <row r="684" spans="1:9">
      <c r="A684" s="9">
        <v>44957</v>
      </c>
      <c r="B684" t="s">
        <v>78</v>
      </c>
      <c r="C684" t="s">
        <v>8</v>
      </c>
      <c r="D684" s="4">
        <v>15</v>
      </c>
      <c r="E684" s="4"/>
      <c r="F684">
        <v>282</v>
      </c>
      <c r="H684" t="str">
        <f t="shared" si="10"/>
        <v>2023-01</v>
      </c>
      <c r="I684" t="str">
        <f>_xlfn.XLOOKUP(Table1[[#This Row],[Customer_ID]],Customers!$A$2:$A$30,Customers!$C$2:$C$30,"Not found")</f>
        <v>Carries forward</v>
      </c>
    </row>
    <row r="685" spans="1:9">
      <c r="A685" s="9">
        <v>44957</v>
      </c>
      <c r="B685" t="s">
        <v>78</v>
      </c>
      <c r="C685" t="s">
        <v>8</v>
      </c>
      <c r="D685" s="4">
        <v>30</v>
      </c>
      <c r="E685" s="4"/>
      <c r="F685">
        <v>282</v>
      </c>
      <c r="H685" t="str">
        <f t="shared" si="10"/>
        <v>2023-01</v>
      </c>
      <c r="I685" t="str">
        <f>_xlfn.XLOOKUP(Table1[[#This Row],[Customer_ID]],Customers!$A$2:$A$30,Customers!$C$2:$C$30,"Not found")</f>
        <v>Carries forward</v>
      </c>
    </row>
    <row r="686" spans="1:9">
      <c r="A686" s="9">
        <v>44958</v>
      </c>
      <c r="B686" t="s">
        <v>78</v>
      </c>
      <c r="C686" t="s">
        <v>8</v>
      </c>
      <c r="D686" s="4">
        <v>20</v>
      </c>
      <c r="E686" s="4"/>
      <c r="F686">
        <v>282</v>
      </c>
      <c r="H686" t="str">
        <f t="shared" si="10"/>
        <v>2023-02</v>
      </c>
      <c r="I686" t="str">
        <f>_xlfn.XLOOKUP(Table1[[#This Row],[Customer_ID]],Customers!$A$2:$A$30,Customers!$C$2:$C$30,"Not found")</f>
        <v>Carries forward</v>
      </c>
    </row>
    <row r="687" spans="1:9">
      <c r="A687" s="9">
        <v>44959</v>
      </c>
      <c r="B687" t="s">
        <v>78</v>
      </c>
      <c r="C687" t="s">
        <v>8</v>
      </c>
      <c r="D687" s="4">
        <v>25</v>
      </c>
      <c r="E687" s="4"/>
      <c r="F687">
        <v>282</v>
      </c>
      <c r="H687" t="str">
        <f t="shared" si="10"/>
        <v>2023-02</v>
      </c>
      <c r="I687" t="str">
        <f>_xlfn.XLOOKUP(Table1[[#This Row],[Customer_ID]],Customers!$A$2:$A$30,Customers!$C$2:$C$30,"Not found")</f>
        <v>Carries forward</v>
      </c>
    </row>
    <row r="688" spans="1:9">
      <c r="A688" s="9">
        <v>44959</v>
      </c>
      <c r="B688" t="s">
        <v>78</v>
      </c>
      <c r="C688" t="s">
        <v>8</v>
      </c>
      <c r="D688" s="4">
        <v>10</v>
      </c>
      <c r="E688" s="4"/>
      <c r="F688">
        <v>282</v>
      </c>
      <c r="H688" t="str">
        <f t="shared" si="10"/>
        <v>2023-02</v>
      </c>
      <c r="I688" t="str">
        <f>_xlfn.XLOOKUP(Table1[[#This Row],[Customer_ID]],Customers!$A$2:$A$30,Customers!$C$2:$C$30,"Not found")</f>
        <v>Carries forward</v>
      </c>
    </row>
    <row r="689" spans="1:9">
      <c r="A689" s="9">
        <v>44960</v>
      </c>
      <c r="B689" t="s">
        <v>78</v>
      </c>
      <c r="C689" t="s">
        <v>8</v>
      </c>
      <c r="D689" s="4">
        <v>30</v>
      </c>
      <c r="E689" s="4"/>
      <c r="F689">
        <v>282</v>
      </c>
      <c r="H689" t="str">
        <f t="shared" si="10"/>
        <v>2023-02</v>
      </c>
      <c r="I689" t="str">
        <f>_xlfn.XLOOKUP(Table1[[#This Row],[Customer_ID]],Customers!$A$2:$A$30,Customers!$C$2:$C$30,"Not found")</f>
        <v>Carries forward</v>
      </c>
    </row>
    <row r="690" spans="1:9">
      <c r="A690" s="9">
        <v>44960</v>
      </c>
      <c r="B690" t="s">
        <v>78</v>
      </c>
      <c r="C690" t="s">
        <v>8</v>
      </c>
      <c r="D690" s="4">
        <v>30</v>
      </c>
      <c r="E690" s="4"/>
      <c r="F690">
        <v>282</v>
      </c>
      <c r="H690" t="str">
        <f t="shared" si="10"/>
        <v>2023-02</v>
      </c>
      <c r="I690" t="str">
        <f>_xlfn.XLOOKUP(Table1[[#This Row],[Customer_ID]],Customers!$A$2:$A$30,Customers!$C$2:$C$30,"Not found")</f>
        <v>Carries forward</v>
      </c>
    </row>
    <row r="691" spans="1:9">
      <c r="A691" s="9">
        <v>44961</v>
      </c>
      <c r="B691" t="s">
        <v>78</v>
      </c>
      <c r="C691" t="s">
        <v>8</v>
      </c>
      <c r="D691" s="4">
        <v>30</v>
      </c>
      <c r="E691" s="4"/>
      <c r="F691">
        <v>282</v>
      </c>
      <c r="H691" t="str">
        <f t="shared" si="10"/>
        <v>2023-02</v>
      </c>
      <c r="I691" t="str">
        <f>_xlfn.XLOOKUP(Table1[[#This Row],[Customer_ID]],Customers!$A$2:$A$30,Customers!$C$2:$C$30,"Not found")</f>
        <v>Carries forward</v>
      </c>
    </row>
    <row r="692" spans="1:9">
      <c r="A692" s="9">
        <v>44961</v>
      </c>
      <c r="B692" t="s">
        <v>78</v>
      </c>
      <c r="C692" t="s">
        <v>8</v>
      </c>
      <c r="D692" s="4">
        <v>41</v>
      </c>
      <c r="E692" s="4"/>
      <c r="F692">
        <v>282</v>
      </c>
      <c r="H692" t="str">
        <f t="shared" si="10"/>
        <v>2023-02</v>
      </c>
      <c r="I692" t="str">
        <f>_xlfn.XLOOKUP(Table1[[#This Row],[Customer_ID]],Customers!$A$2:$A$30,Customers!$C$2:$C$30,"Not found")</f>
        <v>Carries forward</v>
      </c>
    </row>
    <row r="693" spans="1:9">
      <c r="A693" s="9">
        <v>44962</v>
      </c>
      <c r="B693" t="s">
        <v>78</v>
      </c>
      <c r="C693" t="s">
        <v>8</v>
      </c>
      <c r="D693" s="4">
        <v>25</v>
      </c>
      <c r="E693" s="4"/>
      <c r="F693">
        <v>282</v>
      </c>
      <c r="H693" t="str">
        <f t="shared" si="10"/>
        <v>2023-02</v>
      </c>
      <c r="I693" t="str">
        <f>_xlfn.XLOOKUP(Table1[[#This Row],[Customer_ID]],Customers!$A$2:$A$30,Customers!$C$2:$C$30,"Not found")</f>
        <v>Carries forward</v>
      </c>
    </row>
    <row r="694" spans="1:9">
      <c r="A694" s="9">
        <v>44962</v>
      </c>
      <c r="B694" t="s">
        <v>78</v>
      </c>
      <c r="C694" t="s">
        <v>8</v>
      </c>
      <c r="D694" s="4">
        <v>30</v>
      </c>
      <c r="E694" s="4"/>
      <c r="F694">
        <v>282</v>
      </c>
      <c r="H694" t="str">
        <f t="shared" si="10"/>
        <v>2023-02</v>
      </c>
      <c r="I694" t="str">
        <f>_xlfn.XLOOKUP(Table1[[#This Row],[Customer_ID]],Customers!$A$2:$A$30,Customers!$C$2:$C$30,"Not found")</f>
        <v>Carries forward</v>
      </c>
    </row>
    <row r="695" spans="1:9">
      <c r="A695" s="9">
        <v>44963</v>
      </c>
      <c r="B695" t="s">
        <v>78</v>
      </c>
      <c r="C695" t="s">
        <v>8</v>
      </c>
      <c r="D695" s="4">
        <v>25</v>
      </c>
      <c r="E695" s="4"/>
      <c r="F695">
        <v>282</v>
      </c>
      <c r="H695" t="str">
        <f t="shared" si="10"/>
        <v>2023-02</v>
      </c>
      <c r="I695" t="str">
        <f>_xlfn.XLOOKUP(Table1[[#This Row],[Customer_ID]],Customers!$A$2:$A$30,Customers!$C$2:$C$30,"Not found")</f>
        <v>Carries forward</v>
      </c>
    </row>
    <row r="696" spans="1:9">
      <c r="A696" s="9">
        <v>44963</v>
      </c>
      <c r="B696" t="s">
        <v>78</v>
      </c>
      <c r="C696" t="s">
        <v>8</v>
      </c>
      <c r="D696" s="4">
        <v>10</v>
      </c>
      <c r="E696" s="4"/>
      <c r="F696">
        <v>282</v>
      </c>
      <c r="H696" t="str">
        <f t="shared" si="10"/>
        <v>2023-02</v>
      </c>
      <c r="I696" t="str">
        <f>_xlfn.XLOOKUP(Table1[[#This Row],[Customer_ID]],Customers!$A$2:$A$30,Customers!$C$2:$C$30,"Not found")</f>
        <v>Carries forward</v>
      </c>
    </row>
    <row r="697" spans="1:9">
      <c r="A697" s="9">
        <v>44964</v>
      </c>
      <c r="B697" t="s">
        <v>78</v>
      </c>
      <c r="C697" t="s">
        <v>8</v>
      </c>
      <c r="D697" s="4">
        <v>35</v>
      </c>
      <c r="E697" s="4"/>
      <c r="F697">
        <v>282</v>
      </c>
      <c r="H697" t="str">
        <f t="shared" si="10"/>
        <v>2023-02</v>
      </c>
      <c r="I697" t="str">
        <f>_xlfn.XLOOKUP(Table1[[#This Row],[Customer_ID]],Customers!$A$2:$A$30,Customers!$C$2:$C$30,"Not found")</f>
        <v>Carries forward</v>
      </c>
    </row>
    <row r="698" spans="1:9">
      <c r="A698" s="9">
        <v>44966</v>
      </c>
      <c r="B698" t="s">
        <v>78</v>
      </c>
      <c r="C698" t="s">
        <v>8</v>
      </c>
      <c r="D698" s="4">
        <v>25</v>
      </c>
      <c r="E698" s="4"/>
      <c r="F698">
        <v>282</v>
      </c>
      <c r="H698" t="str">
        <f t="shared" si="10"/>
        <v>2023-02</v>
      </c>
      <c r="I698" t="str">
        <f>_xlfn.XLOOKUP(Table1[[#This Row],[Customer_ID]],Customers!$A$2:$A$30,Customers!$C$2:$C$30,"Not found")</f>
        <v>Carries forward</v>
      </c>
    </row>
    <row r="699" spans="1:9">
      <c r="A699" s="9">
        <v>44966</v>
      </c>
      <c r="B699" t="s">
        <v>78</v>
      </c>
      <c r="C699" t="s">
        <v>8</v>
      </c>
      <c r="D699" s="4">
        <v>10</v>
      </c>
      <c r="E699" s="4"/>
      <c r="F699">
        <v>282</v>
      </c>
      <c r="H699" t="str">
        <f t="shared" si="10"/>
        <v>2023-02</v>
      </c>
      <c r="I699" t="str">
        <f>_xlfn.XLOOKUP(Table1[[#This Row],[Customer_ID]],Customers!$A$2:$A$30,Customers!$C$2:$C$30,"Not found")</f>
        <v>Carries forward</v>
      </c>
    </row>
    <row r="700" spans="1:9">
      <c r="A700" s="9">
        <v>44966</v>
      </c>
      <c r="B700" t="s">
        <v>78</v>
      </c>
      <c r="C700" t="s">
        <v>22</v>
      </c>
      <c r="D700" s="4">
        <v>5</v>
      </c>
      <c r="E700" s="4">
        <v>2126</v>
      </c>
      <c r="F700">
        <v>282</v>
      </c>
      <c r="G700" t="s">
        <v>140</v>
      </c>
      <c r="H700" t="str">
        <f t="shared" si="10"/>
        <v>2023-02</v>
      </c>
      <c r="I700" t="str">
        <f>_xlfn.XLOOKUP(Table1[[#This Row],[Customer_ID]],Customers!$A$2:$A$30,Customers!$C$2:$C$30,"Not found")</f>
        <v>Carries forward</v>
      </c>
    </row>
    <row r="701" spans="1:9">
      <c r="A701" s="9">
        <v>44967</v>
      </c>
      <c r="B701" t="s">
        <v>78</v>
      </c>
      <c r="C701" t="s">
        <v>8</v>
      </c>
      <c r="D701" s="4">
        <v>15</v>
      </c>
      <c r="E701" s="4"/>
      <c r="F701">
        <v>283</v>
      </c>
      <c r="H701" t="str">
        <f t="shared" si="10"/>
        <v>2023-02</v>
      </c>
      <c r="I701" t="str">
        <f>_xlfn.XLOOKUP(Table1[[#This Row],[Customer_ID]],Customers!$A$2:$A$30,Customers!$C$2:$C$30,"Not found")</f>
        <v>Carries forward</v>
      </c>
    </row>
    <row r="702" spans="1:9">
      <c r="A702" s="9">
        <v>44967</v>
      </c>
      <c r="B702" t="s">
        <v>78</v>
      </c>
      <c r="C702" t="s">
        <v>8</v>
      </c>
      <c r="D702" s="4">
        <v>77</v>
      </c>
      <c r="E702" s="4"/>
      <c r="F702">
        <v>283</v>
      </c>
      <c r="H702" t="str">
        <f t="shared" si="10"/>
        <v>2023-02</v>
      </c>
      <c r="I702" t="str">
        <f>_xlfn.XLOOKUP(Table1[[#This Row],[Customer_ID]],Customers!$A$2:$A$30,Customers!$C$2:$C$30,"Not found")</f>
        <v>Carries forward</v>
      </c>
    </row>
    <row r="703" spans="1:9">
      <c r="A703" s="9">
        <v>44968</v>
      </c>
      <c r="B703" t="s">
        <v>78</v>
      </c>
      <c r="C703" t="s">
        <v>8</v>
      </c>
      <c r="D703" s="4">
        <v>10</v>
      </c>
      <c r="E703" s="4"/>
      <c r="F703">
        <v>283</v>
      </c>
      <c r="H703" t="str">
        <f t="shared" si="10"/>
        <v>2023-02</v>
      </c>
      <c r="I703" t="str">
        <f>_xlfn.XLOOKUP(Table1[[#This Row],[Customer_ID]],Customers!$A$2:$A$30,Customers!$C$2:$C$30,"Not found")</f>
        <v>Carries forward</v>
      </c>
    </row>
    <row r="704" spans="1:9">
      <c r="A704" s="9">
        <v>44968</v>
      </c>
      <c r="B704" t="s">
        <v>78</v>
      </c>
      <c r="C704" t="s">
        <v>8</v>
      </c>
      <c r="D704" s="4">
        <v>10</v>
      </c>
      <c r="E704" s="4"/>
      <c r="F704">
        <v>283</v>
      </c>
      <c r="H704" t="str">
        <f t="shared" si="10"/>
        <v>2023-02</v>
      </c>
      <c r="I704" t="str">
        <f>_xlfn.XLOOKUP(Table1[[#This Row],[Customer_ID]],Customers!$A$2:$A$30,Customers!$C$2:$C$30,"Not found")</f>
        <v>Carries forward</v>
      </c>
    </row>
    <row r="705" spans="1:9">
      <c r="A705" s="9">
        <v>44970</v>
      </c>
      <c r="B705" t="s">
        <v>78</v>
      </c>
      <c r="C705" t="s">
        <v>8</v>
      </c>
      <c r="D705" s="4">
        <v>10</v>
      </c>
      <c r="E705" s="4"/>
      <c r="F705">
        <v>283</v>
      </c>
      <c r="H705" t="str">
        <f t="shared" si="10"/>
        <v>2023-02</v>
      </c>
      <c r="I705" t="str">
        <f>_xlfn.XLOOKUP(Table1[[#This Row],[Customer_ID]],Customers!$A$2:$A$30,Customers!$C$2:$C$30,"Not found")</f>
        <v>Carries forward</v>
      </c>
    </row>
    <row r="706" spans="1:9">
      <c r="A706" s="9">
        <v>44971</v>
      </c>
      <c r="B706" t="s">
        <v>78</v>
      </c>
      <c r="C706" t="s">
        <v>8</v>
      </c>
      <c r="D706" s="4">
        <v>25</v>
      </c>
      <c r="E706" s="4"/>
      <c r="F706">
        <v>283</v>
      </c>
      <c r="H706" t="str">
        <f t="shared" si="10"/>
        <v>2023-02</v>
      </c>
      <c r="I706" t="str">
        <f>_xlfn.XLOOKUP(Table1[[#This Row],[Customer_ID]],Customers!$A$2:$A$30,Customers!$C$2:$C$30,"Not found")</f>
        <v>Carries forward</v>
      </c>
    </row>
    <row r="707" spans="1:9">
      <c r="A707" s="9">
        <v>44974</v>
      </c>
      <c r="B707" t="s">
        <v>78</v>
      </c>
      <c r="C707" t="s">
        <v>8</v>
      </c>
      <c r="D707" s="4">
        <v>25</v>
      </c>
      <c r="E707" s="4">
        <v>2298</v>
      </c>
      <c r="F707">
        <v>283</v>
      </c>
      <c r="G707" t="s">
        <v>141</v>
      </c>
      <c r="H707" t="str">
        <f t="shared" ref="H707:H770" si="11">IF(A707="","",TEXT(A707,"yyyy-mm"))</f>
        <v>2023-02</v>
      </c>
      <c r="I707" t="str">
        <f>_xlfn.XLOOKUP(Table1[[#This Row],[Customer_ID]],Customers!$A$2:$A$30,Customers!$C$2:$C$30,"Not found")</f>
        <v>Carries forward</v>
      </c>
    </row>
    <row r="708" spans="1:9">
      <c r="A708" s="9"/>
      <c r="B708" t="s">
        <v>78</v>
      </c>
      <c r="C708" t="s">
        <v>14</v>
      </c>
      <c r="D708" s="4">
        <v>900</v>
      </c>
      <c r="E708" s="4">
        <v>1398</v>
      </c>
      <c r="F708">
        <v>283</v>
      </c>
      <c r="G708" t="s">
        <v>142</v>
      </c>
      <c r="H708" t="str">
        <f t="shared" si="11"/>
        <v/>
      </c>
      <c r="I708" t="str">
        <f>_xlfn.XLOOKUP(Table1[[#This Row],[Customer_ID]],Customers!$A$2:$A$30,Customers!$C$2:$C$30,"Not found")</f>
        <v>Carries forward</v>
      </c>
    </row>
    <row r="709" spans="1:9">
      <c r="A709" s="9">
        <v>44974</v>
      </c>
      <c r="B709" t="s">
        <v>78</v>
      </c>
      <c r="C709" t="s">
        <v>8</v>
      </c>
      <c r="D709" s="4">
        <v>37</v>
      </c>
      <c r="E709" s="4"/>
      <c r="F709">
        <v>283</v>
      </c>
      <c r="H709" t="str">
        <f t="shared" si="11"/>
        <v>2023-02</v>
      </c>
      <c r="I709" t="str">
        <f>_xlfn.XLOOKUP(Table1[[#This Row],[Customer_ID]],Customers!$A$2:$A$30,Customers!$C$2:$C$30,"Not found")</f>
        <v>Carries forward</v>
      </c>
    </row>
    <row r="710" spans="1:9">
      <c r="A710" s="9">
        <v>44975</v>
      </c>
      <c r="B710" t="s">
        <v>78</v>
      </c>
      <c r="C710" t="s">
        <v>8</v>
      </c>
      <c r="D710" s="4">
        <v>25</v>
      </c>
      <c r="E710" s="4"/>
      <c r="F710">
        <v>283</v>
      </c>
      <c r="H710" t="str">
        <f t="shared" si="11"/>
        <v>2023-02</v>
      </c>
      <c r="I710" t="str">
        <f>_xlfn.XLOOKUP(Table1[[#This Row],[Customer_ID]],Customers!$A$2:$A$30,Customers!$C$2:$C$30,"Not found")</f>
        <v>Carries forward</v>
      </c>
    </row>
    <row r="711" spans="1:9">
      <c r="A711" s="9">
        <v>44975</v>
      </c>
      <c r="B711" t="s">
        <v>78</v>
      </c>
      <c r="C711" t="s">
        <v>8</v>
      </c>
      <c r="D711" s="4">
        <v>16</v>
      </c>
      <c r="E711" s="4"/>
      <c r="F711">
        <v>283</v>
      </c>
      <c r="H711" t="str">
        <f t="shared" si="11"/>
        <v>2023-02</v>
      </c>
      <c r="I711" t="str">
        <f>_xlfn.XLOOKUP(Table1[[#This Row],[Customer_ID]],Customers!$A$2:$A$30,Customers!$C$2:$C$30,"Not found")</f>
        <v>Carries forward</v>
      </c>
    </row>
    <row r="712" spans="1:9">
      <c r="A712" s="9">
        <v>44976</v>
      </c>
      <c r="B712" t="s">
        <v>78</v>
      </c>
      <c r="C712" t="s">
        <v>8</v>
      </c>
      <c r="D712" s="4">
        <v>35</v>
      </c>
      <c r="E712" s="4"/>
      <c r="F712">
        <v>283</v>
      </c>
      <c r="H712" t="str">
        <f t="shared" si="11"/>
        <v>2023-02</v>
      </c>
      <c r="I712" t="str">
        <f>_xlfn.XLOOKUP(Table1[[#This Row],[Customer_ID]],Customers!$A$2:$A$30,Customers!$C$2:$C$30,"Not found")</f>
        <v>Carries forward</v>
      </c>
    </row>
    <row r="713" spans="1:9">
      <c r="A713" s="9">
        <v>44977</v>
      </c>
      <c r="B713" t="s">
        <v>78</v>
      </c>
      <c r="C713" t="s">
        <v>8</v>
      </c>
      <c r="D713" s="4">
        <v>37</v>
      </c>
      <c r="E713" s="4"/>
      <c r="F713">
        <v>283</v>
      </c>
      <c r="H713" t="str">
        <f t="shared" si="11"/>
        <v>2023-02</v>
      </c>
      <c r="I713" t="str">
        <f>_xlfn.XLOOKUP(Table1[[#This Row],[Customer_ID]],Customers!$A$2:$A$30,Customers!$C$2:$C$30,"Not found")</f>
        <v>Carries forward</v>
      </c>
    </row>
    <row r="714" spans="1:9">
      <c r="A714" s="9">
        <v>44977</v>
      </c>
      <c r="B714" t="s">
        <v>78</v>
      </c>
      <c r="C714" t="s">
        <v>8</v>
      </c>
      <c r="D714" s="4">
        <v>10</v>
      </c>
      <c r="E714" s="4"/>
      <c r="F714">
        <v>283</v>
      </c>
      <c r="H714" t="str">
        <f t="shared" si="11"/>
        <v>2023-02</v>
      </c>
      <c r="I714" t="str">
        <f>_xlfn.XLOOKUP(Table1[[#This Row],[Customer_ID]],Customers!$A$2:$A$30,Customers!$C$2:$C$30,"Not found")</f>
        <v>Carries forward</v>
      </c>
    </row>
    <row r="715" spans="1:9">
      <c r="A715" s="9">
        <v>44978</v>
      </c>
      <c r="B715" t="s">
        <v>78</v>
      </c>
      <c r="C715" t="s">
        <v>8</v>
      </c>
      <c r="D715" s="4">
        <v>10</v>
      </c>
      <c r="E715" s="4"/>
      <c r="F715">
        <v>283</v>
      </c>
      <c r="H715" t="str">
        <f t="shared" si="11"/>
        <v>2023-02</v>
      </c>
      <c r="I715" t="str">
        <f>_xlfn.XLOOKUP(Table1[[#This Row],[Customer_ID]],Customers!$A$2:$A$30,Customers!$C$2:$C$30,"Not found")</f>
        <v>Carries forward</v>
      </c>
    </row>
    <row r="716" spans="1:9">
      <c r="A716" s="9">
        <v>44978</v>
      </c>
      <c r="B716" t="s">
        <v>78</v>
      </c>
      <c r="C716" t="s">
        <v>8</v>
      </c>
      <c r="D716" s="4">
        <v>25</v>
      </c>
      <c r="E716" s="4"/>
      <c r="F716">
        <v>283</v>
      </c>
      <c r="H716" t="str">
        <f t="shared" si="11"/>
        <v>2023-02</v>
      </c>
      <c r="I716" t="str">
        <f>_xlfn.XLOOKUP(Table1[[#This Row],[Customer_ID]],Customers!$A$2:$A$30,Customers!$C$2:$C$30,"Not found")</f>
        <v>Carries forward</v>
      </c>
    </row>
    <row r="717" spans="1:9">
      <c r="A717" s="9">
        <v>44979</v>
      </c>
      <c r="B717" t="s">
        <v>78</v>
      </c>
      <c r="C717" t="s">
        <v>8</v>
      </c>
      <c r="D717" s="4">
        <v>25</v>
      </c>
      <c r="E717" s="4"/>
      <c r="F717">
        <v>283</v>
      </c>
      <c r="H717" t="str">
        <f t="shared" si="11"/>
        <v>2023-02</v>
      </c>
      <c r="I717" t="str">
        <f>_xlfn.XLOOKUP(Table1[[#This Row],[Customer_ID]],Customers!$A$2:$A$30,Customers!$C$2:$C$30,"Not found")</f>
        <v>Carries forward</v>
      </c>
    </row>
    <row r="718" spans="1:9">
      <c r="A718" s="9">
        <v>44980</v>
      </c>
      <c r="B718" t="s">
        <v>78</v>
      </c>
      <c r="C718" t="s">
        <v>8</v>
      </c>
      <c r="D718" s="4">
        <v>25</v>
      </c>
      <c r="E718" s="4"/>
      <c r="F718">
        <v>283</v>
      </c>
      <c r="H718" t="str">
        <f t="shared" si="11"/>
        <v>2023-02</v>
      </c>
      <c r="I718" t="str">
        <f>_xlfn.XLOOKUP(Table1[[#This Row],[Customer_ID]],Customers!$A$2:$A$30,Customers!$C$2:$C$30,"Not found")</f>
        <v>Carries forward</v>
      </c>
    </row>
    <row r="719" spans="1:9">
      <c r="A719" s="9">
        <v>44980</v>
      </c>
      <c r="B719" t="s">
        <v>78</v>
      </c>
      <c r="C719" t="s">
        <v>8</v>
      </c>
      <c r="D719" s="4">
        <v>32</v>
      </c>
      <c r="E719" s="4"/>
      <c r="F719">
        <v>283</v>
      </c>
      <c r="H719" t="str">
        <f t="shared" si="11"/>
        <v>2023-02</v>
      </c>
      <c r="I719" t="str">
        <f>_xlfn.XLOOKUP(Table1[[#This Row],[Customer_ID]],Customers!$A$2:$A$30,Customers!$C$2:$C$30,"Not found")</f>
        <v>Carries forward</v>
      </c>
    </row>
    <row r="720" spans="1:9">
      <c r="A720" s="9">
        <v>44981</v>
      </c>
      <c r="B720" t="s">
        <v>78</v>
      </c>
      <c r="C720" t="s">
        <v>8</v>
      </c>
      <c r="D720" s="4">
        <v>25</v>
      </c>
      <c r="E720" s="4"/>
      <c r="F720">
        <v>283</v>
      </c>
      <c r="H720" t="str">
        <f t="shared" si="11"/>
        <v>2023-02</v>
      </c>
      <c r="I720" t="str">
        <f>_xlfn.XLOOKUP(Table1[[#This Row],[Customer_ID]],Customers!$A$2:$A$30,Customers!$C$2:$C$30,"Not found")</f>
        <v>Carries forward</v>
      </c>
    </row>
    <row r="721" spans="1:9">
      <c r="A721" s="9">
        <v>44981</v>
      </c>
      <c r="B721" t="s">
        <v>78</v>
      </c>
      <c r="C721" t="s">
        <v>8</v>
      </c>
      <c r="D721" s="4">
        <v>20</v>
      </c>
      <c r="E721" s="4"/>
      <c r="F721">
        <v>283</v>
      </c>
      <c r="H721" t="str">
        <f t="shared" si="11"/>
        <v>2023-02</v>
      </c>
      <c r="I721" t="str">
        <f>_xlfn.XLOOKUP(Table1[[#This Row],[Customer_ID]],Customers!$A$2:$A$30,Customers!$C$2:$C$30,"Not found")</f>
        <v>Carries forward</v>
      </c>
    </row>
    <row r="722" spans="1:9">
      <c r="A722" s="9">
        <v>44982</v>
      </c>
      <c r="B722" t="s">
        <v>78</v>
      </c>
      <c r="C722" t="s">
        <v>8</v>
      </c>
      <c r="D722" s="4">
        <v>25</v>
      </c>
      <c r="E722" s="4"/>
      <c r="F722">
        <v>283</v>
      </c>
      <c r="H722" t="str">
        <f t="shared" si="11"/>
        <v>2023-02</v>
      </c>
      <c r="I722" t="str">
        <f>_xlfn.XLOOKUP(Table1[[#This Row],[Customer_ID]],Customers!$A$2:$A$30,Customers!$C$2:$C$30,"Not found")</f>
        <v>Carries forward</v>
      </c>
    </row>
    <row r="723" spans="1:9">
      <c r="A723" s="9">
        <v>44982</v>
      </c>
      <c r="B723" t="s">
        <v>78</v>
      </c>
      <c r="C723" t="s">
        <v>8</v>
      </c>
      <c r="D723" s="4">
        <v>48</v>
      </c>
      <c r="E723" s="4"/>
      <c r="F723">
        <v>283</v>
      </c>
      <c r="H723" t="str">
        <f t="shared" si="11"/>
        <v>2023-02</v>
      </c>
      <c r="I723" t="str">
        <f>_xlfn.XLOOKUP(Table1[[#This Row],[Customer_ID]],Customers!$A$2:$A$30,Customers!$C$2:$C$30,"Not found")</f>
        <v>Carries forward</v>
      </c>
    </row>
    <row r="724" spans="1:9">
      <c r="A724" s="9">
        <v>44983</v>
      </c>
      <c r="B724" t="s">
        <v>78</v>
      </c>
      <c r="C724" t="s">
        <v>8</v>
      </c>
      <c r="D724" s="4">
        <v>25</v>
      </c>
      <c r="E724" s="4"/>
      <c r="F724">
        <v>283</v>
      </c>
      <c r="H724" t="str">
        <f t="shared" si="11"/>
        <v>2023-02</v>
      </c>
      <c r="I724" t="str">
        <f>_xlfn.XLOOKUP(Table1[[#This Row],[Customer_ID]],Customers!$A$2:$A$30,Customers!$C$2:$C$30,"Not found")</f>
        <v>Carries forward</v>
      </c>
    </row>
    <row r="725" spans="1:9">
      <c r="A725" s="9">
        <v>44983</v>
      </c>
      <c r="B725" t="s">
        <v>78</v>
      </c>
      <c r="C725" t="s">
        <v>8</v>
      </c>
      <c r="D725" s="4">
        <v>35</v>
      </c>
      <c r="E725" s="4"/>
      <c r="F725">
        <v>283</v>
      </c>
      <c r="H725" t="str">
        <f t="shared" si="11"/>
        <v>2023-02</v>
      </c>
      <c r="I725" t="str">
        <f>_xlfn.XLOOKUP(Table1[[#This Row],[Customer_ID]],Customers!$A$2:$A$30,Customers!$C$2:$C$30,"Not found")</f>
        <v>Carries forward</v>
      </c>
    </row>
    <row r="726" spans="1:9">
      <c r="A726" s="9">
        <v>44985</v>
      </c>
      <c r="B726" t="s">
        <v>78</v>
      </c>
      <c r="C726" t="s">
        <v>8</v>
      </c>
      <c r="D726" s="4">
        <v>15</v>
      </c>
      <c r="E726" s="4"/>
      <c r="F726">
        <v>283</v>
      </c>
      <c r="H726" t="str">
        <f t="shared" si="11"/>
        <v>2023-02</v>
      </c>
      <c r="I726" t="str">
        <f>_xlfn.XLOOKUP(Table1[[#This Row],[Customer_ID]],Customers!$A$2:$A$30,Customers!$C$2:$C$30,"Not found")</f>
        <v>Carries forward</v>
      </c>
    </row>
    <row r="727" spans="1:9">
      <c r="A727" s="9">
        <v>44985</v>
      </c>
      <c r="B727" t="s">
        <v>78</v>
      </c>
      <c r="C727" t="s">
        <v>8</v>
      </c>
      <c r="D727" s="4">
        <v>42</v>
      </c>
      <c r="E727" s="4"/>
      <c r="F727">
        <v>283</v>
      </c>
      <c r="G727" t="s">
        <v>143</v>
      </c>
      <c r="H727" t="str">
        <f t="shared" si="11"/>
        <v>2023-02</v>
      </c>
      <c r="I727" t="str">
        <f>_xlfn.XLOOKUP(Table1[[#This Row],[Customer_ID]],Customers!$A$2:$A$30,Customers!$C$2:$C$30,"Not found")</f>
        <v>Carries forward</v>
      </c>
    </row>
    <row r="728" spans="1:9">
      <c r="A728" s="9">
        <v>44986</v>
      </c>
      <c r="B728" t="s">
        <v>78</v>
      </c>
      <c r="C728" t="s">
        <v>8</v>
      </c>
      <c r="D728" s="4">
        <v>30</v>
      </c>
      <c r="E728" s="4"/>
      <c r="F728">
        <v>283</v>
      </c>
      <c r="H728" t="str">
        <f t="shared" si="11"/>
        <v>2023-03</v>
      </c>
      <c r="I728" t="str">
        <f>_xlfn.XLOOKUP(Table1[[#This Row],[Customer_ID]],Customers!$A$2:$A$30,Customers!$C$2:$C$30,"Not found")</f>
        <v>Carries forward</v>
      </c>
    </row>
    <row r="729" spans="1:9">
      <c r="A729" s="9">
        <v>44987</v>
      </c>
      <c r="B729" t="s">
        <v>78</v>
      </c>
      <c r="C729" t="s">
        <v>8</v>
      </c>
      <c r="D729" s="4">
        <v>30</v>
      </c>
      <c r="E729" s="4"/>
      <c r="F729">
        <v>283</v>
      </c>
      <c r="H729" t="str">
        <f t="shared" si="11"/>
        <v>2023-03</v>
      </c>
      <c r="I729" t="str">
        <f>_xlfn.XLOOKUP(Table1[[#This Row],[Customer_ID]],Customers!$A$2:$A$30,Customers!$C$2:$C$30,"Not found")</f>
        <v>Carries forward</v>
      </c>
    </row>
    <row r="730" spans="1:9">
      <c r="A730" s="9">
        <v>44987</v>
      </c>
      <c r="B730" t="s">
        <v>78</v>
      </c>
      <c r="C730" t="s">
        <v>8</v>
      </c>
      <c r="D730" s="4">
        <v>30</v>
      </c>
      <c r="E730" s="4"/>
      <c r="F730">
        <v>283</v>
      </c>
      <c r="H730" t="str">
        <f t="shared" si="11"/>
        <v>2023-03</v>
      </c>
      <c r="I730" t="str">
        <f>_xlfn.XLOOKUP(Table1[[#This Row],[Customer_ID]],Customers!$A$2:$A$30,Customers!$C$2:$C$30,"Not found")</f>
        <v>Carries forward</v>
      </c>
    </row>
    <row r="731" spans="1:9">
      <c r="A731" s="9">
        <v>44987</v>
      </c>
      <c r="B731" t="s">
        <v>78</v>
      </c>
      <c r="C731" t="s">
        <v>8</v>
      </c>
      <c r="D731" s="4">
        <v>30</v>
      </c>
      <c r="E731" s="4"/>
      <c r="F731">
        <v>283</v>
      </c>
      <c r="H731" t="str">
        <f t="shared" si="11"/>
        <v>2023-03</v>
      </c>
      <c r="I731" t="str">
        <f>_xlfn.XLOOKUP(Table1[[#This Row],[Customer_ID]],Customers!$A$2:$A$30,Customers!$C$2:$C$30,"Not found")</f>
        <v>Carries forward</v>
      </c>
    </row>
    <row r="732" spans="1:9">
      <c r="A732" s="9">
        <v>44988</v>
      </c>
      <c r="B732" t="s">
        <v>78</v>
      </c>
      <c r="C732" t="s">
        <v>8</v>
      </c>
      <c r="D732" s="4">
        <v>20</v>
      </c>
      <c r="E732" s="4"/>
      <c r="F732">
        <v>283</v>
      </c>
      <c r="H732" t="str">
        <f t="shared" si="11"/>
        <v>2023-03</v>
      </c>
      <c r="I732" t="str">
        <f>_xlfn.XLOOKUP(Table1[[#This Row],[Customer_ID]],Customers!$A$2:$A$30,Customers!$C$2:$C$30,"Not found")</f>
        <v>Carries forward</v>
      </c>
    </row>
    <row r="733" spans="1:9">
      <c r="A733" s="9">
        <v>44989</v>
      </c>
      <c r="B733" t="s">
        <v>78</v>
      </c>
      <c r="C733" t="s">
        <v>8</v>
      </c>
      <c r="D733" s="4">
        <v>25</v>
      </c>
      <c r="E733" s="4"/>
      <c r="F733">
        <v>283</v>
      </c>
      <c r="H733" t="str">
        <f t="shared" si="11"/>
        <v>2023-03</v>
      </c>
      <c r="I733" t="str">
        <f>_xlfn.XLOOKUP(Table1[[#This Row],[Customer_ID]],Customers!$A$2:$A$30,Customers!$C$2:$C$30,"Not found")</f>
        <v>Carries forward</v>
      </c>
    </row>
    <row r="734" spans="1:9">
      <c r="A734" s="9">
        <v>44990</v>
      </c>
      <c r="B734" t="s">
        <v>78</v>
      </c>
      <c r="C734" t="s">
        <v>8</v>
      </c>
      <c r="D734" s="4">
        <v>25</v>
      </c>
      <c r="E734" s="4"/>
      <c r="F734">
        <v>283</v>
      </c>
      <c r="H734" t="str">
        <f t="shared" si="11"/>
        <v>2023-03</v>
      </c>
      <c r="I734" t="str">
        <f>_xlfn.XLOOKUP(Table1[[#This Row],[Customer_ID]],Customers!$A$2:$A$30,Customers!$C$2:$C$30,"Not found")</f>
        <v>Carries forward</v>
      </c>
    </row>
    <row r="735" spans="1:9">
      <c r="A735" s="9">
        <v>44991</v>
      </c>
      <c r="B735" t="s">
        <v>78</v>
      </c>
      <c r="C735" t="s">
        <v>8</v>
      </c>
      <c r="D735" s="4">
        <v>25</v>
      </c>
      <c r="E735" s="4"/>
      <c r="F735">
        <v>283</v>
      </c>
      <c r="H735" t="str">
        <f t="shared" si="11"/>
        <v>2023-03</v>
      </c>
      <c r="I735" t="str">
        <f>_xlfn.XLOOKUP(Table1[[#This Row],[Customer_ID]],Customers!$A$2:$A$30,Customers!$C$2:$C$30,"Not found")</f>
        <v>Carries forward</v>
      </c>
    </row>
    <row r="736" spans="1:9">
      <c r="A736" s="9">
        <v>44991</v>
      </c>
      <c r="B736" t="s">
        <v>78</v>
      </c>
      <c r="C736" t="s">
        <v>8</v>
      </c>
      <c r="D736" s="4">
        <v>15</v>
      </c>
      <c r="E736" s="4"/>
      <c r="F736">
        <v>283</v>
      </c>
      <c r="H736" t="str">
        <f t="shared" si="11"/>
        <v>2023-03</v>
      </c>
      <c r="I736" t="str">
        <f>_xlfn.XLOOKUP(Table1[[#This Row],[Customer_ID]],Customers!$A$2:$A$30,Customers!$C$2:$C$30,"Not found")</f>
        <v>Carries forward</v>
      </c>
    </row>
    <row r="737" spans="1:9">
      <c r="A737" s="9">
        <v>44992</v>
      </c>
      <c r="B737" t="s">
        <v>78</v>
      </c>
      <c r="C737" t="s">
        <v>8</v>
      </c>
      <c r="D737" s="4">
        <v>10</v>
      </c>
      <c r="E737" s="4"/>
      <c r="F737">
        <v>283</v>
      </c>
      <c r="H737" t="str">
        <f t="shared" si="11"/>
        <v>2023-03</v>
      </c>
      <c r="I737" t="str">
        <f>_xlfn.XLOOKUP(Table1[[#This Row],[Customer_ID]],Customers!$A$2:$A$30,Customers!$C$2:$C$30,"Not found")</f>
        <v>Carries forward</v>
      </c>
    </row>
    <row r="738" spans="1:9">
      <c r="A738" s="9">
        <v>44993</v>
      </c>
      <c r="B738" t="s">
        <v>78</v>
      </c>
      <c r="C738" t="s">
        <v>8</v>
      </c>
      <c r="D738" s="4">
        <v>25</v>
      </c>
      <c r="E738" s="4"/>
      <c r="F738">
        <v>283</v>
      </c>
      <c r="H738" t="str">
        <f t="shared" si="11"/>
        <v>2023-03</v>
      </c>
      <c r="I738" t="str">
        <f>_xlfn.XLOOKUP(Table1[[#This Row],[Customer_ID]],Customers!$A$2:$A$30,Customers!$C$2:$C$30,"Not found")</f>
        <v>Carries forward</v>
      </c>
    </row>
    <row r="739" spans="1:9">
      <c r="A739" s="9">
        <v>44994</v>
      </c>
      <c r="B739" t="s">
        <v>78</v>
      </c>
      <c r="C739" t="s">
        <v>8</v>
      </c>
      <c r="D739" s="4">
        <v>25</v>
      </c>
      <c r="E739" s="4"/>
      <c r="F739">
        <v>283</v>
      </c>
      <c r="H739" t="str">
        <f t="shared" si="11"/>
        <v>2023-03</v>
      </c>
      <c r="I739" t="str">
        <f>_xlfn.XLOOKUP(Table1[[#This Row],[Customer_ID]],Customers!$A$2:$A$30,Customers!$C$2:$C$30,"Not found")</f>
        <v>Carries forward</v>
      </c>
    </row>
    <row r="740" spans="1:9">
      <c r="A740" s="9">
        <v>44994</v>
      </c>
      <c r="B740" t="s">
        <v>78</v>
      </c>
      <c r="C740" t="s">
        <v>8</v>
      </c>
      <c r="D740" s="4">
        <v>10</v>
      </c>
      <c r="E740" s="4"/>
      <c r="F740">
        <v>283</v>
      </c>
      <c r="H740" t="str">
        <f t="shared" si="11"/>
        <v>2023-03</v>
      </c>
      <c r="I740" t="str">
        <f>_xlfn.XLOOKUP(Table1[[#This Row],[Customer_ID]],Customers!$A$2:$A$30,Customers!$C$2:$C$30,"Not found")</f>
        <v>Carries forward</v>
      </c>
    </row>
    <row r="741" spans="1:9">
      <c r="A741" s="9">
        <v>44997</v>
      </c>
      <c r="B741" t="s">
        <v>78</v>
      </c>
      <c r="C741" t="s">
        <v>8</v>
      </c>
      <c r="D741" s="4">
        <v>10</v>
      </c>
      <c r="E741" s="4"/>
      <c r="F741">
        <v>283</v>
      </c>
      <c r="H741" t="str">
        <f t="shared" si="11"/>
        <v>2023-03</v>
      </c>
      <c r="I741" t="str">
        <f>_xlfn.XLOOKUP(Table1[[#This Row],[Customer_ID]],Customers!$A$2:$A$30,Customers!$C$2:$C$30,"Not found")</f>
        <v>Carries forward</v>
      </c>
    </row>
    <row r="742" spans="1:9">
      <c r="A742" s="9">
        <v>44997</v>
      </c>
      <c r="B742" t="s">
        <v>78</v>
      </c>
      <c r="C742" t="s">
        <v>22</v>
      </c>
      <c r="D742" s="4">
        <v>14</v>
      </c>
      <c r="E742" s="4">
        <v>2234</v>
      </c>
      <c r="F742">
        <v>283</v>
      </c>
      <c r="G742" t="s">
        <v>167</v>
      </c>
      <c r="H742" t="str">
        <f t="shared" si="11"/>
        <v>2023-03</v>
      </c>
      <c r="I742" t="str">
        <f>_xlfn.XLOOKUP(Table1[[#This Row],[Customer_ID]],Customers!$A$2:$A$30,Customers!$C$2:$C$30,"Not found")</f>
        <v>Carries forward</v>
      </c>
    </row>
    <row r="743" spans="1:9">
      <c r="A743" s="9">
        <v>44999</v>
      </c>
      <c r="B743" t="s">
        <v>78</v>
      </c>
      <c r="C743" t="s">
        <v>14</v>
      </c>
      <c r="D743" s="4">
        <v>1200</v>
      </c>
      <c r="E743" s="4">
        <v>1034</v>
      </c>
      <c r="F743">
        <v>283</v>
      </c>
      <c r="G743" t="s">
        <v>144</v>
      </c>
      <c r="H743" t="str">
        <f t="shared" si="11"/>
        <v>2023-03</v>
      </c>
      <c r="I743" t="str">
        <f>_xlfn.XLOOKUP(Table1[[#This Row],[Customer_ID]],Customers!$A$2:$A$30,Customers!$C$2:$C$30,"Not found")</f>
        <v>Carries forward</v>
      </c>
    </row>
    <row r="744" spans="1:9">
      <c r="A744" s="9">
        <v>44999</v>
      </c>
      <c r="B744" t="s">
        <v>78</v>
      </c>
      <c r="C744" t="s">
        <v>8</v>
      </c>
      <c r="D744" s="4">
        <v>10</v>
      </c>
      <c r="E744" s="4"/>
      <c r="F744">
        <v>283</v>
      </c>
      <c r="H744" t="str">
        <f t="shared" si="11"/>
        <v>2023-03</v>
      </c>
      <c r="I744" t="str">
        <f>_xlfn.XLOOKUP(Table1[[#This Row],[Customer_ID]],Customers!$A$2:$A$30,Customers!$C$2:$C$30,"Not found")</f>
        <v>Carries forward</v>
      </c>
    </row>
    <row r="745" spans="1:9">
      <c r="A745" s="9">
        <v>44999</v>
      </c>
      <c r="B745" t="s">
        <v>78</v>
      </c>
      <c r="C745" t="s">
        <v>8</v>
      </c>
      <c r="D745" s="4">
        <v>5</v>
      </c>
      <c r="E745" s="4"/>
      <c r="F745">
        <v>283</v>
      </c>
      <c r="H745" t="str">
        <f t="shared" si="11"/>
        <v>2023-03</v>
      </c>
      <c r="I745" t="str">
        <f>_xlfn.XLOOKUP(Table1[[#This Row],[Customer_ID]],Customers!$A$2:$A$30,Customers!$C$2:$C$30,"Not found")</f>
        <v>Carries forward</v>
      </c>
    </row>
    <row r="746" spans="1:9">
      <c r="A746" s="9">
        <v>45001</v>
      </c>
      <c r="B746" t="s">
        <v>78</v>
      </c>
      <c r="C746" t="s">
        <v>8</v>
      </c>
      <c r="D746" s="4">
        <v>10</v>
      </c>
      <c r="E746" s="4"/>
      <c r="F746">
        <v>283</v>
      </c>
      <c r="H746" t="str">
        <f t="shared" si="11"/>
        <v>2023-03</v>
      </c>
      <c r="I746" t="str">
        <f>_xlfn.XLOOKUP(Table1[[#This Row],[Customer_ID]],Customers!$A$2:$A$30,Customers!$C$2:$C$30,"Not found")</f>
        <v>Carries forward</v>
      </c>
    </row>
    <row r="747" spans="1:9">
      <c r="A747" s="9">
        <v>45001</v>
      </c>
      <c r="B747" t="s">
        <v>78</v>
      </c>
      <c r="C747" t="s">
        <v>8</v>
      </c>
      <c r="D747" s="4">
        <v>72</v>
      </c>
      <c r="E747" s="4"/>
      <c r="F747">
        <v>283</v>
      </c>
      <c r="H747" t="str">
        <f t="shared" si="11"/>
        <v>2023-03</v>
      </c>
      <c r="I747" t="str">
        <f>_xlfn.XLOOKUP(Table1[[#This Row],[Customer_ID]],Customers!$A$2:$A$30,Customers!$C$2:$C$30,"Not found")</f>
        <v>Carries forward</v>
      </c>
    </row>
    <row r="748" spans="1:9">
      <c r="A748" s="9">
        <v>45005</v>
      </c>
      <c r="B748" t="s">
        <v>78</v>
      </c>
      <c r="C748" t="s">
        <v>8</v>
      </c>
      <c r="D748" s="4">
        <v>22</v>
      </c>
      <c r="E748" s="4"/>
      <c r="F748">
        <v>283</v>
      </c>
      <c r="H748" t="str">
        <f t="shared" si="11"/>
        <v>2023-03</v>
      </c>
      <c r="I748" t="str">
        <f>_xlfn.XLOOKUP(Table1[[#This Row],[Customer_ID]],Customers!$A$2:$A$30,Customers!$C$2:$C$30,"Not found")</f>
        <v>Carries forward</v>
      </c>
    </row>
    <row r="749" spans="1:9">
      <c r="A749" s="9">
        <v>45006</v>
      </c>
      <c r="B749" t="s">
        <v>78</v>
      </c>
      <c r="C749" t="s">
        <v>8</v>
      </c>
      <c r="D749" s="4">
        <v>25</v>
      </c>
      <c r="E749" s="4"/>
      <c r="F749">
        <v>283</v>
      </c>
      <c r="H749" t="str">
        <f t="shared" si="11"/>
        <v>2023-03</v>
      </c>
      <c r="I749" t="str">
        <f>_xlfn.XLOOKUP(Table1[[#This Row],[Customer_ID]],Customers!$A$2:$A$30,Customers!$C$2:$C$30,"Not found")</f>
        <v>Carries forward</v>
      </c>
    </row>
    <row r="750" spans="1:9">
      <c r="A750" s="9">
        <v>45006</v>
      </c>
      <c r="B750" t="s">
        <v>78</v>
      </c>
      <c r="C750" t="s">
        <v>8</v>
      </c>
      <c r="D750" s="4">
        <v>85</v>
      </c>
      <c r="E750" s="4"/>
      <c r="F750">
        <v>283</v>
      </c>
      <c r="H750" t="str">
        <f t="shared" si="11"/>
        <v>2023-03</v>
      </c>
      <c r="I750" t="str">
        <f>_xlfn.XLOOKUP(Table1[[#This Row],[Customer_ID]],Customers!$A$2:$A$30,Customers!$C$2:$C$30,"Not found")</f>
        <v>Carries forward</v>
      </c>
    </row>
    <row r="751" spans="1:9">
      <c r="A751" s="9">
        <v>45008</v>
      </c>
      <c r="B751" t="s">
        <v>78</v>
      </c>
      <c r="C751" t="s">
        <v>8</v>
      </c>
      <c r="D751" s="4">
        <v>30</v>
      </c>
      <c r="E751" s="4"/>
      <c r="F751">
        <v>283</v>
      </c>
      <c r="H751" t="str">
        <f t="shared" si="11"/>
        <v>2023-03</v>
      </c>
      <c r="I751" t="str">
        <f>_xlfn.XLOOKUP(Table1[[#This Row],[Customer_ID]],Customers!$A$2:$A$30,Customers!$C$2:$C$30,"Not found")</f>
        <v>Carries forward</v>
      </c>
    </row>
    <row r="752" spans="1:9">
      <c r="A752" s="9">
        <v>45010</v>
      </c>
      <c r="B752" t="s">
        <v>78</v>
      </c>
      <c r="C752" t="s">
        <v>8</v>
      </c>
      <c r="D752" s="4">
        <v>22</v>
      </c>
      <c r="E752" s="4"/>
      <c r="F752">
        <v>283</v>
      </c>
      <c r="H752" t="str">
        <f t="shared" si="11"/>
        <v>2023-03</v>
      </c>
      <c r="I752" t="str">
        <f>_xlfn.XLOOKUP(Table1[[#This Row],[Customer_ID]],Customers!$A$2:$A$30,Customers!$C$2:$C$30,"Not found")</f>
        <v>Carries forward</v>
      </c>
    </row>
    <row r="753" spans="1:9">
      <c r="A753" s="9">
        <v>45010</v>
      </c>
      <c r="B753" t="s">
        <v>78</v>
      </c>
      <c r="C753" t="s">
        <v>8</v>
      </c>
      <c r="D753" s="4">
        <v>30</v>
      </c>
      <c r="E753" s="4"/>
      <c r="F753">
        <v>283</v>
      </c>
      <c r="H753" t="str">
        <f t="shared" si="11"/>
        <v>2023-03</v>
      </c>
      <c r="I753" t="str">
        <f>_xlfn.XLOOKUP(Table1[[#This Row],[Customer_ID]],Customers!$A$2:$A$30,Customers!$C$2:$C$30,"Not found")</f>
        <v>Carries forward</v>
      </c>
    </row>
    <row r="754" spans="1:9">
      <c r="A754" s="9">
        <v>45012</v>
      </c>
      <c r="B754" t="s">
        <v>78</v>
      </c>
      <c r="C754" t="s">
        <v>8</v>
      </c>
      <c r="D754" s="4">
        <v>110</v>
      </c>
      <c r="E754" s="4"/>
      <c r="F754">
        <v>283</v>
      </c>
      <c r="H754" t="str">
        <f t="shared" si="11"/>
        <v>2023-03</v>
      </c>
      <c r="I754" t="str">
        <f>_xlfn.XLOOKUP(Table1[[#This Row],[Customer_ID]],Customers!$A$2:$A$30,Customers!$C$2:$C$30,"Not found")</f>
        <v>Carries forward</v>
      </c>
    </row>
    <row r="755" spans="1:9">
      <c r="A755" s="9">
        <v>45011</v>
      </c>
      <c r="B755" t="s">
        <v>78</v>
      </c>
      <c r="C755" t="s">
        <v>8</v>
      </c>
      <c r="D755" s="4">
        <v>25</v>
      </c>
      <c r="E755" s="4"/>
      <c r="F755">
        <v>283</v>
      </c>
      <c r="H755" t="str">
        <f t="shared" si="11"/>
        <v>2023-03</v>
      </c>
      <c r="I755" t="str">
        <f>_xlfn.XLOOKUP(Table1[[#This Row],[Customer_ID]],Customers!$A$2:$A$30,Customers!$C$2:$C$30,"Not found")</f>
        <v>Carries forward</v>
      </c>
    </row>
    <row r="756" spans="1:9">
      <c r="A756" s="9">
        <v>45012</v>
      </c>
      <c r="B756" t="s">
        <v>78</v>
      </c>
      <c r="C756" t="s">
        <v>8</v>
      </c>
      <c r="D756" s="4">
        <v>25</v>
      </c>
      <c r="E756" s="4"/>
      <c r="F756">
        <v>283</v>
      </c>
      <c r="H756" t="str">
        <f t="shared" si="11"/>
        <v>2023-03</v>
      </c>
      <c r="I756" t="str">
        <f>_xlfn.XLOOKUP(Table1[[#This Row],[Customer_ID]],Customers!$A$2:$A$30,Customers!$C$2:$C$30,"Not found")</f>
        <v>Carries forward</v>
      </c>
    </row>
    <row r="757" spans="1:9">
      <c r="A757" s="9">
        <v>45012</v>
      </c>
      <c r="B757" t="s">
        <v>78</v>
      </c>
      <c r="C757" t="s">
        <v>8</v>
      </c>
      <c r="D757" s="4">
        <v>37</v>
      </c>
      <c r="E757" s="4"/>
      <c r="F757">
        <v>283</v>
      </c>
      <c r="H757" t="str">
        <f t="shared" si="11"/>
        <v>2023-03</v>
      </c>
      <c r="I757" t="str">
        <f>_xlfn.XLOOKUP(Table1[[#This Row],[Customer_ID]],Customers!$A$2:$A$30,Customers!$C$2:$C$30,"Not found")</f>
        <v>Carries forward</v>
      </c>
    </row>
    <row r="758" spans="1:9">
      <c r="A758" s="9">
        <v>45015</v>
      </c>
      <c r="B758" t="s">
        <v>78</v>
      </c>
      <c r="C758" t="s">
        <v>8</v>
      </c>
      <c r="D758" s="4">
        <v>20</v>
      </c>
      <c r="E758" s="4"/>
      <c r="F758">
        <v>283</v>
      </c>
      <c r="H758" t="str">
        <f t="shared" si="11"/>
        <v>2023-03</v>
      </c>
      <c r="I758" t="str">
        <f>_xlfn.XLOOKUP(Table1[[#This Row],[Customer_ID]],Customers!$A$2:$A$30,Customers!$C$2:$C$30,"Not found")</f>
        <v>Carries forward</v>
      </c>
    </row>
    <row r="759" spans="1:9">
      <c r="A759" s="9">
        <v>45016</v>
      </c>
      <c r="B759" t="s">
        <v>78</v>
      </c>
      <c r="C759" t="s">
        <v>8</v>
      </c>
      <c r="D759" s="4">
        <v>20</v>
      </c>
      <c r="E759" s="4"/>
      <c r="F759">
        <v>283</v>
      </c>
      <c r="G759" t="s">
        <v>145</v>
      </c>
      <c r="H759" t="str">
        <f t="shared" si="11"/>
        <v>2023-03</v>
      </c>
      <c r="I759" t="str">
        <f>_xlfn.XLOOKUP(Table1[[#This Row],[Customer_ID]],Customers!$A$2:$A$30,Customers!$C$2:$C$30,"Not found")</f>
        <v>Carries forward</v>
      </c>
    </row>
    <row r="760" spans="1:9">
      <c r="A760" s="9">
        <v>45016</v>
      </c>
      <c r="B760" t="s">
        <v>78</v>
      </c>
      <c r="C760" t="s">
        <v>8</v>
      </c>
      <c r="D760" s="4">
        <v>35</v>
      </c>
      <c r="E760" s="4"/>
      <c r="F760">
        <v>283</v>
      </c>
      <c r="H760" t="str">
        <f t="shared" si="11"/>
        <v>2023-03</v>
      </c>
      <c r="I760" t="str">
        <f>_xlfn.XLOOKUP(Table1[[#This Row],[Customer_ID]],Customers!$A$2:$A$30,Customers!$C$2:$C$30,"Not found")</f>
        <v>Carries forward</v>
      </c>
    </row>
    <row r="761" spans="1:9">
      <c r="A761" s="9">
        <v>45016</v>
      </c>
      <c r="B761" t="s">
        <v>78</v>
      </c>
      <c r="C761" t="s">
        <v>8</v>
      </c>
      <c r="D761" s="4">
        <v>15</v>
      </c>
      <c r="E761" s="4"/>
      <c r="F761">
        <v>283</v>
      </c>
      <c r="H761" t="str">
        <f t="shared" si="11"/>
        <v>2023-03</v>
      </c>
      <c r="I761" t="str">
        <f>_xlfn.XLOOKUP(Table1[[#This Row],[Customer_ID]],Customers!$A$2:$A$30,Customers!$C$2:$C$30,"Not found")</f>
        <v>Carries forward</v>
      </c>
    </row>
    <row r="762" spans="1:9">
      <c r="A762" s="9">
        <v>45016</v>
      </c>
      <c r="B762" t="s">
        <v>78</v>
      </c>
      <c r="C762" t="s">
        <v>8</v>
      </c>
      <c r="D762" s="4">
        <v>10</v>
      </c>
      <c r="E762" s="4"/>
      <c r="F762">
        <v>283</v>
      </c>
      <c r="H762" t="str">
        <f t="shared" si="11"/>
        <v>2023-03</v>
      </c>
      <c r="I762" t="str">
        <f>_xlfn.XLOOKUP(Table1[[#This Row],[Customer_ID]],Customers!$A$2:$A$30,Customers!$C$2:$C$30,"Not found")</f>
        <v>Carries forward</v>
      </c>
    </row>
    <row r="763" spans="1:9">
      <c r="A763" s="9">
        <v>45018</v>
      </c>
      <c r="B763" t="s">
        <v>78</v>
      </c>
      <c r="C763" t="s">
        <v>8</v>
      </c>
      <c r="D763" s="4">
        <v>25</v>
      </c>
      <c r="E763" s="4"/>
      <c r="F763">
        <v>283</v>
      </c>
      <c r="H763" t="str">
        <f t="shared" si="11"/>
        <v>2023-04</v>
      </c>
      <c r="I763" t="str">
        <f>_xlfn.XLOOKUP(Table1[[#This Row],[Customer_ID]],Customers!$A$2:$A$30,Customers!$C$2:$C$30,"Not found")</f>
        <v>Carries forward</v>
      </c>
    </row>
    <row r="764" spans="1:9">
      <c r="A764" s="9">
        <v>45018</v>
      </c>
      <c r="B764" t="s">
        <v>78</v>
      </c>
      <c r="C764" t="s">
        <v>8</v>
      </c>
      <c r="D764" s="4">
        <v>15</v>
      </c>
      <c r="E764" s="4"/>
      <c r="F764">
        <v>283</v>
      </c>
      <c r="H764" t="str">
        <f t="shared" si="11"/>
        <v>2023-04</v>
      </c>
      <c r="I764" t="str">
        <f>_xlfn.XLOOKUP(Table1[[#This Row],[Customer_ID]],Customers!$A$2:$A$30,Customers!$C$2:$C$30,"Not found")</f>
        <v>Carries forward</v>
      </c>
    </row>
    <row r="765" spans="1:9">
      <c r="A765" s="9">
        <v>45019</v>
      </c>
      <c r="B765" t="s">
        <v>78</v>
      </c>
      <c r="C765" t="s">
        <v>8</v>
      </c>
      <c r="D765" s="4">
        <v>25</v>
      </c>
      <c r="E765" s="4"/>
      <c r="F765">
        <v>283</v>
      </c>
      <c r="H765" t="str">
        <f t="shared" si="11"/>
        <v>2023-04</v>
      </c>
      <c r="I765" t="str">
        <f>_xlfn.XLOOKUP(Table1[[#This Row],[Customer_ID]],Customers!$A$2:$A$30,Customers!$C$2:$C$30,"Not found")</f>
        <v>Carries forward</v>
      </c>
    </row>
    <row r="766" spans="1:9">
      <c r="A766" s="9">
        <v>45019</v>
      </c>
      <c r="B766" t="s">
        <v>78</v>
      </c>
      <c r="C766" t="s">
        <v>8</v>
      </c>
      <c r="D766" s="4">
        <v>20</v>
      </c>
      <c r="E766" s="4"/>
      <c r="F766">
        <v>283</v>
      </c>
      <c r="H766" t="str">
        <f t="shared" si="11"/>
        <v>2023-04</v>
      </c>
      <c r="I766" t="str">
        <f>_xlfn.XLOOKUP(Table1[[#This Row],[Customer_ID]],Customers!$A$2:$A$30,Customers!$C$2:$C$30,"Not found")</f>
        <v>Carries forward</v>
      </c>
    </row>
    <row r="767" spans="1:9">
      <c r="A767" s="9">
        <v>45020</v>
      </c>
      <c r="B767" t="s">
        <v>78</v>
      </c>
      <c r="C767" t="s">
        <v>8</v>
      </c>
      <c r="D767" s="4">
        <v>25</v>
      </c>
      <c r="E767" s="4"/>
      <c r="F767">
        <v>283</v>
      </c>
      <c r="H767" t="str">
        <f t="shared" si="11"/>
        <v>2023-04</v>
      </c>
      <c r="I767" t="str">
        <f>_xlfn.XLOOKUP(Table1[[#This Row],[Customer_ID]],Customers!$A$2:$A$30,Customers!$C$2:$C$30,"Not found")</f>
        <v>Carries forward</v>
      </c>
    </row>
    <row r="768" spans="1:9">
      <c r="A768" s="9">
        <v>45021</v>
      </c>
      <c r="B768" t="s">
        <v>78</v>
      </c>
      <c r="C768" t="s">
        <v>8</v>
      </c>
      <c r="D768" s="4">
        <v>20</v>
      </c>
      <c r="E768" s="4"/>
      <c r="F768">
        <v>283</v>
      </c>
      <c r="H768" t="str">
        <f t="shared" si="11"/>
        <v>2023-04</v>
      </c>
      <c r="I768" t="str">
        <f>_xlfn.XLOOKUP(Table1[[#This Row],[Customer_ID]],Customers!$A$2:$A$30,Customers!$C$2:$C$30,"Not found")</f>
        <v>Carries forward</v>
      </c>
    </row>
    <row r="769" spans="1:9">
      <c r="A769" s="9">
        <v>45022</v>
      </c>
      <c r="B769" t="s">
        <v>78</v>
      </c>
      <c r="C769" t="s">
        <v>8</v>
      </c>
      <c r="D769" s="4">
        <v>30</v>
      </c>
      <c r="E769" s="4"/>
      <c r="F769">
        <v>283</v>
      </c>
      <c r="H769" t="str">
        <f t="shared" si="11"/>
        <v>2023-04</v>
      </c>
      <c r="I769" t="str">
        <f>_xlfn.XLOOKUP(Table1[[#This Row],[Customer_ID]],Customers!$A$2:$A$30,Customers!$C$2:$C$30,"Not found")</f>
        <v>Carries forward</v>
      </c>
    </row>
    <row r="770" spans="1:9">
      <c r="A770" s="9">
        <v>45022</v>
      </c>
      <c r="B770" t="s">
        <v>78</v>
      </c>
      <c r="C770" t="s">
        <v>8</v>
      </c>
      <c r="D770" s="4">
        <v>30</v>
      </c>
      <c r="E770" s="4"/>
      <c r="F770">
        <v>283</v>
      </c>
      <c r="H770" t="str">
        <f t="shared" si="11"/>
        <v>2023-04</v>
      </c>
      <c r="I770" t="str">
        <f>_xlfn.XLOOKUP(Table1[[#This Row],[Customer_ID]],Customers!$A$2:$A$30,Customers!$C$2:$C$30,"Not found")</f>
        <v>Carries forward</v>
      </c>
    </row>
    <row r="771" spans="1:9">
      <c r="A771" s="9">
        <v>45022</v>
      </c>
      <c r="B771" t="s">
        <v>78</v>
      </c>
      <c r="C771" t="s">
        <v>22</v>
      </c>
      <c r="D771" s="4">
        <v>-20</v>
      </c>
      <c r="E771" s="4">
        <v>1812</v>
      </c>
      <c r="F771">
        <v>283</v>
      </c>
      <c r="G771" t="s">
        <v>172</v>
      </c>
      <c r="H771" t="str">
        <f t="shared" ref="H771:H834" si="12">IF(A771="","",TEXT(A771,"yyyy-mm"))</f>
        <v>2023-04</v>
      </c>
      <c r="I771" t="str">
        <f>_xlfn.XLOOKUP(Table1[[#This Row],[Customer_ID]],Customers!$A$2:$A$30,Customers!$C$2:$C$30,"Not found")</f>
        <v>Carries forward</v>
      </c>
    </row>
    <row r="772" spans="1:9">
      <c r="A772" s="9">
        <v>45023</v>
      </c>
      <c r="B772" t="s">
        <v>78</v>
      </c>
      <c r="C772" t="s">
        <v>8</v>
      </c>
      <c r="D772" s="4">
        <v>25</v>
      </c>
      <c r="E772" s="4"/>
      <c r="F772">
        <v>283</v>
      </c>
      <c r="H772" t="str">
        <f t="shared" si="12"/>
        <v>2023-04</v>
      </c>
      <c r="I772" t="str">
        <f>_xlfn.XLOOKUP(Table1[[#This Row],[Customer_ID]],Customers!$A$2:$A$30,Customers!$C$2:$C$30,"Not found")</f>
        <v>Carries forward</v>
      </c>
    </row>
    <row r="773" spans="1:9">
      <c r="A773" s="9">
        <v>45023</v>
      </c>
      <c r="B773" t="s">
        <v>78</v>
      </c>
      <c r="C773" t="s">
        <v>8</v>
      </c>
      <c r="D773" s="4">
        <v>20</v>
      </c>
      <c r="E773" s="4"/>
      <c r="F773">
        <v>283</v>
      </c>
      <c r="H773" t="str">
        <f t="shared" si="12"/>
        <v>2023-04</v>
      </c>
      <c r="I773" t="str">
        <f>_xlfn.XLOOKUP(Table1[[#This Row],[Customer_ID]],Customers!$A$2:$A$30,Customers!$C$2:$C$30,"Not found")</f>
        <v>Carries forward</v>
      </c>
    </row>
    <row r="774" spans="1:9">
      <c r="A774" s="9">
        <v>45023</v>
      </c>
      <c r="B774" t="s">
        <v>78</v>
      </c>
      <c r="C774" t="s">
        <v>8</v>
      </c>
      <c r="D774" s="4">
        <v>20</v>
      </c>
      <c r="E774" s="4"/>
      <c r="F774">
        <v>283</v>
      </c>
      <c r="H774" t="str">
        <f t="shared" si="12"/>
        <v>2023-04</v>
      </c>
      <c r="I774" t="str">
        <f>_xlfn.XLOOKUP(Table1[[#This Row],[Customer_ID]],Customers!$A$2:$A$30,Customers!$C$2:$C$30,"Not found")</f>
        <v>Carries forward</v>
      </c>
    </row>
    <row r="775" spans="1:9">
      <c r="A775" s="9">
        <v>45024</v>
      </c>
      <c r="B775" t="s">
        <v>78</v>
      </c>
      <c r="C775" t="s">
        <v>8</v>
      </c>
      <c r="D775" s="4">
        <v>80</v>
      </c>
      <c r="E775" s="4"/>
      <c r="F775">
        <v>283</v>
      </c>
      <c r="H775" t="str">
        <f t="shared" si="12"/>
        <v>2023-04</v>
      </c>
      <c r="I775" t="str">
        <f>_xlfn.XLOOKUP(Table1[[#This Row],[Customer_ID]],Customers!$A$2:$A$30,Customers!$C$2:$C$30,"Not found")</f>
        <v>Carries forward</v>
      </c>
    </row>
    <row r="776" spans="1:9">
      <c r="A776" s="9">
        <v>45024</v>
      </c>
      <c r="B776" t="s">
        <v>78</v>
      </c>
      <c r="C776" t="s">
        <v>8</v>
      </c>
      <c r="D776" s="4">
        <v>5</v>
      </c>
      <c r="E776" s="4"/>
      <c r="F776">
        <v>283</v>
      </c>
      <c r="H776" t="str">
        <f t="shared" si="12"/>
        <v>2023-04</v>
      </c>
      <c r="I776" t="str">
        <f>_xlfn.XLOOKUP(Table1[[#This Row],[Customer_ID]],Customers!$A$2:$A$30,Customers!$C$2:$C$30,"Not found")</f>
        <v>Carries forward</v>
      </c>
    </row>
    <row r="777" spans="1:9">
      <c r="A777" s="9">
        <v>45024</v>
      </c>
      <c r="B777" t="s">
        <v>78</v>
      </c>
      <c r="C777" t="s">
        <v>8</v>
      </c>
      <c r="D777" s="4">
        <v>20</v>
      </c>
      <c r="E777" s="4"/>
      <c r="F777">
        <v>283</v>
      </c>
      <c r="H777" t="str">
        <f t="shared" si="12"/>
        <v>2023-04</v>
      </c>
      <c r="I777" t="str">
        <f>_xlfn.XLOOKUP(Table1[[#This Row],[Customer_ID]],Customers!$A$2:$A$30,Customers!$C$2:$C$30,"Not found")</f>
        <v>Carries forward</v>
      </c>
    </row>
    <row r="778" spans="1:9">
      <c r="A778" s="9">
        <v>45026</v>
      </c>
      <c r="B778" t="s">
        <v>78</v>
      </c>
      <c r="C778" t="s">
        <v>8</v>
      </c>
      <c r="D778" s="4">
        <v>30</v>
      </c>
      <c r="E778" s="4">
        <v>2012</v>
      </c>
      <c r="F778">
        <v>283</v>
      </c>
      <c r="G778" t="s">
        <v>146</v>
      </c>
      <c r="H778" t="str">
        <f t="shared" si="12"/>
        <v>2023-04</v>
      </c>
      <c r="I778" t="str">
        <f>_xlfn.XLOOKUP(Table1[[#This Row],[Customer_ID]],Customers!$A$2:$A$30,Customers!$C$2:$C$30,"Not found")</f>
        <v>Carries forward</v>
      </c>
    </row>
    <row r="779" spans="1:9">
      <c r="A779" s="9">
        <v>44937</v>
      </c>
      <c r="B779" t="s">
        <v>79</v>
      </c>
      <c r="C779" t="s">
        <v>8</v>
      </c>
      <c r="D779" s="4">
        <v>1226</v>
      </c>
      <c r="E779" s="4"/>
      <c r="F779">
        <v>316</v>
      </c>
      <c r="G779" t="s">
        <v>147</v>
      </c>
      <c r="H779" t="str">
        <f t="shared" si="12"/>
        <v>2023-01</v>
      </c>
      <c r="I779" t="str">
        <f>_xlfn.XLOOKUP(Table1[[#This Row],[Customer_ID]],Customers!$A$2:$A$30,Customers!$C$2:$C$30,"Not found")</f>
        <v>Mixed</v>
      </c>
    </row>
    <row r="780" spans="1:9">
      <c r="A780" s="9">
        <v>44939</v>
      </c>
      <c r="B780" t="s">
        <v>79</v>
      </c>
      <c r="C780" t="s">
        <v>8</v>
      </c>
      <c r="D780" s="4">
        <v>112</v>
      </c>
      <c r="E780" s="4"/>
      <c r="F780">
        <v>316</v>
      </c>
      <c r="H780" t="str">
        <f t="shared" si="12"/>
        <v>2023-01</v>
      </c>
      <c r="I780" t="str">
        <f>_xlfn.XLOOKUP(Table1[[#This Row],[Customer_ID]],Customers!$A$2:$A$30,Customers!$C$2:$C$30,"Not found")</f>
        <v>Mixed</v>
      </c>
    </row>
    <row r="781" spans="1:9">
      <c r="A781" s="9">
        <v>44941</v>
      </c>
      <c r="B781" t="s">
        <v>79</v>
      </c>
      <c r="C781" t="s">
        <v>8</v>
      </c>
      <c r="D781" s="4">
        <v>81</v>
      </c>
      <c r="E781" s="4"/>
      <c r="F781">
        <v>316</v>
      </c>
      <c r="H781" t="str">
        <f t="shared" si="12"/>
        <v>2023-01</v>
      </c>
      <c r="I781" t="str">
        <f>_xlfn.XLOOKUP(Table1[[#This Row],[Customer_ID]],Customers!$A$2:$A$30,Customers!$C$2:$C$30,"Not found")</f>
        <v>Mixed</v>
      </c>
    </row>
    <row r="782" spans="1:9">
      <c r="A782" s="9">
        <v>44941</v>
      </c>
      <c r="B782" t="s">
        <v>79</v>
      </c>
      <c r="C782" t="s">
        <v>8</v>
      </c>
      <c r="D782" s="4">
        <v>234</v>
      </c>
      <c r="E782" s="4"/>
      <c r="F782">
        <v>316</v>
      </c>
      <c r="H782" t="str">
        <f t="shared" si="12"/>
        <v>2023-01</v>
      </c>
      <c r="I782" t="str">
        <f>_xlfn.XLOOKUP(Table1[[#This Row],[Customer_ID]],Customers!$A$2:$A$30,Customers!$C$2:$C$30,"Not found")</f>
        <v>Mixed</v>
      </c>
    </row>
    <row r="783" spans="1:9">
      <c r="A783" s="9">
        <v>44942</v>
      </c>
      <c r="B783" t="s">
        <v>79</v>
      </c>
      <c r="C783" t="s">
        <v>8</v>
      </c>
      <c r="D783" s="4">
        <v>185</v>
      </c>
      <c r="E783" s="4"/>
      <c r="F783">
        <v>316</v>
      </c>
      <c r="H783" t="str">
        <f t="shared" si="12"/>
        <v>2023-01</v>
      </c>
      <c r="I783" t="str">
        <f>_xlfn.XLOOKUP(Table1[[#This Row],[Customer_ID]],Customers!$A$2:$A$30,Customers!$C$2:$C$30,"Not found")</f>
        <v>Mixed</v>
      </c>
    </row>
    <row r="784" spans="1:9">
      <c r="A784" s="9">
        <v>44947</v>
      </c>
      <c r="B784" t="s">
        <v>79</v>
      </c>
      <c r="C784" t="s">
        <v>8</v>
      </c>
      <c r="D784" s="4">
        <v>38</v>
      </c>
      <c r="E784" s="4"/>
      <c r="F784">
        <v>316</v>
      </c>
      <c r="H784" t="str">
        <f t="shared" si="12"/>
        <v>2023-01</v>
      </c>
      <c r="I784" t="str">
        <f>_xlfn.XLOOKUP(Table1[[#This Row],[Customer_ID]],Customers!$A$2:$A$30,Customers!$C$2:$C$30,"Not found")</f>
        <v>Mixed</v>
      </c>
    </row>
    <row r="785" spans="1:9">
      <c r="A785" s="9">
        <v>44947</v>
      </c>
      <c r="B785" t="s">
        <v>79</v>
      </c>
      <c r="C785" t="s">
        <v>8</v>
      </c>
      <c r="D785" s="4">
        <v>638</v>
      </c>
      <c r="E785" s="4"/>
      <c r="F785">
        <v>316</v>
      </c>
      <c r="H785" t="str">
        <f t="shared" si="12"/>
        <v>2023-01</v>
      </c>
      <c r="I785" t="str">
        <f>_xlfn.XLOOKUP(Table1[[#This Row],[Customer_ID]],Customers!$A$2:$A$30,Customers!$C$2:$C$30,"Not found")</f>
        <v>Mixed</v>
      </c>
    </row>
    <row r="786" spans="1:9">
      <c r="A786" s="9">
        <v>44948</v>
      </c>
      <c r="B786" t="s">
        <v>79</v>
      </c>
      <c r="C786" t="s">
        <v>8</v>
      </c>
      <c r="D786" s="4">
        <v>100</v>
      </c>
      <c r="E786" s="4"/>
      <c r="F786">
        <v>316</v>
      </c>
      <c r="H786" t="str">
        <f t="shared" si="12"/>
        <v>2023-01</v>
      </c>
      <c r="I786" t="str">
        <f>_xlfn.XLOOKUP(Table1[[#This Row],[Customer_ID]],Customers!$A$2:$A$30,Customers!$C$2:$C$30,"Not found")</f>
        <v>Mixed</v>
      </c>
    </row>
    <row r="787" spans="1:9">
      <c r="A787" s="9">
        <v>44949</v>
      </c>
      <c r="B787" t="s">
        <v>79</v>
      </c>
      <c r="C787" t="s">
        <v>8</v>
      </c>
      <c r="D787" s="4">
        <v>22</v>
      </c>
      <c r="E787" s="4"/>
      <c r="F787">
        <v>316</v>
      </c>
      <c r="H787" t="str">
        <f t="shared" si="12"/>
        <v>2023-01</v>
      </c>
      <c r="I787" t="str">
        <f>_xlfn.XLOOKUP(Table1[[#This Row],[Customer_ID]],Customers!$A$2:$A$30,Customers!$C$2:$C$30,"Not found")</f>
        <v>Mixed</v>
      </c>
    </row>
    <row r="788" spans="1:9">
      <c r="A788" s="9">
        <v>44952</v>
      </c>
      <c r="B788" t="s">
        <v>79</v>
      </c>
      <c r="C788" t="s">
        <v>8</v>
      </c>
      <c r="D788" s="4">
        <v>685</v>
      </c>
      <c r="E788" s="4"/>
      <c r="F788">
        <v>316</v>
      </c>
      <c r="H788" t="str">
        <f t="shared" si="12"/>
        <v>2023-01</v>
      </c>
      <c r="I788" t="str">
        <f>_xlfn.XLOOKUP(Table1[[#This Row],[Customer_ID]],Customers!$A$2:$A$30,Customers!$C$2:$C$30,"Not found")</f>
        <v>Mixed</v>
      </c>
    </row>
    <row r="789" spans="1:9">
      <c r="A789" s="9">
        <v>44952</v>
      </c>
      <c r="B789" t="s">
        <v>79</v>
      </c>
      <c r="C789" t="s">
        <v>8</v>
      </c>
      <c r="D789" s="4">
        <v>80</v>
      </c>
      <c r="E789" s="4"/>
      <c r="F789">
        <v>316</v>
      </c>
      <c r="H789" t="str">
        <f t="shared" si="12"/>
        <v>2023-01</v>
      </c>
      <c r="I789" t="str">
        <f>_xlfn.XLOOKUP(Table1[[#This Row],[Customer_ID]],Customers!$A$2:$A$30,Customers!$C$2:$C$30,"Not found")</f>
        <v>Mixed</v>
      </c>
    </row>
    <row r="790" spans="1:9">
      <c r="A790" s="9">
        <v>44954</v>
      </c>
      <c r="B790" t="s">
        <v>79</v>
      </c>
      <c r="C790" t="s">
        <v>8</v>
      </c>
      <c r="D790" s="4">
        <v>92</v>
      </c>
      <c r="E790" s="4"/>
      <c r="F790">
        <v>316</v>
      </c>
      <c r="H790" t="str">
        <f t="shared" si="12"/>
        <v>2023-01</v>
      </c>
      <c r="I790" t="str">
        <f>_xlfn.XLOOKUP(Table1[[#This Row],[Customer_ID]],Customers!$A$2:$A$30,Customers!$C$2:$C$30,"Not found")</f>
        <v>Mixed</v>
      </c>
    </row>
    <row r="791" spans="1:9">
      <c r="A791" s="9">
        <v>44956</v>
      </c>
      <c r="B791" t="s">
        <v>79</v>
      </c>
      <c r="C791" t="s">
        <v>8</v>
      </c>
      <c r="D791" s="4">
        <v>610</v>
      </c>
      <c r="E791" s="4"/>
      <c r="F791">
        <v>316</v>
      </c>
      <c r="H791" t="str">
        <f t="shared" si="12"/>
        <v>2023-01</v>
      </c>
      <c r="I791" t="str">
        <f>_xlfn.XLOOKUP(Table1[[#This Row],[Customer_ID]],Customers!$A$2:$A$30,Customers!$C$2:$C$30,"Not found")</f>
        <v>Mixed</v>
      </c>
    </row>
    <row r="792" spans="1:9">
      <c r="A792" s="9">
        <v>44957</v>
      </c>
      <c r="B792" t="s">
        <v>79</v>
      </c>
      <c r="C792" t="s">
        <v>8</v>
      </c>
      <c r="D792" s="4">
        <v>327</v>
      </c>
      <c r="E792" s="4"/>
      <c r="F792">
        <v>316</v>
      </c>
      <c r="H792" t="str">
        <f t="shared" si="12"/>
        <v>2023-01</v>
      </c>
      <c r="I792" t="str">
        <f>_xlfn.XLOOKUP(Table1[[#This Row],[Customer_ID]],Customers!$A$2:$A$30,Customers!$C$2:$C$30,"Not found")</f>
        <v>Mixed</v>
      </c>
    </row>
    <row r="793" spans="1:9">
      <c r="A793" s="9">
        <v>44957</v>
      </c>
      <c r="B793" t="s">
        <v>79</v>
      </c>
      <c r="C793" t="s">
        <v>8</v>
      </c>
      <c r="D793" s="4">
        <v>207</v>
      </c>
      <c r="E793" s="4"/>
      <c r="F793">
        <v>316</v>
      </c>
      <c r="H793" t="str">
        <f t="shared" si="12"/>
        <v>2023-01</v>
      </c>
      <c r="I793" t="str">
        <f>_xlfn.XLOOKUP(Table1[[#This Row],[Customer_ID]],Customers!$A$2:$A$30,Customers!$C$2:$C$30,"Not found")</f>
        <v>Mixed</v>
      </c>
    </row>
    <row r="794" spans="1:9">
      <c r="A794" s="9">
        <v>44958</v>
      </c>
      <c r="B794" t="s">
        <v>79</v>
      </c>
      <c r="C794" t="s">
        <v>8</v>
      </c>
      <c r="D794" s="4">
        <v>130</v>
      </c>
      <c r="E794" s="4"/>
      <c r="F794">
        <v>316</v>
      </c>
      <c r="H794" t="str">
        <f t="shared" si="12"/>
        <v>2023-02</v>
      </c>
      <c r="I794" t="str">
        <f>_xlfn.XLOOKUP(Table1[[#This Row],[Customer_ID]],Customers!$A$2:$A$30,Customers!$C$2:$C$30,"Not found")</f>
        <v>Mixed</v>
      </c>
    </row>
    <row r="795" spans="1:9">
      <c r="A795" s="9">
        <v>44959</v>
      </c>
      <c r="B795" t="s">
        <v>79</v>
      </c>
      <c r="C795" t="s">
        <v>8</v>
      </c>
      <c r="D795" s="4">
        <v>298</v>
      </c>
      <c r="E795" s="4"/>
      <c r="F795">
        <v>316</v>
      </c>
      <c r="H795" t="str">
        <f t="shared" si="12"/>
        <v>2023-02</v>
      </c>
      <c r="I795" t="str">
        <f>_xlfn.XLOOKUP(Table1[[#This Row],[Customer_ID]],Customers!$A$2:$A$30,Customers!$C$2:$C$30,"Not found")</f>
        <v>Mixed</v>
      </c>
    </row>
    <row r="796" spans="1:9">
      <c r="A796" s="9">
        <v>44960</v>
      </c>
      <c r="B796" t="s">
        <v>79</v>
      </c>
      <c r="C796" t="s">
        <v>8</v>
      </c>
      <c r="D796" s="4">
        <v>437</v>
      </c>
      <c r="E796" s="4"/>
      <c r="F796">
        <v>316</v>
      </c>
      <c r="H796" t="str">
        <f t="shared" si="12"/>
        <v>2023-02</v>
      </c>
      <c r="I796" t="str">
        <f>_xlfn.XLOOKUP(Table1[[#This Row],[Customer_ID]],Customers!$A$2:$A$30,Customers!$C$2:$C$30,"Not found")</f>
        <v>Mixed</v>
      </c>
    </row>
    <row r="797" spans="1:9">
      <c r="A797" s="9">
        <v>44961</v>
      </c>
      <c r="B797" t="s">
        <v>79</v>
      </c>
      <c r="C797" t="s">
        <v>8</v>
      </c>
      <c r="D797" s="4">
        <v>65</v>
      </c>
      <c r="E797" s="4"/>
      <c r="F797">
        <v>316</v>
      </c>
      <c r="H797" t="str">
        <f t="shared" si="12"/>
        <v>2023-02</v>
      </c>
      <c r="I797" t="str">
        <f>_xlfn.XLOOKUP(Table1[[#This Row],[Customer_ID]],Customers!$A$2:$A$30,Customers!$C$2:$C$30,"Not found")</f>
        <v>Mixed</v>
      </c>
    </row>
    <row r="798" spans="1:9">
      <c r="A798" s="9">
        <v>44961</v>
      </c>
      <c r="B798" t="s">
        <v>79</v>
      </c>
      <c r="C798" t="s">
        <v>8</v>
      </c>
      <c r="D798" s="4">
        <v>53</v>
      </c>
      <c r="E798" s="4"/>
      <c r="F798">
        <v>316</v>
      </c>
      <c r="H798" t="str">
        <f t="shared" si="12"/>
        <v>2023-02</v>
      </c>
      <c r="I798" t="str">
        <f>_xlfn.XLOOKUP(Table1[[#This Row],[Customer_ID]],Customers!$A$2:$A$30,Customers!$C$2:$C$30,"Not found")</f>
        <v>Mixed</v>
      </c>
    </row>
    <row r="799" spans="1:9">
      <c r="A799" s="9">
        <v>44962</v>
      </c>
      <c r="B799" t="s">
        <v>79</v>
      </c>
      <c r="C799" t="s">
        <v>8</v>
      </c>
      <c r="D799" s="4">
        <v>62</v>
      </c>
      <c r="E799" s="4"/>
      <c r="F799">
        <v>316</v>
      </c>
      <c r="H799" t="str">
        <f t="shared" si="12"/>
        <v>2023-02</v>
      </c>
      <c r="I799" t="str">
        <f>_xlfn.XLOOKUP(Table1[[#This Row],[Customer_ID]],Customers!$A$2:$A$30,Customers!$C$2:$C$30,"Not found")</f>
        <v>Mixed</v>
      </c>
    </row>
    <row r="800" spans="1:9">
      <c r="A800" s="9">
        <v>44962</v>
      </c>
      <c r="B800" t="s">
        <v>79</v>
      </c>
      <c r="C800" t="s">
        <v>8</v>
      </c>
      <c r="D800" s="4">
        <v>205</v>
      </c>
      <c r="E800" s="4"/>
      <c r="F800">
        <v>316</v>
      </c>
      <c r="H800" t="str">
        <f t="shared" si="12"/>
        <v>2023-02</v>
      </c>
      <c r="I800" t="str">
        <f>_xlfn.XLOOKUP(Table1[[#This Row],[Customer_ID]],Customers!$A$2:$A$30,Customers!$C$2:$C$30,"Not found")</f>
        <v>Mixed</v>
      </c>
    </row>
    <row r="801" spans="1:9">
      <c r="A801" s="9">
        <v>44963</v>
      </c>
      <c r="B801" t="s">
        <v>79</v>
      </c>
      <c r="C801" t="s">
        <v>8</v>
      </c>
      <c r="D801" s="4">
        <v>10</v>
      </c>
      <c r="E801" s="4"/>
      <c r="F801">
        <v>316</v>
      </c>
      <c r="H801" t="str">
        <f t="shared" si="12"/>
        <v>2023-02</v>
      </c>
      <c r="I801" t="str">
        <f>_xlfn.XLOOKUP(Table1[[#This Row],[Customer_ID]],Customers!$A$2:$A$30,Customers!$C$2:$C$30,"Not found")</f>
        <v>Mixed</v>
      </c>
    </row>
    <row r="802" spans="1:9">
      <c r="A802" s="9">
        <v>44963</v>
      </c>
      <c r="B802" t="s">
        <v>79</v>
      </c>
      <c r="C802" t="s">
        <v>8</v>
      </c>
      <c r="D802" s="4">
        <v>269</v>
      </c>
      <c r="E802" s="4"/>
      <c r="F802">
        <v>316</v>
      </c>
      <c r="H802" t="str">
        <f t="shared" si="12"/>
        <v>2023-02</v>
      </c>
      <c r="I802" t="str">
        <f>_xlfn.XLOOKUP(Table1[[#This Row],[Customer_ID]],Customers!$A$2:$A$30,Customers!$C$2:$C$30,"Not found")</f>
        <v>Mixed</v>
      </c>
    </row>
    <row r="803" spans="1:9">
      <c r="A803" s="9">
        <v>44964</v>
      </c>
      <c r="B803" t="s">
        <v>79</v>
      </c>
      <c r="C803" t="s">
        <v>8</v>
      </c>
      <c r="D803" s="4">
        <v>44</v>
      </c>
      <c r="E803" s="4"/>
      <c r="F803">
        <v>316</v>
      </c>
      <c r="H803" t="str">
        <f t="shared" si="12"/>
        <v>2023-02</v>
      </c>
      <c r="I803" t="str">
        <f>_xlfn.XLOOKUP(Table1[[#This Row],[Customer_ID]],Customers!$A$2:$A$30,Customers!$C$2:$C$30,"Not found")</f>
        <v>Mixed</v>
      </c>
    </row>
    <row r="804" spans="1:9">
      <c r="A804" s="9">
        <v>44964</v>
      </c>
      <c r="B804" t="s">
        <v>79</v>
      </c>
      <c r="C804" t="s">
        <v>8</v>
      </c>
      <c r="D804" s="4">
        <v>632</v>
      </c>
      <c r="E804" s="4"/>
      <c r="F804">
        <v>316</v>
      </c>
      <c r="H804" t="str">
        <f t="shared" si="12"/>
        <v>2023-02</v>
      </c>
      <c r="I804" t="str">
        <f>_xlfn.XLOOKUP(Table1[[#This Row],[Customer_ID]],Customers!$A$2:$A$30,Customers!$C$2:$C$30,"Not found")</f>
        <v>Mixed</v>
      </c>
    </row>
    <row r="805" spans="1:9">
      <c r="A805" s="9">
        <v>44964</v>
      </c>
      <c r="B805" t="s">
        <v>79</v>
      </c>
      <c r="C805" t="s">
        <v>22</v>
      </c>
      <c r="D805" s="4">
        <v>-10</v>
      </c>
      <c r="E805" s="4">
        <v>6832</v>
      </c>
      <c r="F805">
        <v>316</v>
      </c>
      <c r="G805" t="s">
        <v>148</v>
      </c>
      <c r="H805" t="str">
        <f t="shared" si="12"/>
        <v>2023-02</v>
      </c>
      <c r="I805" t="str">
        <f>_xlfn.XLOOKUP(Table1[[#This Row],[Customer_ID]],Customers!$A$2:$A$30,Customers!$C$2:$C$30,"Not found")</f>
        <v>Mixed</v>
      </c>
    </row>
    <row r="806" spans="1:9">
      <c r="A806" s="9">
        <v>44975</v>
      </c>
      <c r="B806" t="s">
        <v>79</v>
      </c>
      <c r="C806" t="s">
        <v>14</v>
      </c>
      <c r="D806" s="4">
        <v>6832</v>
      </c>
      <c r="E806" s="4">
        <v>0</v>
      </c>
      <c r="F806">
        <v>316</v>
      </c>
      <c r="G806" t="s">
        <v>149</v>
      </c>
      <c r="H806" t="str">
        <f t="shared" si="12"/>
        <v>2023-02</v>
      </c>
      <c r="I806" t="str">
        <f>_xlfn.XLOOKUP(Table1[[#This Row],[Customer_ID]],Customers!$A$2:$A$30,Customers!$C$2:$C$30,"Not found")</f>
        <v>Mixed</v>
      </c>
    </row>
    <row r="807" spans="1:9">
      <c r="A807" s="9">
        <v>44965</v>
      </c>
      <c r="B807" t="s">
        <v>79</v>
      </c>
      <c r="C807" t="s">
        <v>8</v>
      </c>
      <c r="D807" s="4">
        <v>80</v>
      </c>
      <c r="E807" s="4"/>
      <c r="F807">
        <v>316</v>
      </c>
      <c r="H807" t="str">
        <f t="shared" si="12"/>
        <v>2023-02</v>
      </c>
      <c r="I807" t="str">
        <f>_xlfn.XLOOKUP(Table1[[#This Row],[Customer_ID]],Customers!$A$2:$A$30,Customers!$C$2:$C$30,"Not found")</f>
        <v>Mixed</v>
      </c>
    </row>
    <row r="808" spans="1:9">
      <c r="A808" s="9">
        <v>44965</v>
      </c>
      <c r="B808" t="s">
        <v>79</v>
      </c>
      <c r="C808" t="s">
        <v>8</v>
      </c>
      <c r="D808" s="4">
        <v>112</v>
      </c>
      <c r="E808" s="4"/>
      <c r="F808">
        <v>316</v>
      </c>
      <c r="H808" t="str">
        <f t="shared" si="12"/>
        <v>2023-02</v>
      </c>
      <c r="I808" t="str">
        <f>_xlfn.XLOOKUP(Table1[[#This Row],[Customer_ID]],Customers!$A$2:$A$30,Customers!$C$2:$C$30,"Not found")</f>
        <v>Mixed</v>
      </c>
    </row>
    <row r="809" spans="1:9">
      <c r="A809" s="9">
        <v>44966</v>
      </c>
      <c r="B809" t="s">
        <v>79</v>
      </c>
      <c r="C809" t="s">
        <v>8</v>
      </c>
      <c r="D809" s="4">
        <v>478</v>
      </c>
      <c r="E809" s="4"/>
      <c r="F809">
        <v>316</v>
      </c>
      <c r="H809" t="str">
        <f t="shared" si="12"/>
        <v>2023-02</v>
      </c>
      <c r="I809" t="str">
        <f>_xlfn.XLOOKUP(Table1[[#This Row],[Customer_ID]],Customers!$A$2:$A$30,Customers!$C$2:$C$30,"Not found")</f>
        <v>Mixed</v>
      </c>
    </row>
    <row r="810" spans="1:9">
      <c r="A810" s="9">
        <v>44968</v>
      </c>
      <c r="B810" t="s">
        <v>79</v>
      </c>
      <c r="C810" t="s">
        <v>8</v>
      </c>
      <c r="D810" s="4">
        <v>1600</v>
      </c>
      <c r="E810" s="4"/>
      <c r="F810">
        <v>316</v>
      </c>
      <c r="H810" t="str">
        <f t="shared" si="12"/>
        <v>2023-02</v>
      </c>
      <c r="I810" t="str">
        <f>_xlfn.XLOOKUP(Table1[[#This Row],[Customer_ID]],Customers!$A$2:$A$30,Customers!$C$2:$C$30,"Not found")</f>
        <v>Mixed</v>
      </c>
    </row>
    <row r="811" spans="1:9">
      <c r="A811" s="9">
        <v>44968</v>
      </c>
      <c r="B811" t="s">
        <v>79</v>
      </c>
      <c r="C811" t="s">
        <v>8</v>
      </c>
      <c r="D811" s="4">
        <v>186</v>
      </c>
      <c r="E811" s="4"/>
      <c r="F811">
        <v>316</v>
      </c>
      <c r="H811" t="str">
        <f t="shared" si="12"/>
        <v>2023-02</v>
      </c>
      <c r="I811" t="str">
        <f>_xlfn.XLOOKUP(Table1[[#This Row],[Customer_ID]],Customers!$A$2:$A$30,Customers!$C$2:$C$30,"Not found")</f>
        <v>Mixed</v>
      </c>
    </row>
    <row r="812" spans="1:9">
      <c r="A812" s="9">
        <v>44971</v>
      </c>
      <c r="B812" t="s">
        <v>79</v>
      </c>
      <c r="C812" t="s">
        <v>8</v>
      </c>
      <c r="D812" s="4">
        <v>608</v>
      </c>
      <c r="E812" s="4"/>
      <c r="F812">
        <v>316</v>
      </c>
      <c r="H812" t="str">
        <f t="shared" si="12"/>
        <v>2023-02</v>
      </c>
      <c r="I812" t="str">
        <f>_xlfn.XLOOKUP(Table1[[#This Row],[Customer_ID]],Customers!$A$2:$A$30,Customers!$C$2:$C$30,"Not found")</f>
        <v>Mixed</v>
      </c>
    </row>
    <row r="813" spans="1:9">
      <c r="A813" s="9">
        <v>44973</v>
      </c>
      <c r="B813" t="s">
        <v>79</v>
      </c>
      <c r="C813" t="s">
        <v>8</v>
      </c>
      <c r="D813" s="4">
        <v>570</v>
      </c>
      <c r="E813" s="4"/>
      <c r="F813">
        <v>316</v>
      </c>
      <c r="H813" t="str">
        <f t="shared" si="12"/>
        <v>2023-02</v>
      </c>
      <c r="I813" t="str">
        <f>_xlfn.XLOOKUP(Table1[[#This Row],[Customer_ID]],Customers!$A$2:$A$30,Customers!$C$2:$C$30,"Not found")</f>
        <v>Mixed</v>
      </c>
    </row>
    <row r="814" spans="1:9">
      <c r="A814" s="9">
        <v>44975</v>
      </c>
      <c r="B814" t="s">
        <v>79</v>
      </c>
      <c r="C814" t="s">
        <v>8</v>
      </c>
      <c r="D814" s="4">
        <v>45</v>
      </c>
      <c r="E814" s="4"/>
      <c r="F814">
        <v>316</v>
      </c>
      <c r="H814" t="str">
        <f t="shared" si="12"/>
        <v>2023-02</v>
      </c>
      <c r="I814" t="str">
        <f>_xlfn.XLOOKUP(Table1[[#This Row],[Customer_ID]],Customers!$A$2:$A$30,Customers!$C$2:$C$30,"Not found")</f>
        <v>Mixed</v>
      </c>
    </row>
    <row r="815" spans="1:9">
      <c r="A815" s="9">
        <v>44976</v>
      </c>
      <c r="B815" t="s">
        <v>79</v>
      </c>
      <c r="C815" t="s">
        <v>8</v>
      </c>
      <c r="D815" s="4">
        <v>185</v>
      </c>
      <c r="E815" s="4"/>
      <c r="F815">
        <v>316</v>
      </c>
      <c r="H815" t="str">
        <f t="shared" si="12"/>
        <v>2023-02</v>
      </c>
      <c r="I815" t="str">
        <f>_xlfn.XLOOKUP(Table1[[#This Row],[Customer_ID]],Customers!$A$2:$A$30,Customers!$C$2:$C$30,"Not found")</f>
        <v>Mixed</v>
      </c>
    </row>
    <row r="816" spans="1:9">
      <c r="A816" s="9">
        <v>44976</v>
      </c>
      <c r="B816" t="s">
        <v>79</v>
      </c>
      <c r="C816" t="s">
        <v>8</v>
      </c>
      <c r="D816" s="4">
        <v>66</v>
      </c>
      <c r="E816" s="4"/>
      <c r="F816">
        <v>316</v>
      </c>
      <c r="H816" t="str">
        <f t="shared" si="12"/>
        <v>2023-02</v>
      </c>
      <c r="I816" t="str">
        <f>_xlfn.XLOOKUP(Table1[[#This Row],[Customer_ID]],Customers!$A$2:$A$30,Customers!$C$2:$C$30,"Not found")</f>
        <v>Mixed</v>
      </c>
    </row>
    <row r="817" spans="1:9">
      <c r="A817" s="9">
        <v>44977</v>
      </c>
      <c r="B817" t="s">
        <v>79</v>
      </c>
      <c r="C817" t="s">
        <v>8</v>
      </c>
      <c r="D817" s="4">
        <v>1200</v>
      </c>
      <c r="E817" s="4"/>
      <c r="F817">
        <v>316</v>
      </c>
      <c r="H817" t="str">
        <f t="shared" si="12"/>
        <v>2023-02</v>
      </c>
      <c r="I817" t="str">
        <f>_xlfn.XLOOKUP(Table1[[#This Row],[Customer_ID]],Customers!$A$2:$A$30,Customers!$C$2:$C$30,"Not found")</f>
        <v>Mixed</v>
      </c>
    </row>
    <row r="818" spans="1:9">
      <c r="A818" s="9">
        <v>44978</v>
      </c>
      <c r="B818" t="s">
        <v>79</v>
      </c>
      <c r="C818" t="s">
        <v>8</v>
      </c>
      <c r="D818" s="4">
        <v>116</v>
      </c>
      <c r="E818" s="4"/>
      <c r="F818">
        <v>316</v>
      </c>
      <c r="H818" t="str">
        <f t="shared" si="12"/>
        <v>2023-02</v>
      </c>
      <c r="I818" t="str">
        <f>_xlfn.XLOOKUP(Table1[[#This Row],[Customer_ID]],Customers!$A$2:$A$30,Customers!$C$2:$C$30,"Not found")</f>
        <v>Mixed</v>
      </c>
    </row>
    <row r="819" spans="1:9">
      <c r="A819" s="9">
        <v>44978</v>
      </c>
      <c r="B819" t="s">
        <v>79</v>
      </c>
      <c r="C819" t="s">
        <v>8</v>
      </c>
      <c r="D819" s="4">
        <v>40</v>
      </c>
      <c r="E819" s="4"/>
      <c r="F819">
        <v>316</v>
      </c>
      <c r="H819" t="str">
        <f t="shared" si="12"/>
        <v>2023-02</v>
      </c>
      <c r="I819" t="str">
        <f>_xlfn.XLOOKUP(Table1[[#This Row],[Customer_ID]],Customers!$A$2:$A$30,Customers!$C$2:$C$30,"Not found")</f>
        <v>Mixed</v>
      </c>
    </row>
    <row r="820" spans="1:9">
      <c r="A820" s="9">
        <v>44979</v>
      </c>
      <c r="B820" t="s">
        <v>79</v>
      </c>
      <c r="C820" t="s">
        <v>8</v>
      </c>
      <c r="D820" s="4">
        <v>391</v>
      </c>
      <c r="E820" s="4"/>
      <c r="F820">
        <v>316</v>
      </c>
      <c r="H820" t="str">
        <f t="shared" si="12"/>
        <v>2023-02</v>
      </c>
      <c r="I820" t="str">
        <f>_xlfn.XLOOKUP(Table1[[#This Row],[Customer_ID]],Customers!$A$2:$A$30,Customers!$C$2:$C$30,"Not found")</f>
        <v>Mixed</v>
      </c>
    </row>
    <row r="821" spans="1:9">
      <c r="A821" s="9">
        <v>44981</v>
      </c>
      <c r="B821" t="s">
        <v>79</v>
      </c>
      <c r="C821" t="s">
        <v>8</v>
      </c>
      <c r="D821" s="4">
        <v>120</v>
      </c>
      <c r="E821" s="4"/>
      <c r="F821">
        <v>316</v>
      </c>
      <c r="H821" t="str">
        <f t="shared" si="12"/>
        <v>2023-02</v>
      </c>
      <c r="I821" t="str">
        <f>_xlfn.XLOOKUP(Table1[[#This Row],[Customer_ID]],Customers!$A$2:$A$30,Customers!$C$2:$C$30,"Not found")</f>
        <v>Mixed</v>
      </c>
    </row>
    <row r="822" spans="1:9">
      <c r="A822" s="9">
        <v>44982</v>
      </c>
      <c r="B822" t="s">
        <v>79</v>
      </c>
      <c r="C822" t="s">
        <v>8</v>
      </c>
      <c r="D822" s="4">
        <v>648</v>
      </c>
      <c r="E822" s="4"/>
      <c r="F822">
        <v>316</v>
      </c>
      <c r="H822" t="str">
        <f t="shared" si="12"/>
        <v>2023-02</v>
      </c>
      <c r="I822" t="str">
        <f>_xlfn.XLOOKUP(Table1[[#This Row],[Customer_ID]],Customers!$A$2:$A$30,Customers!$C$2:$C$30,"Not found")</f>
        <v>Mixed</v>
      </c>
    </row>
    <row r="823" spans="1:9">
      <c r="A823" s="9">
        <v>44983</v>
      </c>
      <c r="B823" t="s">
        <v>79</v>
      </c>
      <c r="C823" t="s">
        <v>8</v>
      </c>
      <c r="D823" s="4">
        <v>153</v>
      </c>
      <c r="E823" s="4"/>
      <c r="F823">
        <v>316</v>
      </c>
      <c r="H823" t="str">
        <f t="shared" si="12"/>
        <v>2023-02</v>
      </c>
      <c r="I823" t="str">
        <f>_xlfn.XLOOKUP(Table1[[#This Row],[Customer_ID]],Customers!$A$2:$A$30,Customers!$C$2:$C$30,"Not found")</f>
        <v>Mixed</v>
      </c>
    </row>
    <row r="824" spans="1:9">
      <c r="A824" s="9">
        <v>44984</v>
      </c>
      <c r="B824" t="s">
        <v>79</v>
      </c>
      <c r="C824" t="s">
        <v>8</v>
      </c>
      <c r="D824" s="4">
        <v>606</v>
      </c>
      <c r="E824" s="4"/>
      <c r="F824">
        <v>316</v>
      </c>
      <c r="H824" t="str">
        <f t="shared" si="12"/>
        <v>2023-02</v>
      </c>
      <c r="I824" t="str">
        <f>_xlfn.XLOOKUP(Table1[[#This Row],[Customer_ID]],Customers!$A$2:$A$30,Customers!$C$2:$C$30,"Not found")</f>
        <v>Mixed</v>
      </c>
    </row>
    <row r="825" spans="1:9">
      <c r="A825" s="9">
        <v>44985</v>
      </c>
      <c r="B825" t="s">
        <v>79</v>
      </c>
      <c r="C825" t="s">
        <v>8</v>
      </c>
      <c r="D825" s="4">
        <v>28</v>
      </c>
      <c r="E825" s="4"/>
      <c r="F825">
        <v>316</v>
      </c>
      <c r="H825" t="str">
        <f t="shared" si="12"/>
        <v>2023-02</v>
      </c>
      <c r="I825" t="str">
        <f>_xlfn.XLOOKUP(Table1[[#This Row],[Customer_ID]],Customers!$A$2:$A$30,Customers!$C$2:$C$30,"Not found")</f>
        <v>Mixed</v>
      </c>
    </row>
    <row r="826" spans="1:9">
      <c r="A826" s="9">
        <v>44986</v>
      </c>
      <c r="B826" t="s">
        <v>79</v>
      </c>
      <c r="C826" t="s">
        <v>8</v>
      </c>
      <c r="D826" s="4">
        <v>83</v>
      </c>
      <c r="E826" s="4"/>
      <c r="F826">
        <v>316</v>
      </c>
      <c r="H826" t="str">
        <f t="shared" si="12"/>
        <v>2023-03</v>
      </c>
      <c r="I826" t="str">
        <f>_xlfn.XLOOKUP(Table1[[#This Row],[Customer_ID]],Customers!$A$2:$A$30,Customers!$C$2:$C$30,"Not found")</f>
        <v>Mixed</v>
      </c>
    </row>
    <row r="827" spans="1:9">
      <c r="A827" s="9">
        <v>44987</v>
      </c>
      <c r="B827" t="s">
        <v>79</v>
      </c>
      <c r="C827" t="s">
        <v>8</v>
      </c>
      <c r="D827" s="4">
        <v>136</v>
      </c>
      <c r="E827" s="4"/>
      <c r="F827">
        <v>316</v>
      </c>
      <c r="H827" t="str">
        <f t="shared" si="12"/>
        <v>2023-03</v>
      </c>
      <c r="I827" t="str">
        <f>_xlfn.XLOOKUP(Table1[[#This Row],[Customer_ID]],Customers!$A$2:$A$30,Customers!$C$2:$C$30,"Not found")</f>
        <v>Mixed</v>
      </c>
    </row>
    <row r="828" spans="1:9">
      <c r="A828" s="9">
        <v>44988</v>
      </c>
      <c r="B828" t="s">
        <v>79</v>
      </c>
      <c r="C828" t="s">
        <v>8</v>
      </c>
      <c r="D828" s="4">
        <v>410</v>
      </c>
      <c r="E828" s="4"/>
      <c r="F828">
        <v>316</v>
      </c>
      <c r="H828" t="str">
        <f t="shared" si="12"/>
        <v>2023-03</v>
      </c>
      <c r="I828" t="str">
        <f>_xlfn.XLOOKUP(Table1[[#This Row],[Customer_ID]],Customers!$A$2:$A$30,Customers!$C$2:$C$30,"Not found")</f>
        <v>Mixed</v>
      </c>
    </row>
    <row r="829" spans="1:9">
      <c r="A829" s="9">
        <v>44988</v>
      </c>
      <c r="B829" t="s">
        <v>79</v>
      </c>
      <c r="C829" t="s">
        <v>8</v>
      </c>
      <c r="D829" s="4">
        <v>103</v>
      </c>
      <c r="E829" s="4"/>
      <c r="F829">
        <v>316</v>
      </c>
      <c r="H829" t="str">
        <f t="shared" si="12"/>
        <v>2023-03</v>
      </c>
      <c r="I829" t="str">
        <f>_xlfn.XLOOKUP(Table1[[#This Row],[Customer_ID]],Customers!$A$2:$A$30,Customers!$C$2:$C$30,"Not found")</f>
        <v>Mixed</v>
      </c>
    </row>
    <row r="830" spans="1:9">
      <c r="A830" s="9">
        <v>44989</v>
      </c>
      <c r="B830" t="s">
        <v>79</v>
      </c>
      <c r="C830" t="s">
        <v>8</v>
      </c>
      <c r="D830" s="4">
        <v>314</v>
      </c>
      <c r="E830" s="4"/>
      <c r="F830">
        <v>316</v>
      </c>
      <c r="H830" t="str">
        <f t="shared" si="12"/>
        <v>2023-03</v>
      </c>
      <c r="I830" t="str">
        <f>_xlfn.XLOOKUP(Table1[[#This Row],[Customer_ID]],Customers!$A$2:$A$30,Customers!$C$2:$C$30,"Not found")</f>
        <v>Mixed</v>
      </c>
    </row>
    <row r="831" spans="1:9">
      <c r="A831" s="9">
        <v>44989</v>
      </c>
      <c r="B831" t="s">
        <v>79</v>
      </c>
      <c r="C831" t="s">
        <v>8</v>
      </c>
      <c r="D831" s="4">
        <v>173</v>
      </c>
      <c r="E831" s="4"/>
      <c r="F831">
        <v>316</v>
      </c>
      <c r="H831" t="str">
        <f t="shared" si="12"/>
        <v>2023-03</v>
      </c>
      <c r="I831" t="str">
        <f>_xlfn.XLOOKUP(Table1[[#This Row],[Customer_ID]],Customers!$A$2:$A$30,Customers!$C$2:$C$30,"Not found")</f>
        <v>Mixed</v>
      </c>
    </row>
    <row r="832" spans="1:9">
      <c r="A832" s="9">
        <v>44991</v>
      </c>
      <c r="B832" t="s">
        <v>79</v>
      </c>
      <c r="C832" t="s">
        <v>8</v>
      </c>
      <c r="D832" s="4">
        <v>361</v>
      </c>
      <c r="E832" s="4"/>
      <c r="F832">
        <v>316</v>
      </c>
      <c r="H832" t="str">
        <f t="shared" si="12"/>
        <v>2023-03</v>
      </c>
      <c r="I832" t="str">
        <f>_xlfn.XLOOKUP(Table1[[#This Row],[Customer_ID]],Customers!$A$2:$A$30,Customers!$C$2:$C$30,"Not found")</f>
        <v>Mixed</v>
      </c>
    </row>
    <row r="833" spans="1:9">
      <c r="A833" s="9">
        <v>44992</v>
      </c>
      <c r="B833" t="s">
        <v>79</v>
      </c>
      <c r="C833" t="s">
        <v>8</v>
      </c>
      <c r="D833" s="4">
        <v>151</v>
      </c>
      <c r="E833" s="4"/>
      <c r="F833">
        <v>316</v>
      </c>
      <c r="H833" t="str">
        <f t="shared" si="12"/>
        <v>2023-03</v>
      </c>
      <c r="I833" t="str">
        <f>_xlfn.XLOOKUP(Table1[[#This Row],[Customer_ID]],Customers!$A$2:$A$30,Customers!$C$2:$C$30,"Not found")</f>
        <v>Mixed</v>
      </c>
    </row>
    <row r="834" spans="1:9">
      <c r="A834" s="9">
        <v>44992</v>
      </c>
      <c r="B834" t="s">
        <v>79</v>
      </c>
      <c r="C834" t="s">
        <v>8</v>
      </c>
      <c r="D834" s="4">
        <v>24</v>
      </c>
      <c r="E834" s="4"/>
      <c r="F834">
        <v>316</v>
      </c>
      <c r="H834" t="str">
        <f t="shared" si="12"/>
        <v>2023-03</v>
      </c>
      <c r="I834" t="str">
        <f>_xlfn.XLOOKUP(Table1[[#This Row],[Customer_ID]],Customers!$A$2:$A$30,Customers!$C$2:$C$30,"Not found")</f>
        <v>Mixed</v>
      </c>
    </row>
    <row r="835" spans="1:9">
      <c r="A835" s="9">
        <v>44992</v>
      </c>
      <c r="B835" t="s">
        <v>79</v>
      </c>
      <c r="C835" t="s">
        <v>8</v>
      </c>
      <c r="D835" s="4">
        <v>279</v>
      </c>
      <c r="E835" s="4"/>
      <c r="F835">
        <v>316</v>
      </c>
      <c r="H835" t="str">
        <f t="shared" ref="H835:H894" si="13">IF(A835="","",TEXT(A835,"yyyy-mm"))</f>
        <v>2023-03</v>
      </c>
      <c r="I835" t="str">
        <f>_xlfn.XLOOKUP(Table1[[#This Row],[Customer_ID]],Customers!$A$2:$A$30,Customers!$C$2:$C$30,"Not found")</f>
        <v>Mixed</v>
      </c>
    </row>
    <row r="836" spans="1:9">
      <c r="A836" s="9">
        <v>44993</v>
      </c>
      <c r="B836" t="s">
        <v>79</v>
      </c>
      <c r="C836" t="s">
        <v>8</v>
      </c>
      <c r="D836" s="4">
        <v>147</v>
      </c>
      <c r="E836" s="4"/>
      <c r="F836">
        <v>316</v>
      </c>
      <c r="H836" t="str">
        <f t="shared" si="13"/>
        <v>2023-03</v>
      </c>
      <c r="I836" t="str">
        <f>_xlfn.XLOOKUP(Table1[[#This Row],[Customer_ID]],Customers!$A$2:$A$30,Customers!$C$2:$C$30,"Not found")</f>
        <v>Mixed</v>
      </c>
    </row>
    <row r="837" spans="1:9">
      <c r="A837" s="9">
        <v>44994</v>
      </c>
      <c r="B837" t="s">
        <v>79</v>
      </c>
      <c r="C837" t="s">
        <v>8</v>
      </c>
      <c r="D837" s="4">
        <v>250</v>
      </c>
      <c r="E837" s="4"/>
      <c r="F837">
        <v>316</v>
      </c>
      <c r="H837" t="str">
        <f t="shared" si="13"/>
        <v>2023-03</v>
      </c>
      <c r="I837" t="str">
        <f>_xlfn.XLOOKUP(Table1[[#This Row],[Customer_ID]],Customers!$A$2:$A$30,Customers!$C$2:$C$30,"Not found")</f>
        <v>Mixed</v>
      </c>
    </row>
    <row r="838" spans="1:9">
      <c r="A838" s="9">
        <v>44994</v>
      </c>
      <c r="B838" t="s">
        <v>79</v>
      </c>
      <c r="C838" t="s">
        <v>8</v>
      </c>
      <c r="D838" s="4">
        <v>565</v>
      </c>
      <c r="E838" s="4"/>
      <c r="F838">
        <v>316</v>
      </c>
      <c r="H838" t="str">
        <f t="shared" si="13"/>
        <v>2023-03</v>
      </c>
      <c r="I838" t="str">
        <f>_xlfn.XLOOKUP(Table1[[#This Row],[Customer_ID]],Customers!$A$2:$A$30,Customers!$C$2:$C$30,"Not found")</f>
        <v>Mixed</v>
      </c>
    </row>
    <row r="839" spans="1:9">
      <c r="A839" s="9">
        <v>44994</v>
      </c>
      <c r="B839" t="s">
        <v>79</v>
      </c>
      <c r="C839" t="s">
        <v>22</v>
      </c>
      <c r="D839" s="4">
        <v>52</v>
      </c>
      <c r="E839" s="4">
        <v>10280</v>
      </c>
      <c r="F839">
        <v>316</v>
      </c>
      <c r="G839" t="s">
        <v>168</v>
      </c>
      <c r="H839" t="str">
        <f t="shared" si="13"/>
        <v>2023-03</v>
      </c>
      <c r="I839" t="str">
        <f>_xlfn.XLOOKUP(Table1[[#This Row],[Customer_ID]],Customers!$A$2:$A$30,Customers!$C$2:$C$30,"Not found")</f>
        <v>Mixed</v>
      </c>
    </row>
    <row r="840" spans="1:9">
      <c r="A840" s="9"/>
      <c r="B840" t="s">
        <v>79</v>
      </c>
      <c r="C840" t="s">
        <v>14</v>
      </c>
      <c r="D840" s="4">
        <v>7647</v>
      </c>
      <c r="E840" s="4">
        <v>2633</v>
      </c>
      <c r="F840">
        <v>316</v>
      </c>
      <c r="G840" t="s">
        <v>150</v>
      </c>
      <c r="H840" t="str">
        <f t="shared" si="13"/>
        <v/>
      </c>
      <c r="I840" t="str">
        <f>_xlfn.XLOOKUP(Table1[[#This Row],[Customer_ID]],Customers!$A$2:$A$30,Customers!$C$2:$C$30,"Not found")</f>
        <v>Mixed</v>
      </c>
    </row>
    <row r="841" spans="1:9">
      <c r="A841" s="9">
        <v>44997</v>
      </c>
      <c r="B841" t="s">
        <v>79</v>
      </c>
      <c r="C841" t="s">
        <v>8</v>
      </c>
      <c r="D841" s="4">
        <v>190</v>
      </c>
      <c r="E841" s="4"/>
      <c r="F841">
        <v>316</v>
      </c>
      <c r="H841" t="str">
        <f t="shared" si="13"/>
        <v>2023-03</v>
      </c>
      <c r="I841" t="str">
        <f>_xlfn.XLOOKUP(Table1[[#This Row],[Customer_ID]],Customers!$A$2:$A$30,Customers!$C$2:$C$30,"Not found")</f>
        <v>Mixed</v>
      </c>
    </row>
    <row r="842" spans="1:9">
      <c r="A842" s="9">
        <v>44998</v>
      </c>
      <c r="B842" t="s">
        <v>79</v>
      </c>
      <c r="C842" t="s">
        <v>8</v>
      </c>
      <c r="D842" s="4">
        <v>20</v>
      </c>
      <c r="E842" s="4"/>
      <c r="F842">
        <v>316</v>
      </c>
      <c r="H842" t="str">
        <f t="shared" si="13"/>
        <v>2023-03</v>
      </c>
      <c r="I842" t="str">
        <f>_xlfn.XLOOKUP(Table1[[#This Row],[Customer_ID]],Customers!$A$2:$A$30,Customers!$C$2:$C$30,"Not found")</f>
        <v>Mixed</v>
      </c>
    </row>
    <row r="843" spans="1:9">
      <c r="A843" s="9">
        <v>44999</v>
      </c>
      <c r="B843" t="s">
        <v>79</v>
      </c>
      <c r="C843" t="s">
        <v>8</v>
      </c>
      <c r="D843" s="4">
        <v>805</v>
      </c>
      <c r="E843" s="4"/>
      <c r="F843">
        <v>316</v>
      </c>
      <c r="H843" t="str">
        <f t="shared" si="13"/>
        <v>2023-03</v>
      </c>
      <c r="I843" t="str">
        <f>_xlfn.XLOOKUP(Table1[[#This Row],[Customer_ID]],Customers!$A$2:$A$30,Customers!$C$2:$C$30,"Not found")</f>
        <v>Mixed</v>
      </c>
    </row>
    <row r="844" spans="1:9">
      <c r="A844" s="9">
        <v>45001</v>
      </c>
      <c r="B844" t="s">
        <v>79</v>
      </c>
      <c r="C844" t="s">
        <v>8</v>
      </c>
      <c r="D844" s="4">
        <v>315</v>
      </c>
      <c r="E844" s="4"/>
      <c r="F844">
        <v>316</v>
      </c>
      <c r="H844" t="str">
        <f t="shared" si="13"/>
        <v>2023-03</v>
      </c>
      <c r="I844" t="str">
        <f>_xlfn.XLOOKUP(Table1[[#This Row],[Customer_ID]],Customers!$A$2:$A$30,Customers!$C$2:$C$30,"Not found")</f>
        <v>Mixed</v>
      </c>
    </row>
    <row r="845" spans="1:9">
      <c r="A845" s="9">
        <v>45001</v>
      </c>
      <c r="B845" t="s">
        <v>79</v>
      </c>
      <c r="C845" t="s">
        <v>8</v>
      </c>
      <c r="D845" s="4">
        <v>275</v>
      </c>
      <c r="E845" s="4"/>
      <c r="F845">
        <v>316</v>
      </c>
      <c r="H845" t="str">
        <f t="shared" si="13"/>
        <v>2023-03</v>
      </c>
      <c r="I845" t="str">
        <f>_xlfn.XLOOKUP(Table1[[#This Row],[Customer_ID]],Customers!$A$2:$A$30,Customers!$C$2:$C$30,"Not found")</f>
        <v>Mixed</v>
      </c>
    </row>
    <row r="846" spans="1:9">
      <c r="A846" s="9">
        <v>45002</v>
      </c>
      <c r="B846" t="s">
        <v>79</v>
      </c>
      <c r="C846" t="s">
        <v>8</v>
      </c>
      <c r="D846" s="4">
        <v>315</v>
      </c>
      <c r="E846" s="4"/>
      <c r="F846">
        <v>316</v>
      </c>
      <c r="H846" t="str">
        <f t="shared" si="13"/>
        <v>2023-03</v>
      </c>
      <c r="I846" t="str">
        <f>_xlfn.XLOOKUP(Table1[[#This Row],[Customer_ID]],Customers!$A$2:$A$30,Customers!$C$2:$C$30,"Not found")</f>
        <v>Mixed</v>
      </c>
    </row>
    <row r="847" spans="1:9">
      <c r="A847" s="9">
        <v>45003</v>
      </c>
      <c r="B847" t="s">
        <v>79</v>
      </c>
      <c r="C847" t="s">
        <v>8</v>
      </c>
      <c r="D847" s="4">
        <v>52</v>
      </c>
      <c r="E847" s="4"/>
      <c r="F847">
        <v>316</v>
      </c>
      <c r="H847" t="str">
        <f t="shared" si="13"/>
        <v>2023-03</v>
      </c>
      <c r="I847" t="str">
        <f>_xlfn.XLOOKUP(Table1[[#This Row],[Customer_ID]],Customers!$A$2:$A$30,Customers!$C$2:$C$30,"Not found")</f>
        <v>Mixed</v>
      </c>
    </row>
    <row r="848" spans="1:9">
      <c r="A848" s="9">
        <v>45005</v>
      </c>
      <c r="B848" t="s">
        <v>79</v>
      </c>
      <c r="C848" t="s">
        <v>8</v>
      </c>
      <c r="D848" s="4">
        <v>795</v>
      </c>
      <c r="E848" s="4"/>
      <c r="F848">
        <v>316</v>
      </c>
      <c r="H848" t="str">
        <f t="shared" si="13"/>
        <v>2023-03</v>
      </c>
      <c r="I848" t="str">
        <f>_xlfn.XLOOKUP(Table1[[#This Row],[Customer_ID]],Customers!$A$2:$A$30,Customers!$C$2:$C$30,"Not found")</f>
        <v>Mixed</v>
      </c>
    </row>
    <row r="849" spans="1:9">
      <c r="A849" s="9">
        <v>45006</v>
      </c>
      <c r="B849" t="s">
        <v>79</v>
      </c>
      <c r="C849" t="s">
        <v>8</v>
      </c>
      <c r="D849" s="4">
        <v>12</v>
      </c>
      <c r="E849" s="4"/>
      <c r="F849">
        <v>316</v>
      </c>
      <c r="H849" t="str">
        <f t="shared" si="13"/>
        <v>2023-03</v>
      </c>
      <c r="I849" t="str">
        <f>_xlfn.XLOOKUP(Table1[[#This Row],[Customer_ID]],Customers!$A$2:$A$30,Customers!$C$2:$C$30,"Not found")</f>
        <v>Mixed</v>
      </c>
    </row>
    <row r="850" spans="1:9">
      <c r="A850" s="9">
        <v>45007</v>
      </c>
      <c r="B850" t="s">
        <v>79</v>
      </c>
      <c r="C850" t="s">
        <v>8</v>
      </c>
      <c r="D850" s="4">
        <v>152</v>
      </c>
      <c r="E850" s="4"/>
      <c r="F850">
        <v>316</v>
      </c>
      <c r="H850" t="str">
        <f t="shared" si="13"/>
        <v>2023-03</v>
      </c>
      <c r="I850" t="str">
        <f>_xlfn.XLOOKUP(Table1[[#This Row],[Customer_ID]],Customers!$A$2:$A$30,Customers!$C$2:$C$30,"Not found")</f>
        <v>Mixed</v>
      </c>
    </row>
    <row r="851" spans="1:9">
      <c r="A851" s="9">
        <v>45008</v>
      </c>
      <c r="B851" t="s">
        <v>79</v>
      </c>
      <c r="C851" t="s">
        <v>8</v>
      </c>
      <c r="D851" s="4">
        <v>541</v>
      </c>
      <c r="E851" s="4"/>
      <c r="F851">
        <v>316</v>
      </c>
      <c r="H851" t="str">
        <f t="shared" si="13"/>
        <v>2023-03</v>
      </c>
      <c r="I851" t="str">
        <f>_xlfn.XLOOKUP(Table1[[#This Row],[Customer_ID]],Customers!$A$2:$A$30,Customers!$C$2:$C$30,"Not found")</f>
        <v>Mixed</v>
      </c>
    </row>
    <row r="852" spans="1:9">
      <c r="A852" s="9">
        <v>45010</v>
      </c>
      <c r="B852" t="s">
        <v>79</v>
      </c>
      <c r="C852" t="s">
        <v>8</v>
      </c>
      <c r="D852" s="4">
        <v>1390</v>
      </c>
      <c r="E852" s="4"/>
      <c r="F852">
        <v>316</v>
      </c>
      <c r="H852" t="str">
        <f t="shared" si="13"/>
        <v>2023-03</v>
      </c>
      <c r="I852" t="str">
        <f>_xlfn.XLOOKUP(Table1[[#This Row],[Customer_ID]],Customers!$A$2:$A$30,Customers!$C$2:$C$30,"Not found")</f>
        <v>Mixed</v>
      </c>
    </row>
    <row r="853" spans="1:9">
      <c r="A853" s="9">
        <v>45011</v>
      </c>
      <c r="B853" t="s">
        <v>79</v>
      </c>
      <c r="C853" t="s">
        <v>8</v>
      </c>
      <c r="D853" s="4">
        <v>170</v>
      </c>
      <c r="E853" s="4"/>
      <c r="F853">
        <v>316</v>
      </c>
      <c r="H853" t="str">
        <f t="shared" si="13"/>
        <v>2023-03</v>
      </c>
      <c r="I853" t="str">
        <f>_xlfn.XLOOKUP(Table1[[#This Row],[Customer_ID]],Customers!$A$2:$A$30,Customers!$C$2:$C$30,"Not found")</f>
        <v>Mixed</v>
      </c>
    </row>
    <row r="854" spans="1:9">
      <c r="A854" s="9">
        <v>45012</v>
      </c>
      <c r="B854" t="s">
        <v>79</v>
      </c>
      <c r="C854" t="s">
        <v>8</v>
      </c>
      <c r="D854" s="4">
        <v>637</v>
      </c>
      <c r="E854" s="4"/>
      <c r="F854">
        <v>316</v>
      </c>
      <c r="H854" t="str">
        <f t="shared" si="13"/>
        <v>2023-03</v>
      </c>
      <c r="I854" t="str">
        <f>_xlfn.XLOOKUP(Table1[[#This Row],[Customer_ID]],Customers!$A$2:$A$30,Customers!$C$2:$C$30,"Not found")</f>
        <v>Mixed</v>
      </c>
    </row>
    <row r="855" spans="1:9">
      <c r="A855" s="9">
        <v>45013</v>
      </c>
      <c r="B855" t="s">
        <v>79</v>
      </c>
      <c r="C855" t="s">
        <v>8</v>
      </c>
      <c r="D855" s="4">
        <v>178</v>
      </c>
      <c r="E855" s="4"/>
      <c r="F855">
        <v>316</v>
      </c>
      <c r="H855" t="str">
        <f t="shared" si="13"/>
        <v>2023-03</v>
      </c>
      <c r="I855" t="str">
        <f>_xlfn.XLOOKUP(Table1[[#This Row],[Customer_ID]],Customers!$A$2:$A$30,Customers!$C$2:$C$30,"Not found")</f>
        <v>Mixed</v>
      </c>
    </row>
    <row r="856" spans="1:9">
      <c r="A856" s="9">
        <v>45014</v>
      </c>
      <c r="B856" t="s">
        <v>79</v>
      </c>
      <c r="C856" t="s">
        <v>8</v>
      </c>
      <c r="D856" s="4">
        <v>703</v>
      </c>
      <c r="E856" s="4"/>
      <c r="F856">
        <v>316</v>
      </c>
      <c r="H856" t="str">
        <f t="shared" si="13"/>
        <v>2023-03</v>
      </c>
      <c r="I856" t="str">
        <f>_xlfn.XLOOKUP(Table1[[#This Row],[Customer_ID]],Customers!$A$2:$A$30,Customers!$C$2:$C$30,"Not found")</f>
        <v>Mixed</v>
      </c>
    </row>
    <row r="857" spans="1:9">
      <c r="A857" s="9">
        <v>45014</v>
      </c>
      <c r="B857" t="s">
        <v>79</v>
      </c>
      <c r="C857" t="s">
        <v>8</v>
      </c>
      <c r="D857" s="4">
        <v>352</v>
      </c>
      <c r="E857" s="4"/>
      <c r="F857">
        <v>316</v>
      </c>
      <c r="H857" t="str">
        <f t="shared" si="13"/>
        <v>2023-03</v>
      </c>
      <c r="I857" t="str">
        <f>_xlfn.XLOOKUP(Table1[[#This Row],[Customer_ID]],Customers!$A$2:$A$30,Customers!$C$2:$C$30,"Not found")</f>
        <v>Mixed</v>
      </c>
    </row>
    <row r="858" spans="1:9">
      <c r="A858" s="9">
        <v>45015</v>
      </c>
      <c r="B858" t="s">
        <v>79</v>
      </c>
      <c r="C858" t="s">
        <v>8</v>
      </c>
      <c r="D858" s="4">
        <v>177</v>
      </c>
      <c r="E858" s="4"/>
      <c r="F858">
        <v>316</v>
      </c>
      <c r="H858" t="str">
        <f t="shared" si="13"/>
        <v>2023-03</v>
      </c>
      <c r="I858" t="str">
        <f>_xlfn.XLOOKUP(Table1[[#This Row],[Customer_ID]],Customers!$A$2:$A$30,Customers!$C$2:$C$30,"Not found")</f>
        <v>Mixed</v>
      </c>
    </row>
    <row r="859" spans="1:9">
      <c r="A859" s="9">
        <v>45017</v>
      </c>
      <c r="B859" t="s">
        <v>79</v>
      </c>
      <c r="C859" t="s">
        <v>8</v>
      </c>
      <c r="D859" s="4">
        <v>989</v>
      </c>
      <c r="E859" s="4"/>
      <c r="F859">
        <v>316</v>
      </c>
      <c r="H859" t="str">
        <f t="shared" si="13"/>
        <v>2023-04</v>
      </c>
      <c r="I859" t="str">
        <f>_xlfn.XLOOKUP(Table1[[#This Row],[Customer_ID]],Customers!$A$2:$A$30,Customers!$C$2:$C$30,"Not found")</f>
        <v>Mixed</v>
      </c>
    </row>
    <row r="860" spans="1:9">
      <c r="A860" s="9">
        <v>45018</v>
      </c>
      <c r="B860" t="s">
        <v>79</v>
      </c>
      <c r="C860" t="s">
        <v>8</v>
      </c>
      <c r="D860" s="4">
        <v>62</v>
      </c>
      <c r="E860" s="4"/>
      <c r="F860">
        <v>316</v>
      </c>
      <c r="H860" t="str">
        <f t="shared" si="13"/>
        <v>2023-04</v>
      </c>
      <c r="I860" t="str">
        <f>_xlfn.XLOOKUP(Table1[[#This Row],[Customer_ID]],Customers!$A$2:$A$30,Customers!$C$2:$C$30,"Not found")</f>
        <v>Mixed</v>
      </c>
    </row>
    <row r="861" spans="1:9">
      <c r="A861" s="9">
        <v>45018</v>
      </c>
      <c r="B861" t="s">
        <v>79</v>
      </c>
      <c r="C861" t="s">
        <v>8</v>
      </c>
      <c r="D861" s="4">
        <v>40</v>
      </c>
      <c r="E861" s="4"/>
      <c r="F861">
        <v>316</v>
      </c>
      <c r="H861" t="str">
        <f t="shared" si="13"/>
        <v>2023-04</v>
      </c>
      <c r="I861" t="str">
        <f>_xlfn.XLOOKUP(Table1[[#This Row],[Customer_ID]],Customers!$A$2:$A$30,Customers!$C$2:$C$30,"Not found")</f>
        <v>Mixed</v>
      </c>
    </row>
    <row r="862" spans="1:9">
      <c r="A862" s="9">
        <v>45019</v>
      </c>
      <c r="B862" t="s">
        <v>79</v>
      </c>
      <c r="C862" t="s">
        <v>8</v>
      </c>
      <c r="D862" s="4">
        <v>162</v>
      </c>
      <c r="E862" s="4"/>
      <c r="F862">
        <v>316</v>
      </c>
      <c r="H862" t="str">
        <f t="shared" si="13"/>
        <v>2023-04</v>
      </c>
      <c r="I862" t="str">
        <f>_xlfn.XLOOKUP(Table1[[#This Row],[Customer_ID]],Customers!$A$2:$A$30,Customers!$C$2:$C$30,"Not found")</f>
        <v>Mixed</v>
      </c>
    </row>
    <row r="863" spans="1:9">
      <c r="A863" s="9">
        <v>45019</v>
      </c>
      <c r="B863" t="s">
        <v>79</v>
      </c>
      <c r="C863" t="s">
        <v>8</v>
      </c>
      <c r="D863" s="4">
        <v>34</v>
      </c>
      <c r="E863" s="4"/>
      <c r="F863">
        <v>316</v>
      </c>
      <c r="H863" t="str">
        <f t="shared" si="13"/>
        <v>2023-04</v>
      </c>
      <c r="I863" t="str">
        <f>_xlfn.XLOOKUP(Table1[[#This Row],[Customer_ID]],Customers!$A$2:$A$30,Customers!$C$2:$C$30,"Not found")</f>
        <v>Mixed</v>
      </c>
    </row>
    <row r="864" spans="1:9">
      <c r="A864" s="9">
        <v>45019</v>
      </c>
      <c r="B864" t="s">
        <v>79</v>
      </c>
      <c r="C864" t="s">
        <v>8</v>
      </c>
      <c r="D864" s="4">
        <v>345</v>
      </c>
      <c r="E864" s="4"/>
      <c r="F864">
        <v>316</v>
      </c>
      <c r="H864" t="str">
        <f t="shared" si="13"/>
        <v>2023-04</v>
      </c>
      <c r="I864" t="str">
        <f>_xlfn.XLOOKUP(Table1[[#This Row],[Customer_ID]],Customers!$A$2:$A$30,Customers!$C$2:$C$30,"Not found")</f>
        <v>Mixed</v>
      </c>
    </row>
    <row r="865" spans="1:9">
      <c r="A865" s="9">
        <v>45020</v>
      </c>
      <c r="B865" t="s">
        <v>79</v>
      </c>
      <c r="C865" t="s">
        <v>8</v>
      </c>
      <c r="D865" s="4">
        <v>214</v>
      </c>
      <c r="E865" s="4"/>
      <c r="F865">
        <v>316</v>
      </c>
      <c r="H865" t="str">
        <f t="shared" si="13"/>
        <v>2023-04</v>
      </c>
      <c r="I865" t="str">
        <f>_xlfn.XLOOKUP(Table1[[#This Row],[Customer_ID]],Customers!$A$2:$A$30,Customers!$C$2:$C$30,"Not found")</f>
        <v>Mixed</v>
      </c>
    </row>
    <row r="866" spans="1:9">
      <c r="A866" s="9">
        <v>45021</v>
      </c>
      <c r="B866" t="s">
        <v>79</v>
      </c>
      <c r="C866" t="s">
        <v>8</v>
      </c>
      <c r="D866" s="4">
        <v>60</v>
      </c>
      <c r="E866" s="4"/>
      <c r="F866">
        <v>317</v>
      </c>
      <c r="H866" t="str">
        <f t="shared" si="13"/>
        <v>2023-04</v>
      </c>
      <c r="I866" t="str">
        <f>_xlfn.XLOOKUP(Table1[[#This Row],[Customer_ID]],Customers!$A$2:$A$30,Customers!$C$2:$C$30,"Not found")</f>
        <v>Mixed</v>
      </c>
    </row>
    <row r="867" spans="1:9">
      <c r="A867" s="9">
        <v>45021</v>
      </c>
      <c r="B867" t="s">
        <v>79</v>
      </c>
      <c r="C867" t="s">
        <v>8</v>
      </c>
      <c r="D867" s="4">
        <v>40</v>
      </c>
      <c r="E867" s="4"/>
      <c r="F867">
        <v>317</v>
      </c>
      <c r="H867" t="str">
        <f t="shared" si="13"/>
        <v>2023-04</v>
      </c>
      <c r="I867" t="str">
        <f>_xlfn.XLOOKUP(Table1[[#This Row],[Customer_ID]],Customers!$A$2:$A$30,Customers!$C$2:$C$30,"Not found")</f>
        <v>Mixed</v>
      </c>
    </row>
    <row r="868" spans="1:9">
      <c r="A868" s="9">
        <v>45022</v>
      </c>
      <c r="B868" t="s">
        <v>79</v>
      </c>
      <c r="C868" t="s">
        <v>8</v>
      </c>
      <c r="D868" s="4">
        <v>726</v>
      </c>
      <c r="E868" s="4"/>
      <c r="F868">
        <v>317</v>
      </c>
      <c r="H868" t="str">
        <f t="shared" si="13"/>
        <v>2023-04</v>
      </c>
      <c r="I868" t="str">
        <f>_xlfn.XLOOKUP(Table1[[#This Row],[Customer_ID]],Customers!$A$2:$A$30,Customers!$C$2:$C$30,"Not found")</f>
        <v>Mixed</v>
      </c>
    </row>
    <row r="869" spans="1:9">
      <c r="A869" s="9">
        <v>45022</v>
      </c>
      <c r="B869" t="s">
        <v>79</v>
      </c>
      <c r="C869" t="s">
        <v>8</v>
      </c>
      <c r="D869" s="4">
        <v>120</v>
      </c>
      <c r="E869" s="4"/>
      <c r="F869">
        <v>317</v>
      </c>
      <c r="H869" t="str">
        <f t="shared" si="13"/>
        <v>2023-04</v>
      </c>
      <c r="I869" t="str">
        <f>_xlfn.XLOOKUP(Table1[[#This Row],[Customer_ID]],Customers!$A$2:$A$30,Customers!$C$2:$C$30,"Not found")</f>
        <v>Mixed</v>
      </c>
    </row>
    <row r="870" spans="1:9">
      <c r="A870" s="9">
        <v>45024</v>
      </c>
      <c r="B870" t="s">
        <v>79</v>
      </c>
      <c r="C870" t="s">
        <v>8</v>
      </c>
      <c r="D870" s="4">
        <v>140</v>
      </c>
      <c r="E870" s="4"/>
      <c r="F870">
        <v>317</v>
      </c>
      <c r="H870" t="str">
        <f t="shared" si="13"/>
        <v>2023-04</v>
      </c>
      <c r="I870" t="str">
        <f>_xlfn.XLOOKUP(Table1[[#This Row],[Customer_ID]],Customers!$A$2:$A$30,Customers!$C$2:$C$30,"Not found")</f>
        <v>Mixed</v>
      </c>
    </row>
    <row r="871" spans="1:9">
      <c r="A871" s="9">
        <v>45024</v>
      </c>
      <c r="B871" t="s">
        <v>79</v>
      </c>
      <c r="C871" t="s">
        <v>22</v>
      </c>
      <c r="D871" s="4">
        <v>-2605</v>
      </c>
      <c r="E871" s="4">
        <v>10039</v>
      </c>
      <c r="F871">
        <v>317</v>
      </c>
      <c r="G871" t="s">
        <v>171</v>
      </c>
      <c r="H871" t="str">
        <f t="shared" si="13"/>
        <v>2023-04</v>
      </c>
      <c r="I871" t="str">
        <f>_xlfn.XLOOKUP(Table1[[#This Row],[Customer_ID]],Customers!$A$2:$A$30,Customers!$C$2:$C$30,"Not found")</f>
        <v>Mixed</v>
      </c>
    </row>
    <row r="872" spans="1:9">
      <c r="A872" s="9"/>
      <c r="B872" t="s">
        <v>79</v>
      </c>
      <c r="C872" t="s">
        <v>14</v>
      </c>
      <c r="D872" s="4">
        <v>7406</v>
      </c>
      <c r="E872" s="4">
        <v>2633</v>
      </c>
      <c r="F872">
        <v>317</v>
      </c>
      <c r="G872" t="s">
        <v>170</v>
      </c>
      <c r="H872" t="str">
        <f t="shared" si="13"/>
        <v/>
      </c>
      <c r="I872" t="str">
        <f>_xlfn.XLOOKUP(Table1[[#This Row],[Customer_ID]],Customers!$A$2:$A$30,Customers!$C$2:$C$30,"Not found")</f>
        <v>Mixed</v>
      </c>
    </row>
    <row r="873" spans="1:9">
      <c r="A873" s="9">
        <v>45025</v>
      </c>
      <c r="B873" t="s">
        <v>79</v>
      </c>
      <c r="C873" t="s">
        <v>8</v>
      </c>
      <c r="D873" s="4">
        <v>397</v>
      </c>
      <c r="E873" s="4"/>
      <c r="F873">
        <v>317</v>
      </c>
      <c r="H873" t="str">
        <f t="shared" si="13"/>
        <v>2023-04</v>
      </c>
      <c r="I873" t="str">
        <f>_xlfn.XLOOKUP(Table1[[#This Row],[Customer_ID]],Customers!$A$2:$A$30,Customers!$C$2:$C$30,"Not found")</f>
        <v>Mixed</v>
      </c>
    </row>
    <row r="874" spans="1:9">
      <c r="A874" s="9">
        <v>45026</v>
      </c>
      <c r="B874" t="s">
        <v>79</v>
      </c>
      <c r="C874" t="s">
        <v>8</v>
      </c>
      <c r="D874" s="4">
        <v>321</v>
      </c>
      <c r="E874" s="4"/>
      <c r="F874">
        <v>317</v>
      </c>
      <c r="H874" t="str">
        <f t="shared" si="13"/>
        <v>2023-04</v>
      </c>
      <c r="I874" t="str">
        <f>_xlfn.XLOOKUP(Table1[[#This Row],[Customer_ID]],Customers!$A$2:$A$30,Customers!$C$2:$C$30,"Not found")</f>
        <v>Mixed</v>
      </c>
    </row>
    <row r="875" spans="1:9">
      <c r="A875" s="9">
        <v>45027</v>
      </c>
      <c r="B875" t="s">
        <v>79</v>
      </c>
      <c r="C875" t="s">
        <v>8</v>
      </c>
      <c r="D875" s="4">
        <v>120</v>
      </c>
      <c r="E875" s="4"/>
      <c r="F875">
        <v>317</v>
      </c>
      <c r="H875" t="str">
        <f t="shared" si="13"/>
        <v>2023-04</v>
      </c>
      <c r="I875" t="str">
        <f>_xlfn.XLOOKUP(Table1[[#This Row],[Customer_ID]],Customers!$A$2:$A$30,Customers!$C$2:$C$30,"Not found")</f>
        <v>Mixed</v>
      </c>
    </row>
    <row r="876" spans="1:9">
      <c r="A876" s="9">
        <v>45029</v>
      </c>
      <c r="B876" t="s">
        <v>79</v>
      </c>
      <c r="C876" t="s">
        <v>8</v>
      </c>
      <c r="D876" s="4">
        <v>1624</v>
      </c>
      <c r="E876" s="4"/>
      <c r="F876">
        <v>317</v>
      </c>
      <c r="H876" t="str">
        <f t="shared" si="13"/>
        <v>2023-04</v>
      </c>
      <c r="I876" t="str">
        <f>_xlfn.XLOOKUP(Table1[[#This Row],[Customer_ID]],Customers!$A$2:$A$30,Customers!$C$2:$C$30,"Not found")</f>
        <v>Mixed</v>
      </c>
    </row>
    <row r="877" spans="1:9">
      <c r="A877" s="9">
        <v>45030</v>
      </c>
      <c r="B877" t="s">
        <v>79</v>
      </c>
      <c r="C877" t="s">
        <v>8</v>
      </c>
      <c r="D877" s="4">
        <v>120</v>
      </c>
      <c r="E877" s="4"/>
      <c r="F877">
        <v>317</v>
      </c>
      <c r="H877" t="str">
        <f t="shared" si="13"/>
        <v>2023-04</v>
      </c>
      <c r="I877" t="str">
        <f>_xlfn.XLOOKUP(Table1[[#This Row],[Customer_ID]],Customers!$A$2:$A$30,Customers!$C$2:$C$30,"Not found")</f>
        <v>Mixed</v>
      </c>
    </row>
    <row r="878" spans="1:9">
      <c r="A878" s="9">
        <v>45032</v>
      </c>
      <c r="B878" t="s">
        <v>79</v>
      </c>
      <c r="C878" t="s">
        <v>8</v>
      </c>
      <c r="D878" s="4">
        <v>264</v>
      </c>
      <c r="E878" s="4"/>
      <c r="F878">
        <v>317</v>
      </c>
      <c r="H878" t="str">
        <f t="shared" si="13"/>
        <v>2023-04</v>
      </c>
      <c r="I878" t="str">
        <f>_xlfn.XLOOKUP(Table1[[#This Row],[Customer_ID]],Customers!$A$2:$A$30,Customers!$C$2:$C$30,"Not found")</f>
        <v>Mixed</v>
      </c>
    </row>
    <row r="879" spans="1:9">
      <c r="A879" s="9">
        <v>45033</v>
      </c>
      <c r="B879" t="s">
        <v>79</v>
      </c>
      <c r="C879" t="s">
        <v>8</v>
      </c>
      <c r="D879" s="4">
        <v>70</v>
      </c>
      <c r="E879" s="4"/>
      <c r="F879">
        <v>317</v>
      </c>
      <c r="H879" t="str">
        <f t="shared" si="13"/>
        <v>2023-04</v>
      </c>
      <c r="I879" t="str">
        <f>_xlfn.XLOOKUP(Table1[[#This Row],[Customer_ID]],Customers!$A$2:$A$30,Customers!$C$2:$C$30,"Not found")</f>
        <v>Mixed</v>
      </c>
    </row>
    <row r="880" spans="1:9">
      <c r="A880" s="9">
        <v>45033</v>
      </c>
      <c r="B880" t="s">
        <v>79</v>
      </c>
      <c r="C880" t="s">
        <v>8</v>
      </c>
      <c r="D880" s="4">
        <v>60</v>
      </c>
      <c r="E880" s="4"/>
      <c r="F880">
        <v>317</v>
      </c>
      <c r="H880" t="str">
        <f t="shared" si="13"/>
        <v>2023-04</v>
      </c>
      <c r="I880" t="str">
        <f>_xlfn.XLOOKUP(Table1[[#This Row],[Customer_ID]],Customers!$A$2:$A$30,Customers!$C$2:$C$30,"Not found")</f>
        <v>Mixed</v>
      </c>
    </row>
    <row r="881" spans="1:9">
      <c r="A881" s="9">
        <v>45034</v>
      </c>
      <c r="B881" t="s">
        <v>79</v>
      </c>
      <c r="C881" t="s">
        <v>8</v>
      </c>
      <c r="D881" s="4">
        <v>250</v>
      </c>
      <c r="E881" s="4"/>
      <c r="F881">
        <v>317</v>
      </c>
      <c r="H881" t="str">
        <f t="shared" si="13"/>
        <v>2023-04</v>
      </c>
      <c r="I881" t="str">
        <f>_xlfn.XLOOKUP(Table1[[#This Row],[Customer_ID]],Customers!$A$2:$A$30,Customers!$C$2:$C$30,"Not found")</f>
        <v>Mixed</v>
      </c>
    </row>
    <row r="882" spans="1:9">
      <c r="A882" s="9">
        <v>45035</v>
      </c>
      <c r="B882" t="s">
        <v>79</v>
      </c>
      <c r="C882" t="s">
        <v>8</v>
      </c>
      <c r="D882" s="4">
        <v>251</v>
      </c>
      <c r="E882" s="4"/>
      <c r="F882">
        <v>317</v>
      </c>
      <c r="H882" t="str">
        <f t="shared" si="13"/>
        <v>2023-04</v>
      </c>
      <c r="I882" t="str">
        <f>_xlfn.XLOOKUP(Table1[[#This Row],[Customer_ID]],Customers!$A$2:$A$30,Customers!$C$2:$C$30,"Not found")</f>
        <v>Mixed</v>
      </c>
    </row>
    <row r="883" spans="1:9">
      <c r="A883" s="9">
        <v>45037</v>
      </c>
      <c r="B883" t="s">
        <v>79</v>
      </c>
      <c r="C883" t="s">
        <v>8</v>
      </c>
      <c r="D883" s="4">
        <v>1250</v>
      </c>
      <c r="E883" s="4"/>
      <c r="F883">
        <v>317</v>
      </c>
      <c r="H883" t="str">
        <f t="shared" si="13"/>
        <v>2023-04</v>
      </c>
      <c r="I883" t="str">
        <f>_xlfn.XLOOKUP(Table1[[#This Row],[Customer_ID]],Customers!$A$2:$A$30,Customers!$C$2:$C$30,"Not found")</f>
        <v>Mixed</v>
      </c>
    </row>
    <row r="884" spans="1:9">
      <c r="A884" s="9">
        <v>45038</v>
      </c>
      <c r="B884" t="s">
        <v>79</v>
      </c>
      <c r="C884" t="s">
        <v>8</v>
      </c>
      <c r="D884" s="4">
        <v>280</v>
      </c>
      <c r="E884" s="4"/>
      <c r="F884">
        <v>317</v>
      </c>
      <c r="H884" t="str">
        <f t="shared" si="13"/>
        <v>2023-04</v>
      </c>
      <c r="I884" t="str">
        <f>_xlfn.XLOOKUP(Table1[[#This Row],[Customer_ID]],Customers!$A$2:$A$30,Customers!$C$2:$C$30,"Not found")</f>
        <v>Mixed</v>
      </c>
    </row>
    <row r="885" spans="1:9">
      <c r="A885" s="9">
        <v>45038</v>
      </c>
      <c r="B885" t="s">
        <v>79</v>
      </c>
      <c r="C885" t="s">
        <v>8</v>
      </c>
      <c r="D885" s="4">
        <v>115</v>
      </c>
      <c r="E885" s="4"/>
      <c r="F885">
        <v>317</v>
      </c>
      <c r="H885" t="str">
        <f t="shared" si="13"/>
        <v>2023-04</v>
      </c>
      <c r="I885" t="str">
        <f>_xlfn.XLOOKUP(Table1[[#This Row],[Customer_ID]],Customers!$A$2:$A$30,Customers!$C$2:$C$30,"Not found")</f>
        <v>Mixed</v>
      </c>
    </row>
    <row r="886" spans="1:9">
      <c r="A886" s="9">
        <v>45039</v>
      </c>
      <c r="B886" t="s">
        <v>79</v>
      </c>
      <c r="C886" t="s">
        <v>8</v>
      </c>
      <c r="D886" s="4">
        <v>280</v>
      </c>
      <c r="E886" s="4"/>
      <c r="F886">
        <v>317</v>
      </c>
      <c r="H886" t="str">
        <f t="shared" si="13"/>
        <v>2023-04</v>
      </c>
      <c r="I886" t="str">
        <f>_xlfn.XLOOKUP(Table1[[#This Row],[Customer_ID]],Customers!$A$2:$A$30,Customers!$C$2:$C$30,"Not found")</f>
        <v>Mixed</v>
      </c>
    </row>
    <row r="887" spans="1:9">
      <c r="A887" s="9">
        <v>45040</v>
      </c>
      <c r="B887" t="s">
        <v>79</v>
      </c>
      <c r="C887" t="s">
        <v>8</v>
      </c>
      <c r="D887" s="4">
        <v>182</v>
      </c>
      <c r="E887" s="4"/>
      <c r="F887">
        <v>317</v>
      </c>
      <c r="H887" t="str">
        <f t="shared" si="13"/>
        <v>2023-04</v>
      </c>
      <c r="I887" t="str">
        <f>_xlfn.XLOOKUP(Table1[[#This Row],[Customer_ID]],Customers!$A$2:$A$30,Customers!$C$2:$C$30,"Not found")</f>
        <v>Mixed</v>
      </c>
    </row>
    <row r="888" spans="1:9">
      <c r="A888" s="9">
        <v>45042</v>
      </c>
      <c r="B888" t="s">
        <v>79</v>
      </c>
      <c r="C888" t="s">
        <v>8</v>
      </c>
      <c r="D888" s="4">
        <v>191</v>
      </c>
      <c r="E888" s="4"/>
      <c r="F888">
        <v>317</v>
      </c>
      <c r="H888" t="str">
        <f t="shared" si="13"/>
        <v>2023-04</v>
      </c>
      <c r="I888" t="str">
        <f>_xlfn.XLOOKUP(Table1[[#This Row],[Customer_ID]],Customers!$A$2:$A$30,Customers!$C$2:$C$30,"Not found")</f>
        <v>Mixed</v>
      </c>
    </row>
    <row r="889" spans="1:9">
      <c r="A889" s="9">
        <v>45043</v>
      </c>
      <c r="B889" t="s">
        <v>79</v>
      </c>
      <c r="C889" t="s">
        <v>8</v>
      </c>
      <c r="D889" s="4">
        <v>131</v>
      </c>
      <c r="E889" s="4"/>
      <c r="F889">
        <v>317</v>
      </c>
      <c r="H889" t="str">
        <f t="shared" si="13"/>
        <v>2023-04</v>
      </c>
      <c r="I889" t="str">
        <f>_xlfn.XLOOKUP(Table1[[#This Row],[Customer_ID]],Customers!$A$2:$A$30,Customers!$C$2:$C$30,"Not found")</f>
        <v>Mixed</v>
      </c>
    </row>
    <row r="890" spans="1:9">
      <c r="A890" s="9">
        <v>45044</v>
      </c>
      <c r="B890" t="s">
        <v>79</v>
      </c>
      <c r="C890" t="s">
        <v>8</v>
      </c>
      <c r="D890" s="4">
        <v>181</v>
      </c>
      <c r="E890" s="4"/>
      <c r="F890">
        <v>317</v>
      </c>
      <c r="H890" t="str">
        <f t="shared" si="13"/>
        <v>2023-04</v>
      </c>
      <c r="I890" t="str">
        <f>_xlfn.XLOOKUP(Table1[[#This Row],[Customer_ID]],Customers!$A$2:$A$30,Customers!$C$2:$C$30,"Not found")</f>
        <v>Mixed</v>
      </c>
    </row>
    <row r="891" spans="1:9">
      <c r="A891" s="9">
        <v>45045</v>
      </c>
      <c r="B891" t="s">
        <v>79</v>
      </c>
      <c r="C891" t="s">
        <v>8</v>
      </c>
      <c r="D891" s="4">
        <v>492</v>
      </c>
      <c r="E891" s="4"/>
      <c r="F891">
        <v>317</v>
      </c>
      <c r="H891" t="str">
        <f t="shared" si="13"/>
        <v>2023-04</v>
      </c>
      <c r="I891" t="str">
        <f>_xlfn.XLOOKUP(Table1[[#This Row],[Customer_ID]],Customers!$A$2:$A$30,Customers!$C$2:$C$30,"Not found")</f>
        <v>Mixed</v>
      </c>
    </row>
    <row r="892" spans="1:9">
      <c r="A892" s="9">
        <v>45046</v>
      </c>
      <c r="B892" t="s">
        <v>79</v>
      </c>
      <c r="C892" t="s">
        <v>8</v>
      </c>
      <c r="D892" s="4">
        <v>166</v>
      </c>
      <c r="E892" s="4"/>
      <c r="F892">
        <v>317</v>
      </c>
      <c r="H892" t="str">
        <f t="shared" si="13"/>
        <v>2023-04</v>
      </c>
      <c r="I892" t="str">
        <f>_xlfn.XLOOKUP(Table1[[#This Row],[Customer_ID]],Customers!$A$2:$A$30,Customers!$C$2:$C$30,"Not found")</f>
        <v>Mixed</v>
      </c>
    </row>
    <row r="893" spans="1:9">
      <c r="A893" s="9">
        <v>45047</v>
      </c>
      <c r="B893" t="s">
        <v>79</v>
      </c>
      <c r="C893" t="s">
        <v>8</v>
      </c>
      <c r="D893" s="4">
        <v>52</v>
      </c>
      <c r="E893" s="4"/>
      <c r="F893">
        <v>317</v>
      </c>
      <c r="G893" t="s">
        <v>151</v>
      </c>
      <c r="H893" t="str">
        <f t="shared" si="13"/>
        <v>2023-05</v>
      </c>
      <c r="I893" t="str">
        <f>_xlfn.XLOOKUP(Table1[[#This Row],[Customer_ID]],Customers!$A$2:$A$30,Customers!$C$2:$C$30,"Not found")</f>
        <v>Mixed</v>
      </c>
    </row>
    <row r="894" spans="1:9">
      <c r="A894" s="9">
        <v>45049</v>
      </c>
      <c r="B894" t="s">
        <v>79</v>
      </c>
      <c r="C894" t="s">
        <v>8</v>
      </c>
      <c r="D894" s="4">
        <v>139</v>
      </c>
      <c r="E894" s="4"/>
      <c r="F894">
        <v>317</v>
      </c>
      <c r="H894" t="str">
        <f t="shared" si="13"/>
        <v>2023-05</v>
      </c>
      <c r="I894" t="str">
        <f>_xlfn.XLOOKUP(Table1[[#This Row],[Customer_ID]],Customers!$A$2:$A$30,Customers!$C$2:$C$30,"Not found")</f>
        <v>Mixed</v>
      </c>
    </row>
    <row r="895" spans="1:9">
      <c r="A895" s="9">
        <v>44812</v>
      </c>
      <c r="B895" t="s">
        <v>79</v>
      </c>
      <c r="C895" t="s">
        <v>28</v>
      </c>
      <c r="D895" s="4">
        <v>6954</v>
      </c>
      <c r="E895" s="4">
        <v>6954</v>
      </c>
      <c r="F895">
        <v>204</v>
      </c>
      <c r="G895" t="s">
        <v>173</v>
      </c>
      <c r="H895" t="str">
        <f t="shared" ref="H895:H958" si="14">IF(A895="","",TEXT(A895,"yyyy-mm"))</f>
        <v>2022-09</v>
      </c>
      <c r="I895" t="str">
        <f>_xlfn.XLOOKUP(Table1[[#This Row],[Customer_ID]],Customers!$A$2:$A$30,Customers!$C$2:$C$30,"Not found")</f>
        <v>Mixed</v>
      </c>
    </row>
    <row r="896" spans="1:9">
      <c r="A896" s="9">
        <v>44812</v>
      </c>
      <c r="B896" t="s">
        <v>79</v>
      </c>
      <c r="C896" t="s">
        <v>8</v>
      </c>
      <c r="D896" s="4">
        <v>254</v>
      </c>
      <c r="E896" s="4">
        <v>7208</v>
      </c>
      <c r="F896">
        <v>204</v>
      </c>
      <c r="G896" t="s">
        <v>174</v>
      </c>
      <c r="H896" t="str">
        <f t="shared" si="14"/>
        <v>2022-09</v>
      </c>
      <c r="I896" t="str">
        <f>_xlfn.XLOOKUP(Table1[[#This Row],[Customer_ID]],Customers!$A$2:$A$30,Customers!$C$2:$C$30,"Not found")</f>
        <v>Mixed</v>
      </c>
    </row>
    <row r="897" spans="1:9">
      <c r="A897" s="9">
        <v>44819</v>
      </c>
      <c r="B897" t="s">
        <v>79</v>
      </c>
      <c r="C897" t="s">
        <v>14</v>
      </c>
      <c r="D897" s="4">
        <v>6086</v>
      </c>
      <c r="E897" s="4">
        <v>1122</v>
      </c>
      <c r="F897">
        <v>204</v>
      </c>
      <c r="G897" t="s">
        <v>175</v>
      </c>
      <c r="H897" t="str">
        <f t="shared" si="14"/>
        <v>2022-09</v>
      </c>
      <c r="I897" t="str">
        <f>_xlfn.XLOOKUP(Table1[[#This Row],[Customer_ID]],Customers!$A$2:$A$30,Customers!$C$2:$C$30,"Not found")</f>
        <v>Mixed</v>
      </c>
    </row>
    <row r="898" spans="1:9">
      <c r="A898" s="9">
        <v>44815</v>
      </c>
      <c r="B898" t="s">
        <v>79</v>
      </c>
      <c r="C898" t="s">
        <v>8</v>
      </c>
      <c r="D898" s="4">
        <v>692</v>
      </c>
      <c r="E898" s="4"/>
      <c r="F898">
        <v>204</v>
      </c>
      <c r="H898" t="str">
        <f t="shared" si="14"/>
        <v>2022-09</v>
      </c>
      <c r="I898" t="str">
        <f>_xlfn.XLOOKUP(Table1[[#This Row],[Customer_ID]],Customers!$A$2:$A$30,Customers!$C$2:$C$30,"Not found")</f>
        <v>Mixed</v>
      </c>
    </row>
    <row r="899" spans="1:9">
      <c r="A899" s="9">
        <v>44816</v>
      </c>
      <c r="B899" t="s">
        <v>79</v>
      </c>
      <c r="C899" t="s">
        <v>8</v>
      </c>
      <c r="D899" s="4">
        <v>65</v>
      </c>
      <c r="E899" s="4"/>
      <c r="F899">
        <v>204</v>
      </c>
      <c r="H899" t="str">
        <f t="shared" si="14"/>
        <v>2022-09</v>
      </c>
      <c r="I899" t="str">
        <f>_xlfn.XLOOKUP(Table1[[#This Row],[Customer_ID]],Customers!$A$2:$A$30,Customers!$C$2:$C$30,"Not found")</f>
        <v>Mixed</v>
      </c>
    </row>
    <row r="900" spans="1:9">
      <c r="A900" s="9">
        <v>44819</v>
      </c>
      <c r="B900" t="s">
        <v>79</v>
      </c>
      <c r="C900" t="s">
        <v>8</v>
      </c>
      <c r="D900" s="4">
        <v>470</v>
      </c>
      <c r="E900" s="4"/>
      <c r="F900">
        <v>204</v>
      </c>
      <c r="G900" t="s">
        <v>176</v>
      </c>
      <c r="H900" t="str">
        <f t="shared" si="14"/>
        <v>2022-09</v>
      </c>
      <c r="I900" t="str">
        <f>_xlfn.XLOOKUP(Table1[[#This Row],[Customer_ID]],Customers!$A$2:$A$30,Customers!$C$2:$C$30,"Not found")</f>
        <v>Mixed</v>
      </c>
    </row>
    <row r="901" spans="1:9">
      <c r="A901" s="9">
        <v>44820</v>
      </c>
      <c r="B901" t="s">
        <v>79</v>
      </c>
      <c r="C901" t="s">
        <v>8</v>
      </c>
      <c r="D901" s="4">
        <v>1543</v>
      </c>
      <c r="E901" s="4"/>
      <c r="F901">
        <v>204</v>
      </c>
      <c r="H901" t="str">
        <f t="shared" si="14"/>
        <v>2022-09</v>
      </c>
      <c r="I901" t="str">
        <f>_xlfn.XLOOKUP(Table1[[#This Row],[Customer_ID]],Customers!$A$2:$A$30,Customers!$C$2:$C$30,"Not found")</f>
        <v>Mixed</v>
      </c>
    </row>
    <row r="902" spans="1:9">
      <c r="A902" s="9">
        <v>44824</v>
      </c>
      <c r="B902" t="s">
        <v>79</v>
      </c>
      <c r="C902" t="s">
        <v>8</v>
      </c>
      <c r="D902" s="4">
        <v>963</v>
      </c>
      <c r="E902" s="4"/>
      <c r="F902">
        <v>204</v>
      </c>
      <c r="H902" t="str">
        <f t="shared" si="14"/>
        <v>2022-09</v>
      </c>
      <c r="I902" t="str">
        <f>_xlfn.XLOOKUP(Table1[[#This Row],[Customer_ID]],Customers!$A$2:$A$30,Customers!$C$2:$C$30,"Not found")</f>
        <v>Mixed</v>
      </c>
    </row>
    <row r="903" spans="1:9">
      <c r="A903" s="9">
        <v>44828</v>
      </c>
      <c r="B903" t="s">
        <v>79</v>
      </c>
      <c r="C903" t="s">
        <v>8</v>
      </c>
      <c r="D903" s="4">
        <v>446</v>
      </c>
      <c r="E903" s="4"/>
      <c r="F903">
        <v>204</v>
      </c>
      <c r="H903" t="str">
        <f t="shared" si="14"/>
        <v>2022-09</v>
      </c>
      <c r="I903" t="str">
        <f>_xlfn.XLOOKUP(Table1[[#This Row],[Customer_ID]],Customers!$A$2:$A$30,Customers!$C$2:$C$30,"Not found")</f>
        <v>Mixed</v>
      </c>
    </row>
    <row r="904" spans="1:9">
      <c r="A904" s="9">
        <v>44829</v>
      </c>
      <c r="B904" t="s">
        <v>79</v>
      </c>
      <c r="C904" t="s">
        <v>8</v>
      </c>
      <c r="D904" s="4">
        <v>15</v>
      </c>
      <c r="E904" s="4"/>
      <c r="F904">
        <v>204</v>
      </c>
      <c r="H904" t="str">
        <f t="shared" si="14"/>
        <v>2022-09</v>
      </c>
      <c r="I904" t="str">
        <f>_xlfn.XLOOKUP(Table1[[#This Row],[Customer_ID]],Customers!$A$2:$A$30,Customers!$C$2:$C$30,"Not found")</f>
        <v>Mixed</v>
      </c>
    </row>
    <row r="905" spans="1:9">
      <c r="A905" s="9">
        <v>44830</v>
      </c>
      <c r="B905" t="s">
        <v>79</v>
      </c>
      <c r="C905" t="s">
        <v>8</v>
      </c>
      <c r="D905" s="4">
        <v>28</v>
      </c>
      <c r="E905" s="4"/>
      <c r="F905">
        <v>204</v>
      </c>
      <c r="H905" t="str">
        <f t="shared" si="14"/>
        <v>2022-09</v>
      </c>
      <c r="I905" t="str">
        <f>_xlfn.XLOOKUP(Table1[[#This Row],[Customer_ID]],Customers!$A$2:$A$30,Customers!$C$2:$C$30,"Not found")</f>
        <v>Mixed</v>
      </c>
    </row>
    <row r="906" spans="1:9">
      <c r="A906" s="9">
        <v>44832</v>
      </c>
      <c r="B906" t="s">
        <v>79</v>
      </c>
      <c r="C906" t="s">
        <v>8</v>
      </c>
      <c r="D906" s="4">
        <v>480</v>
      </c>
      <c r="E906" s="4"/>
      <c r="F906">
        <v>204</v>
      </c>
      <c r="H906" t="str">
        <f t="shared" si="14"/>
        <v>2022-09</v>
      </c>
      <c r="I906" t="str">
        <f>_xlfn.XLOOKUP(Table1[[#This Row],[Customer_ID]],Customers!$A$2:$A$30,Customers!$C$2:$C$30,"Not found")</f>
        <v>Mixed</v>
      </c>
    </row>
    <row r="907" spans="1:9">
      <c r="A907" s="9">
        <v>44832</v>
      </c>
      <c r="B907" t="s">
        <v>79</v>
      </c>
      <c r="C907" t="s">
        <v>8</v>
      </c>
      <c r="D907" s="4">
        <v>10</v>
      </c>
      <c r="E907" s="4"/>
      <c r="F907">
        <v>204</v>
      </c>
      <c r="H907" t="str">
        <f t="shared" si="14"/>
        <v>2022-09</v>
      </c>
      <c r="I907" t="str">
        <f>_xlfn.XLOOKUP(Table1[[#This Row],[Customer_ID]],Customers!$A$2:$A$30,Customers!$C$2:$C$30,"Not found")</f>
        <v>Mixed</v>
      </c>
    </row>
    <row r="908" spans="1:9">
      <c r="A908" s="9">
        <v>44832</v>
      </c>
      <c r="B908" t="s">
        <v>79</v>
      </c>
      <c r="C908" t="s">
        <v>8</v>
      </c>
      <c r="D908" s="4">
        <v>40</v>
      </c>
      <c r="E908" s="4"/>
      <c r="F908">
        <v>204</v>
      </c>
      <c r="H908" t="str">
        <f t="shared" si="14"/>
        <v>2022-09</v>
      </c>
      <c r="I908" t="str">
        <f>_xlfn.XLOOKUP(Table1[[#This Row],[Customer_ID]],Customers!$A$2:$A$30,Customers!$C$2:$C$30,"Not found")</f>
        <v>Mixed</v>
      </c>
    </row>
    <row r="909" spans="1:9">
      <c r="A909" s="9">
        <v>44834</v>
      </c>
      <c r="B909" t="s">
        <v>79</v>
      </c>
      <c r="C909" t="s">
        <v>8</v>
      </c>
      <c r="D909" s="4">
        <v>30</v>
      </c>
      <c r="E909" s="4"/>
      <c r="F909">
        <v>204</v>
      </c>
      <c r="H909" t="str">
        <f t="shared" si="14"/>
        <v>2022-09</v>
      </c>
      <c r="I909" t="str">
        <f>_xlfn.XLOOKUP(Table1[[#This Row],[Customer_ID]],Customers!$A$2:$A$30,Customers!$C$2:$C$30,"Not found")</f>
        <v>Mixed</v>
      </c>
    </row>
    <row r="910" spans="1:9">
      <c r="A910" s="9">
        <v>44836</v>
      </c>
      <c r="B910" t="s">
        <v>79</v>
      </c>
      <c r="C910" t="s">
        <v>8</v>
      </c>
      <c r="D910" s="4">
        <v>162</v>
      </c>
      <c r="E910" s="4"/>
      <c r="F910">
        <v>204</v>
      </c>
      <c r="H910" t="str">
        <f t="shared" si="14"/>
        <v>2022-10</v>
      </c>
      <c r="I910" t="str">
        <f>_xlfn.XLOOKUP(Table1[[#This Row],[Customer_ID]],Customers!$A$2:$A$30,Customers!$C$2:$C$30,"Not found")</f>
        <v>Mixed</v>
      </c>
    </row>
    <row r="911" spans="1:9">
      <c r="A911" s="9">
        <v>44838</v>
      </c>
      <c r="B911" t="s">
        <v>79</v>
      </c>
      <c r="C911" t="s">
        <v>8</v>
      </c>
      <c r="D911" s="4">
        <v>331</v>
      </c>
      <c r="E911" s="4"/>
      <c r="F911">
        <v>204</v>
      </c>
      <c r="H911" t="str">
        <f t="shared" si="14"/>
        <v>2022-10</v>
      </c>
      <c r="I911" t="str">
        <f>_xlfn.XLOOKUP(Table1[[#This Row],[Customer_ID]],Customers!$A$2:$A$30,Customers!$C$2:$C$30,"Not found")</f>
        <v>Mixed</v>
      </c>
    </row>
    <row r="912" spans="1:9">
      <c r="A912" s="9">
        <v>44842</v>
      </c>
      <c r="B912" t="s">
        <v>79</v>
      </c>
      <c r="C912" t="s">
        <v>8</v>
      </c>
      <c r="D912" s="4">
        <v>47</v>
      </c>
      <c r="E912" s="4"/>
      <c r="F912">
        <v>204</v>
      </c>
      <c r="H912" t="str">
        <f t="shared" si="14"/>
        <v>2022-10</v>
      </c>
      <c r="I912" t="str">
        <f>_xlfn.XLOOKUP(Table1[[#This Row],[Customer_ID]],Customers!$A$2:$A$30,Customers!$C$2:$C$30,"Not found")</f>
        <v>Mixed</v>
      </c>
    </row>
    <row r="913" spans="1:9">
      <c r="A913" s="9">
        <v>44843</v>
      </c>
      <c r="B913" t="s">
        <v>79</v>
      </c>
      <c r="C913" t="s">
        <v>8</v>
      </c>
      <c r="D913" s="4">
        <v>197</v>
      </c>
      <c r="E913" s="4">
        <v>6641</v>
      </c>
      <c r="F913">
        <v>204</v>
      </c>
      <c r="G913" t="s">
        <v>177</v>
      </c>
      <c r="H913" t="str">
        <f t="shared" si="14"/>
        <v>2022-10</v>
      </c>
      <c r="I913" t="str">
        <f>_xlfn.XLOOKUP(Table1[[#This Row],[Customer_ID]],Customers!$A$2:$A$30,Customers!$C$2:$C$30,"Not found")</f>
        <v>Mixed</v>
      </c>
    </row>
    <row r="914" spans="1:9">
      <c r="A914" s="9">
        <v>44848</v>
      </c>
      <c r="B914" t="s">
        <v>79</v>
      </c>
      <c r="C914" t="s">
        <v>14</v>
      </c>
      <c r="D914" s="4">
        <v>4000</v>
      </c>
      <c r="E914" s="4">
        <v>2641</v>
      </c>
      <c r="F914">
        <v>204</v>
      </c>
      <c r="G914" t="s">
        <v>178</v>
      </c>
      <c r="H914" t="str">
        <f t="shared" si="14"/>
        <v>2022-10</v>
      </c>
      <c r="I914" t="str">
        <f>_xlfn.XLOOKUP(Table1[[#This Row],[Customer_ID]],Customers!$A$2:$A$30,Customers!$C$2:$C$30,"Not found")</f>
        <v>Mixed</v>
      </c>
    </row>
    <row r="915" spans="1:9">
      <c r="A915" s="10"/>
      <c r="B915" s="7" t="s">
        <v>79</v>
      </c>
      <c r="C915" s="7" t="s">
        <v>14</v>
      </c>
      <c r="D915" s="8">
        <v>2641</v>
      </c>
      <c r="E915" s="8">
        <v>0</v>
      </c>
      <c r="F915" s="7">
        <v>204</v>
      </c>
      <c r="G915" s="7" t="s">
        <v>179</v>
      </c>
      <c r="H915" t="str">
        <f t="shared" si="14"/>
        <v/>
      </c>
      <c r="I915" t="str">
        <f>_xlfn.XLOOKUP(Table1[[#This Row],[Customer_ID]],Customers!$A$2:$A$30,Customers!$C$2:$C$30,"Not found")</f>
        <v>Mixed</v>
      </c>
    </row>
    <row r="916" spans="1:9">
      <c r="A916" s="9">
        <v>44846</v>
      </c>
      <c r="B916" t="s">
        <v>79</v>
      </c>
      <c r="C916" t="s">
        <v>8</v>
      </c>
      <c r="D916" s="4">
        <v>80</v>
      </c>
      <c r="E916" s="4"/>
      <c r="F916">
        <v>204</v>
      </c>
      <c r="H916" t="str">
        <f t="shared" si="14"/>
        <v>2022-10</v>
      </c>
      <c r="I916" t="str">
        <f>_xlfn.XLOOKUP(Table1[[#This Row],[Customer_ID]],Customers!$A$2:$A$30,Customers!$C$2:$C$30,"Not found")</f>
        <v>Mixed</v>
      </c>
    </row>
    <row r="917" spans="1:9">
      <c r="A917" s="9">
        <v>44847</v>
      </c>
      <c r="B917" t="s">
        <v>79</v>
      </c>
      <c r="C917" t="s">
        <v>8</v>
      </c>
      <c r="D917" s="4">
        <v>86</v>
      </c>
      <c r="E917" s="4"/>
      <c r="F917">
        <v>204</v>
      </c>
      <c r="H917" t="str">
        <f t="shared" si="14"/>
        <v>2022-10</v>
      </c>
      <c r="I917" t="str">
        <f>_xlfn.XLOOKUP(Table1[[#This Row],[Customer_ID]],Customers!$A$2:$A$30,Customers!$C$2:$C$30,"Not found")</f>
        <v>Mixed</v>
      </c>
    </row>
    <row r="918" spans="1:9">
      <c r="A918" s="9">
        <v>44848</v>
      </c>
      <c r="B918" t="s">
        <v>79</v>
      </c>
      <c r="C918" t="s">
        <v>8</v>
      </c>
      <c r="D918" s="4">
        <v>180</v>
      </c>
      <c r="E918" s="4"/>
      <c r="F918">
        <v>204</v>
      </c>
      <c r="H918" t="str">
        <f t="shared" si="14"/>
        <v>2022-10</v>
      </c>
      <c r="I918" t="str">
        <f>_xlfn.XLOOKUP(Table1[[#This Row],[Customer_ID]],Customers!$A$2:$A$30,Customers!$C$2:$C$30,"Not found")</f>
        <v>Mixed</v>
      </c>
    </row>
    <row r="919" spans="1:9">
      <c r="A919" s="9">
        <v>44850</v>
      </c>
      <c r="B919" t="s">
        <v>79</v>
      </c>
      <c r="C919" t="s">
        <v>8</v>
      </c>
      <c r="D919" s="4">
        <v>484</v>
      </c>
      <c r="E919" s="4"/>
      <c r="F919">
        <v>204</v>
      </c>
      <c r="H919" t="str">
        <f t="shared" si="14"/>
        <v>2022-10</v>
      </c>
      <c r="I919" t="str">
        <f>_xlfn.XLOOKUP(Table1[[#This Row],[Customer_ID]],Customers!$A$2:$A$30,Customers!$C$2:$C$30,"Not found")</f>
        <v>Mixed</v>
      </c>
    </row>
    <row r="920" spans="1:9">
      <c r="A920" s="9">
        <v>44853</v>
      </c>
      <c r="B920" t="s">
        <v>79</v>
      </c>
      <c r="C920" t="s">
        <v>8</v>
      </c>
      <c r="D920" s="4">
        <v>186</v>
      </c>
      <c r="E920" s="4"/>
      <c r="F920">
        <v>204</v>
      </c>
      <c r="H920" t="str">
        <f t="shared" si="14"/>
        <v>2022-10</v>
      </c>
      <c r="I920" t="str">
        <f>_xlfn.XLOOKUP(Table1[[#This Row],[Customer_ID]],Customers!$A$2:$A$30,Customers!$C$2:$C$30,"Not found")</f>
        <v>Mixed</v>
      </c>
    </row>
    <row r="921" spans="1:9">
      <c r="A921" s="9">
        <v>44855</v>
      </c>
      <c r="B921" t="s">
        <v>79</v>
      </c>
      <c r="C921" t="s">
        <v>8</v>
      </c>
      <c r="D921" s="4">
        <v>332</v>
      </c>
      <c r="E921" s="4"/>
      <c r="F921">
        <v>204</v>
      </c>
      <c r="H921" t="str">
        <f t="shared" si="14"/>
        <v>2022-10</v>
      </c>
      <c r="I921" t="str">
        <f>_xlfn.XLOOKUP(Table1[[#This Row],[Customer_ID]],Customers!$A$2:$A$30,Customers!$C$2:$C$30,"Not found")</f>
        <v>Mixed</v>
      </c>
    </row>
    <row r="922" spans="1:9">
      <c r="A922" s="9">
        <v>44856</v>
      </c>
      <c r="B922" t="s">
        <v>79</v>
      </c>
      <c r="C922" t="s">
        <v>8</v>
      </c>
      <c r="D922" s="4">
        <v>370</v>
      </c>
      <c r="E922" s="4"/>
      <c r="F922">
        <v>204</v>
      </c>
      <c r="H922" t="str">
        <f t="shared" si="14"/>
        <v>2022-10</v>
      </c>
      <c r="I922" t="str">
        <f>_xlfn.XLOOKUP(Table1[[#This Row],[Customer_ID]],Customers!$A$2:$A$30,Customers!$C$2:$C$30,"Not found")</f>
        <v>Mixed</v>
      </c>
    </row>
    <row r="923" spans="1:9">
      <c r="A923" s="9">
        <v>44859</v>
      </c>
      <c r="B923" t="s">
        <v>79</v>
      </c>
      <c r="C923" t="s">
        <v>8</v>
      </c>
      <c r="D923" s="4">
        <v>644</v>
      </c>
      <c r="E923" s="4"/>
      <c r="F923">
        <v>204</v>
      </c>
      <c r="H923" t="str">
        <f t="shared" si="14"/>
        <v>2022-10</v>
      </c>
      <c r="I923" t="str">
        <f>_xlfn.XLOOKUP(Table1[[#This Row],[Customer_ID]],Customers!$A$2:$A$30,Customers!$C$2:$C$30,"Not found")</f>
        <v>Mixed</v>
      </c>
    </row>
    <row r="924" spans="1:9">
      <c r="A924" s="9">
        <v>44860</v>
      </c>
      <c r="B924" t="s">
        <v>79</v>
      </c>
      <c r="C924" t="s">
        <v>8</v>
      </c>
      <c r="D924" s="4">
        <v>35</v>
      </c>
      <c r="E924" s="4"/>
      <c r="F924">
        <v>204</v>
      </c>
      <c r="H924" t="str">
        <f t="shared" si="14"/>
        <v>2022-10</v>
      </c>
      <c r="I924" t="str">
        <f>_xlfn.XLOOKUP(Table1[[#This Row],[Customer_ID]],Customers!$A$2:$A$30,Customers!$C$2:$C$30,"Not found")</f>
        <v>Mixed</v>
      </c>
    </row>
    <row r="925" spans="1:9">
      <c r="A925" s="9">
        <v>44861</v>
      </c>
      <c r="B925" t="s">
        <v>79</v>
      </c>
      <c r="C925" t="s">
        <v>8</v>
      </c>
      <c r="D925" s="4">
        <v>40</v>
      </c>
      <c r="E925" s="4"/>
      <c r="F925">
        <v>204</v>
      </c>
      <c r="H925" t="str">
        <f t="shared" si="14"/>
        <v>2022-10</v>
      </c>
      <c r="I925" t="str">
        <f>_xlfn.XLOOKUP(Table1[[#This Row],[Customer_ID]],Customers!$A$2:$A$30,Customers!$C$2:$C$30,"Not found")</f>
        <v>Mixed</v>
      </c>
    </row>
    <row r="926" spans="1:9">
      <c r="A926" s="9">
        <v>44864</v>
      </c>
      <c r="B926" t="s">
        <v>79</v>
      </c>
      <c r="C926" t="s">
        <v>8</v>
      </c>
      <c r="D926" s="4">
        <v>209</v>
      </c>
      <c r="E926" s="4"/>
      <c r="F926">
        <v>204</v>
      </c>
      <c r="H926" t="str">
        <f t="shared" si="14"/>
        <v>2022-10</v>
      </c>
      <c r="I926" t="str">
        <f>_xlfn.XLOOKUP(Table1[[#This Row],[Customer_ID]],Customers!$A$2:$A$30,Customers!$C$2:$C$30,"Not found")</f>
        <v>Mixed</v>
      </c>
    </row>
    <row r="927" spans="1:9">
      <c r="A927" s="9">
        <v>44864</v>
      </c>
      <c r="B927" t="s">
        <v>79</v>
      </c>
      <c r="C927" t="s">
        <v>8</v>
      </c>
      <c r="D927" s="4">
        <v>90</v>
      </c>
      <c r="E927" s="4"/>
      <c r="F927">
        <v>204</v>
      </c>
      <c r="H927" t="str">
        <f t="shared" si="14"/>
        <v>2022-10</v>
      </c>
      <c r="I927" t="str">
        <f>_xlfn.XLOOKUP(Table1[[#This Row],[Customer_ID]],Customers!$A$2:$A$30,Customers!$C$2:$C$30,"Not found")</f>
        <v>Mixed</v>
      </c>
    </row>
    <row r="928" spans="1:9">
      <c r="A928" s="9">
        <v>44866</v>
      </c>
      <c r="B928" t="s">
        <v>79</v>
      </c>
      <c r="C928" t="s">
        <v>8</v>
      </c>
      <c r="D928" s="4">
        <v>337</v>
      </c>
      <c r="E928" s="4"/>
      <c r="F928">
        <v>204</v>
      </c>
      <c r="H928" t="str">
        <f t="shared" si="14"/>
        <v>2022-11</v>
      </c>
      <c r="I928" t="str">
        <f>_xlfn.XLOOKUP(Table1[[#This Row],[Customer_ID]],Customers!$A$2:$A$30,Customers!$C$2:$C$30,"Not found")</f>
        <v>Mixed</v>
      </c>
    </row>
    <row r="929" spans="1:9">
      <c r="A929" s="9">
        <v>44866</v>
      </c>
      <c r="B929" t="s">
        <v>79</v>
      </c>
      <c r="C929" t="s">
        <v>8</v>
      </c>
      <c r="D929" s="4">
        <v>30</v>
      </c>
      <c r="E929" s="4"/>
      <c r="F929">
        <v>204</v>
      </c>
      <c r="H929" t="str">
        <f t="shared" si="14"/>
        <v>2022-11</v>
      </c>
      <c r="I929" t="str">
        <f>_xlfn.XLOOKUP(Table1[[#This Row],[Customer_ID]],Customers!$A$2:$A$30,Customers!$C$2:$C$30,"Not found")</f>
        <v>Mixed</v>
      </c>
    </row>
    <row r="930" spans="1:9">
      <c r="A930" s="9">
        <v>44867</v>
      </c>
      <c r="B930" t="s">
        <v>79</v>
      </c>
      <c r="C930" t="s">
        <v>8</v>
      </c>
      <c r="D930" s="4">
        <v>58</v>
      </c>
      <c r="E930" s="4"/>
      <c r="F930">
        <v>204</v>
      </c>
      <c r="H930" t="str">
        <f t="shared" si="14"/>
        <v>2022-11</v>
      </c>
      <c r="I930" t="str">
        <f>_xlfn.XLOOKUP(Table1[[#This Row],[Customer_ID]],Customers!$A$2:$A$30,Customers!$C$2:$C$30,"Not found")</f>
        <v>Mixed</v>
      </c>
    </row>
    <row r="931" spans="1:9">
      <c r="A931" s="9">
        <v>44871</v>
      </c>
      <c r="B931" t="s">
        <v>79</v>
      </c>
      <c r="C931" t="s">
        <v>8</v>
      </c>
      <c r="D931" s="4">
        <v>669</v>
      </c>
      <c r="E931" s="4"/>
      <c r="F931">
        <v>204</v>
      </c>
      <c r="H931" t="str">
        <f t="shared" si="14"/>
        <v>2022-11</v>
      </c>
      <c r="I931" t="str">
        <f>_xlfn.XLOOKUP(Table1[[#This Row],[Customer_ID]],Customers!$A$2:$A$30,Customers!$C$2:$C$30,"Not found")</f>
        <v>Mixed</v>
      </c>
    </row>
    <row r="932" spans="1:9">
      <c r="A932" s="9">
        <v>44873</v>
      </c>
      <c r="B932" t="s">
        <v>79</v>
      </c>
      <c r="C932" t="s">
        <v>8</v>
      </c>
      <c r="D932" s="4">
        <v>306</v>
      </c>
      <c r="E932" s="4"/>
      <c r="F932">
        <v>204</v>
      </c>
      <c r="H932" t="str">
        <f t="shared" si="14"/>
        <v>2022-11</v>
      </c>
      <c r="I932" t="str">
        <f>_xlfn.XLOOKUP(Table1[[#This Row],[Customer_ID]],Customers!$A$2:$A$30,Customers!$C$2:$C$30,"Not found")</f>
        <v>Mixed</v>
      </c>
    </row>
    <row r="933" spans="1:9">
      <c r="A933" s="9">
        <v>44874</v>
      </c>
      <c r="B933" t="s">
        <v>79</v>
      </c>
      <c r="C933" t="s">
        <v>8</v>
      </c>
      <c r="D933" s="4">
        <v>1200</v>
      </c>
      <c r="E933" s="4">
        <v>5336</v>
      </c>
      <c r="F933">
        <v>204</v>
      </c>
      <c r="G933" t="s">
        <v>180</v>
      </c>
      <c r="H933" t="str">
        <f t="shared" si="14"/>
        <v>2022-11</v>
      </c>
      <c r="I933" t="str">
        <f>_xlfn.XLOOKUP(Table1[[#This Row],[Customer_ID]],Customers!$A$2:$A$30,Customers!$C$2:$C$30,"Not found")</f>
        <v>Mixed</v>
      </c>
    </row>
    <row r="934" spans="1:9">
      <c r="A934" s="9">
        <v>44877</v>
      </c>
      <c r="B934" t="s">
        <v>79</v>
      </c>
      <c r="C934" t="s">
        <v>14</v>
      </c>
      <c r="D934" s="4">
        <v>5336</v>
      </c>
      <c r="E934" s="4">
        <v>0</v>
      </c>
      <c r="F934">
        <v>204</v>
      </c>
      <c r="G934" t="s">
        <v>181</v>
      </c>
      <c r="H934" t="str">
        <f t="shared" si="14"/>
        <v>2022-11</v>
      </c>
      <c r="I934" t="str">
        <f>_xlfn.XLOOKUP(Table1[[#This Row],[Customer_ID]],Customers!$A$2:$A$30,Customers!$C$2:$C$30,"Not found")</f>
        <v>Mixed</v>
      </c>
    </row>
    <row r="935" spans="1:9">
      <c r="A935" s="9">
        <v>44876</v>
      </c>
      <c r="B935" t="s">
        <v>79</v>
      </c>
      <c r="C935" t="s">
        <v>8</v>
      </c>
      <c r="D935" s="4">
        <v>157</v>
      </c>
      <c r="E935" s="4"/>
      <c r="F935">
        <v>204</v>
      </c>
      <c r="H935" t="str">
        <f t="shared" si="14"/>
        <v>2022-11</v>
      </c>
      <c r="I935" t="str">
        <f>_xlfn.XLOOKUP(Table1[[#This Row],[Customer_ID]],Customers!$A$2:$A$30,Customers!$C$2:$C$30,"Not found")</f>
        <v>Mixed</v>
      </c>
    </row>
    <row r="936" spans="1:9">
      <c r="A936" s="9">
        <v>44877</v>
      </c>
      <c r="B936" t="s">
        <v>79</v>
      </c>
      <c r="C936" t="s">
        <v>8</v>
      </c>
      <c r="D936" s="4">
        <v>400</v>
      </c>
      <c r="E936" s="4"/>
      <c r="F936">
        <v>204</v>
      </c>
      <c r="H936" t="str">
        <f t="shared" si="14"/>
        <v>2022-11</v>
      </c>
      <c r="I936" t="str">
        <f>_xlfn.XLOOKUP(Table1[[#This Row],[Customer_ID]],Customers!$A$2:$A$30,Customers!$C$2:$C$30,"Not found")</f>
        <v>Mixed</v>
      </c>
    </row>
    <row r="937" spans="1:9">
      <c r="A937" s="9">
        <v>44881</v>
      </c>
      <c r="B937" t="s">
        <v>79</v>
      </c>
      <c r="C937" t="s">
        <v>8</v>
      </c>
      <c r="D937" s="4">
        <v>792</v>
      </c>
      <c r="E937" s="4"/>
      <c r="F937">
        <v>204</v>
      </c>
      <c r="H937" t="str">
        <f t="shared" si="14"/>
        <v>2022-11</v>
      </c>
      <c r="I937" t="str">
        <f>_xlfn.XLOOKUP(Table1[[#This Row],[Customer_ID]],Customers!$A$2:$A$30,Customers!$C$2:$C$30,"Not found")</f>
        <v>Mixed</v>
      </c>
    </row>
    <row r="938" spans="1:9">
      <c r="A938" s="9">
        <v>44888</v>
      </c>
      <c r="B938" t="s">
        <v>79</v>
      </c>
      <c r="C938" t="s">
        <v>8</v>
      </c>
      <c r="D938" s="4">
        <v>614</v>
      </c>
      <c r="E938" s="4"/>
      <c r="F938">
        <v>204</v>
      </c>
      <c r="G938" t="s">
        <v>182</v>
      </c>
      <c r="H938" t="str">
        <f t="shared" si="14"/>
        <v>2022-11</v>
      </c>
      <c r="I938" t="str">
        <f>_xlfn.XLOOKUP(Table1[[#This Row],[Customer_ID]],Customers!$A$2:$A$30,Customers!$C$2:$C$30,"Not found")</f>
        <v>Mixed</v>
      </c>
    </row>
    <row r="939" spans="1:9">
      <c r="A939" s="9">
        <v>44890</v>
      </c>
      <c r="B939" t="s">
        <v>79</v>
      </c>
      <c r="C939" t="s">
        <v>8</v>
      </c>
      <c r="D939" s="4">
        <v>466</v>
      </c>
      <c r="E939" s="4"/>
      <c r="F939">
        <v>204</v>
      </c>
      <c r="H939" t="str">
        <f t="shared" si="14"/>
        <v>2022-11</v>
      </c>
      <c r="I939" t="str">
        <f>_xlfn.XLOOKUP(Table1[[#This Row],[Customer_ID]],Customers!$A$2:$A$30,Customers!$C$2:$C$30,"Not found")</f>
        <v>Mixed</v>
      </c>
    </row>
    <row r="940" spans="1:9">
      <c r="A940" s="9">
        <v>44893</v>
      </c>
      <c r="B940" t="s">
        <v>79</v>
      </c>
      <c r="C940" t="s">
        <v>8</v>
      </c>
      <c r="D940" s="4">
        <v>170</v>
      </c>
      <c r="E940" s="4"/>
      <c r="F940">
        <v>204</v>
      </c>
      <c r="H940" t="str">
        <f t="shared" si="14"/>
        <v>2022-11</v>
      </c>
      <c r="I940" t="str">
        <f>_xlfn.XLOOKUP(Table1[[#This Row],[Customer_ID]],Customers!$A$2:$A$30,Customers!$C$2:$C$30,"Not found")</f>
        <v>Mixed</v>
      </c>
    </row>
    <row r="941" spans="1:9">
      <c r="A941" s="9">
        <v>44893</v>
      </c>
      <c r="B941" t="s">
        <v>79</v>
      </c>
      <c r="C941" t="s">
        <v>8</v>
      </c>
      <c r="D941" s="4">
        <v>246</v>
      </c>
      <c r="E941" s="4"/>
      <c r="F941">
        <v>204</v>
      </c>
      <c r="H941" t="str">
        <f t="shared" si="14"/>
        <v>2022-11</v>
      </c>
      <c r="I941" t="str">
        <f>_xlfn.XLOOKUP(Table1[[#This Row],[Customer_ID]],Customers!$A$2:$A$30,Customers!$C$2:$C$30,"Not found")</f>
        <v>Mixed</v>
      </c>
    </row>
    <row r="942" spans="1:9">
      <c r="A942" s="9">
        <v>44894</v>
      </c>
      <c r="B942" t="s">
        <v>79</v>
      </c>
      <c r="C942" t="s">
        <v>8</v>
      </c>
      <c r="D942" s="4">
        <v>109</v>
      </c>
      <c r="E942" s="4"/>
      <c r="F942">
        <v>204</v>
      </c>
      <c r="H942" t="str">
        <f t="shared" si="14"/>
        <v>2022-11</v>
      </c>
      <c r="I942" t="str">
        <f>_xlfn.XLOOKUP(Table1[[#This Row],[Customer_ID]],Customers!$A$2:$A$30,Customers!$C$2:$C$30,"Not found")</f>
        <v>Mixed</v>
      </c>
    </row>
    <row r="943" spans="1:9">
      <c r="A943" s="9">
        <v>44897</v>
      </c>
      <c r="B943" t="s">
        <v>79</v>
      </c>
      <c r="C943" t="s">
        <v>8</v>
      </c>
      <c r="D943" s="4">
        <v>478</v>
      </c>
      <c r="E943" s="4"/>
      <c r="F943">
        <v>204</v>
      </c>
      <c r="H943" t="str">
        <f t="shared" si="14"/>
        <v>2022-12</v>
      </c>
      <c r="I943" t="str">
        <f>_xlfn.XLOOKUP(Table1[[#This Row],[Customer_ID]],Customers!$A$2:$A$30,Customers!$C$2:$C$30,"Not found")</f>
        <v>Mixed</v>
      </c>
    </row>
    <row r="944" spans="1:9">
      <c r="A944" s="9">
        <v>44897</v>
      </c>
      <c r="B944" t="s">
        <v>79</v>
      </c>
      <c r="C944" t="s">
        <v>8</v>
      </c>
      <c r="D944" s="4">
        <v>275</v>
      </c>
      <c r="E944" s="4"/>
      <c r="F944">
        <v>204</v>
      </c>
      <c r="H944" t="str">
        <f t="shared" si="14"/>
        <v>2022-12</v>
      </c>
      <c r="I944" t="str">
        <f>_xlfn.XLOOKUP(Table1[[#This Row],[Customer_ID]],Customers!$A$2:$A$30,Customers!$C$2:$C$30,"Not found")</f>
        <v>Mixed</v>
      </c>
    </row>
    <row r="945" spans="1:9">
      <c r="A945" s="9">
        <v>44899</v>
      </c>
      <c r="B945" t="s">
        <v>79</v>
      </c>
      <c r="C945" t="s">
        <v>8</v>
      </c>
      <c r="D945" s="4">
        <v>155</v>
      </c>
      <c r="E945" s="4"/>
      <c r="F945">
        <v>204</v>
      </c>
      <c r="H945" t="str">
        <f t="shared" si="14"/>
        <v>2022-12</v>
      </c>
      <c r="I945" t="str">
        <f>_xlfn.XLOOKUP(Table1[[#This Row],[Customer_ID]],Customers!$A$2:$A$30,Customers!$C$2:$C$30,"Not found")</f>
        <v>Mixed</v>
      </c>
    </row>
    <row r="946" spans="1:9">
      <c r="A946" s="9">
        <v>44901</v>
      </c>
      <c r="B946" t="s">
        <v>79</v>
      </c>
      <c r="C946" t="s">
        <v>8</v>
      </c>
      <c r="D946" s="4">
        <v>30</v>
      </c>
      <c r="E946" s="4"/>
      <c r="F946">
        <v>204</v>
      </c>
      <c r="H946" t="str">
        <f t="shared" si="14"/>
        <v>2022-12</v>
      </c>
      <c r="I946" t="str">
        <f>_xlfn.XLOOKUP(Table1[[#This Row],[Customer_ID]],Customers!$A$2:$A$30,Customers!$C$2:$C$30,"Not found")</f>
        <v>Mixed</v>
      </c>
    </row>
    <row r="947" spans="1:9">
      <c r="A947" s="9">
        <v>44904</v>
      </c>
      <c r="B947" t="s">
        <v>79</v>
      </c>
      <c r="C947" t="s">
        <v>8</v>
      </c>
      <c r="D947" s="4">
        <v>50</v>
      </c>
      <c r="E947" s="4">
        <v>3942</v>
      </c>
      <c r="F947">
        <v>204</v>
      </c>
      <c r="G947" t="s">
        <v>183</v>
      </c>
      <c r="H947" t="str">
        <f t="shared" si="14"/>
        <v>2022-12</v>
      </c>
      <c r="I947" t="str">
        <f>_xlfn.XLOOKUP(Table1[[#This Row],[Customer_ID]],Customers!$A$2:$A$30,Customers!$C$2:$C$30,"Not found")</f>
        <v>Mixed</v>
      </c>
    </row>
    <row r="948" spans="1:9">
      <c r="A948" s="9"/>
      <c r="B948" t="s">
        <v>79</v>
      </c>
      <c r="C948" t="s">
        <v>14</v>
      </c>
      <c r="D948" s="4">
        <v>3942</v>
      </c>
      <c r="E948" s="4">
        <v>0</v>
      </c>
      <c r="F948">
        <v>204</v>
      </c>
      <c r="G948" t="s">
        <v>184</v>
      </c>
      <c r="H948" t="str">
        <f t="shared" si="14"/>
        <v/>
      </c>
      <c r="I948" t="str">
        <f>_xlfn.XLOOKUP(Table1[[#This Row],[Customer_ID]],Customers!$A$2:$A$30,Customers!$C$2:$C$30,"Not found")</f>
        <v>Mixed</v>
      </c>
    </row>
    <row r="949" spans="1:9">
      <c r="A949" s="9">
        <v>44906</v>
      </c>
      <c r="B949" t="s">
        <v>79</v>
      </c>
      <c r="C949" t="s">
        <v>8</v>
      </c>
      <c r="D949" s="4">
        <v>861</v>
      </c>
      <c r="E949" s="4"/>
      <c r="F949">
        <v>204</v>
      </c>
      <c r="H949" t="str">
        <f t="shared" si="14"/>
        <v>2022-12</v>
      </c>
      <c r="I949" t="str">
        <f>_xlfn.XLOOKUP(Table1[[#This Row],[Customer_ID]],Customers!$A$2:$A$30,Customers!$C$2:$C$30,"Not found")</f>
        <v>Mixed</v>
      </c>
    </row>
    <row r="950" spans="1:9">
      <c r="A950" s="9">
        <v>44906</v>
      </c>
      <c r="B950" t="s">
        <v>79</v>
      </c>
      <c r="C950" t="s">
        <v>8</v>
      </c>
      <c r="D950" s="4">
        <v>10</v>
      </c>
      <c r="E950" s="4"/>
      <c r="F950">
        <v>204</v>
      </c>
      <c r="H950" t="str">
        <f t="shared" si="14"/>
        <v>2022-12</v>
      </c>
      <c r="I950" t="str">
        <f>_xlfn.XLOOKUP(Table1[[#This Row],[Customer_ID]],Customers!$A$2:$A$30,Customers!$C$2:$C$30,"Not found")</f>
        <v>Mixed</v>
      </c>
    </row>
    <row r="951" spans="1:9">
      <c r="A951" s="9">
        <v>44909</v>
      </c>
      <c r="B951" t="s">
        <v>79</v>
      </c>
      <c r="C951" t="s">
        <v>8</v>
      </c>
      <c r="D951" s="4">
        <v>139</v>
      </c>
      <c r="E951" s="4"/>
      <c r="F951">
        <v>204</v>
      </c>
      <c r="H951" t="str">
        <f t="shared" si="14"/>
        <v>2022-12</v>
      </c>
      <c r="I951" t="str">
        <f>_xlfn.XLOOKUP(Table1[[#This Row],[Customer_ID]],Customers!$A$2:$A$30,Customers!$C$2:$C$30,"Not found")</f>
        <v>Mixed</v>
      </c>
    </row>
    <row r="952" spans="1:9">
      <c r="A952" s="9">
        <v>44912</v>
      </c>
      <c r="B952" t="s">
        <v>79</v>
      </c>
      <c r="C952" t="s">
        <v>8</v>
      </c>
      <c r="D952" s="4">
        <v>1956</v>
      </c>
      <c r="E952" s="4"/>
      <c r="F952">
        <v>204</v>
      </c>
      <c r="H952" t="str">
        <f t="shared" si="14"/>
        <v>2022-12</v>
      </c>
      <c r="I952" t="str">
        <f>_xlfn.XLOOKUP(Table1[[#This Row],[Customer_ID]],Customers!$A$2:$A$30,Customers!$C$2:$C$30,"Not found")</f>
        <v>Mixed</v>
      </c>
    </row>
    <row r="953" spans="1:9">
      <c r="A953" s="9">
        <v>44913</v>
      </c>
      <c r="B953" t="s">
        <v>79</v>
      </c>
      <c r="C953" t="s">
        <v>8</v>
      </c>
      <c r="D953" s="4">
        <v>70</v>
      </c>
      <c r="E953" s="4"/>
      <c r="F953">
        <v>204</v>
      </c>
      <c r="H953" t="str">
        <f t="shared" si="14"/>
        <v>2022-12</v>
      </c>
      <c r="I953" t="str">
        <f>_xlfn.XLOOKUP(Table1[[#This Row],[Customer_ID]],Customers!$A$2:$A$30,Customers!$C$2:$C$30,"Not found")</f>
        <v>Mixed</v>
      </c>
    </row>
    <row r="954" spans="1:9">
      <c r="A954" s="9">
        <v>44916</v>
      </c>
      <c r="B954" t="s">
        <v>79</v>
      </c>
      <c r="C954" t="s">
        <v>8</v>
      </c>
      <c r="D954" s="4">
        <v>49</v>
      </c>
      <c r="E954" s="4"/>
      <c r="F954">
        <v>204</v>
      </c>
      <c r="H954" t="str">
        <f t="shared" si="14"/>
        <v>2022-12</v>
      </c>
      <c r="I954" t="str">
        <f>_xlfn.XLOOKUP(Table1[[#This Row],[Customer_ID]],Customers!$A$2:$A$30,Customers!$C$2:$C$30,"Not found")</f>
        <v>Mixed</v>
      </c>
    </row>
    <row r="955" spans="1:9">
      <c r="A955" s="9">
        <v>44918</v>
      </c>
      <c r="B955" t="s">
        <v>79</v>
      </c>
      <c r="C955" t="s">
        <v>8</v>
      </c>
      <c r="D955" s="4">
        <v>143</v>
      </c>
      <c r="E955" s="4"/>
      <c r="F955">
        <v>204</v>
      </c>
      <c r="H955" t="str">
        <f t="shared" si="14"/>
        <v>2022-12</v>
      </c>
      <c r="I955" t="str">
        <f>_xlfn.XLOOKUP(Table1[[#This Row],[Customer_ID]],Customers!$A$2:$A$30,Customers!$C$2:$C$30,"Not found")</f>
        <v>Mixed</v>
      </c>
    </row>
    <row r="956" spans="1:9">
      <c r="A956" s="9">
        <v>44919</v>
      </c>
      <c r="B956" t="s">
        <v>79</v>
      </c>
      <c r="C956" t="s">
        <v>8</v>
      </c>
      <c r="D956" s="4">
        <v>385</v>
      </c>
      <c r="E956" s="4"/>
      <c r="F956">
        <v>204</v>
      </c>
      <c r="H956" t="str">
        <f t="shared" si="14"/>
        <v>2022-12</v>
      </c>
      <c r="I956" t="str">
        <f>_xlfn.XLOOKUP(Table1[[#This Row],[Customer_ID]],Customers!$A$2:$A$30,Customers!$C$2:$C$30,"Not found")</f>
        <v>Mixed</v>
      </c>
    </row>
    <row r="957" spans="1:9">
      <c r="A957" s="9">
        <v>44920</v>
      </c>
      <c r="B957" t="s">
        <v>79</v>
      </c>
      <c r="C957" t="s">
        <v>8</v>
      </c>
      <c r="D957" s="4">
        <v>20</v>
      </c>
      <c r="E957" s="4"/>
      <c r="F957">
        <v>204</v>
      </c>
      <c r="H957" t="str">
        <f t="shared" si="14"/>
        <v>2022-12</v>
      </c>
      <c r="I957" t="str">
        <f>_xlfn.XLOOKUP(Table1[[#This Row],[Customer_ID]],Customers!$A$2:$A$30,Customers!$C$2:$C$30,"Not found")</f>
        <v>Mixed</v>
      </c>
    </row>
    <row r="958" spans="1:9">
      <c r="A958" s="9">
        <v>44921</v>
      </c>
      <c r="B958" t="s">
        <v>79</v>
      </c>
      <c r="C958" t="s">
        <v>8</v>
      </c>
      <c r="D958" s="4">
        <v>495</v>
      </c>
      <c r="E958" s="4"/>
      <c r="F958">
        <v>204</v>
      </c>
      <c r="H958" t="str">
        <f t="shared" si="14"/>
        <v>2022-12</v>
      </c>
      <c r="I958" t="str">
        <f>_xlfn.XLOOKUP(Table1[[#This Row],[Customer_ID]],Customers!$A$2:$A$30,Customers!$C$2:$C$30,"Not found")</f>
        <v>Mixed</v>
      </c>
    </row>
    <row r="959" spans="1:9">
      <c r="A959" s="9">
        <v>44926</v>
      </c>
      <c r="B959" t="s">
        <v>79</v>
      </c>
      <c r="C959" t="s">
        <v>8</v>
      </c>
      <c r="D959" s="4">
        <v>292</v>
      </c>
      <c r="E959" s="4"/>
      <c r="F959">
        <v>204</v>
      </c>
      <c r="H959" t="str">
        <f t="shared" ref="H959:H1022" si="15">IF(A959="","",TEXT(A959,"yyyy-mm"))</f>
        <v>2022-12</v>
      </c>
      <c r="I959" t="str">
        <f>_xlfn.XLOOKUP(Table1[[#This Row],[Customer_ID]],Customers!$A$2:$A$30,Customers!$C$2:$C$30,"Not found")</f>
        <v>Mixed</v>
      </c>
    </row>
    <row r="960" spans="1:9">
      <c r="A960" s="9">
        <v>44927</v>
      </c>
      <c r="B960" t="s">
        <v>79</v>
      </c>
      <c r="C960" t="s">
        <v>8</v>
      </c>
      <c r="D960" s="4">
        <v>120</v>
      </c>
      <c r="E960" s="4"/>
      <c r="F960">
        <v>204</v>
      </c>
      <c r="H960" t="str">
        <f t="shared" si="15"/>
        <v>2023-01</v>
      </c>
      <c r="I960" t="str">
        <f>_xlfn.XLOOKUP(Table1[[#This Row],[Customer_ID]],Customers!$A$2:$A$30,Customers!$C$2:$C$30,"Not found")</f>
        <v>Mixed</v>
      </c>
    </row>
    <row r="961" spans="1:9">
      <c r="A961" s="9">
        <v>44930</v>
      </c>
      <c r="B961" t="s">
        <v>79</v>
      </c>
      <c r="C961" t="s">
        <v>8</v>
      </c>
      <c r="D961" s="4">
        <v>113</v>
      </c>
      <c r="E961" s="4"/>
      <c r="F961">
        <v>204</v>
      </c>
      <c r="H961" t="str">
        <f t="shared" si="15"/>
        <v>2023-01</v>
      </c>
      <c r="I961" t="str">
        <f>_xlfn.XLOOKUP(Table1[[#This Row],[Customer_ID]],Customers!$A$2:$A$30,Customers!$C$2:$C$30,"Not found")</f>
        <v>Mixed</v>
      </c>
    </row>
    <row r="962" spans="1:9">
      <c r="A962" s="9">
        <v>44934</v>
      </c>
      <c r="B962" t="s">
        <v>79</v>
      </c>
      <c r="C962" t="s">
        <v>8</v>
      </c>
      <c r="D962" s="4">
        <v>119</v>
      </c>
      <c r="E962" s="4"/>
      <c r="F962">
        <v>204</v>
      </c>
      <c r="H962" t="str">
        <f t="shared" si="15"/>
        <v>2023-01</v>
      </c>
      <c r="I962" t="str">
        <f>_xlfn.XLOOKUP(Table1[[#This Row],[Customer_ID]],Customers!$A$2:$A$30,Customers!$C$2:$C$30,"Not found")</f>
        <v>Mixed</v>
      </c>
    </row>
    <row r="963" spans="1:9">
      <c r="A963" s="9">
        <v>44935</v>
      </c>
      <c r="B963" t="s">
        <v>79</v>
      </c>
      <c r="C963" t="s">
        <v>8</v>
      </c>
      <c r="D963" s="4">
        <v>88</v>
      </c>
      <c r="E963" s="4">
        <v>4860</v>
      </c>
      <c r="F963">
        <v>204</v>
      </c>
      <c r="G963" t="s">
        <v>185</v>
      </c>
      <c r="H963" t="str">
        <f t="shared" si="15"/>
        <v>2023-01</v>
      </c>
      <c r="I963" t="str">
        <f>_xlfn.XLOOKUP(Table1[[#This Row],[Customer_ID]],Customers!$A$2:$A$30,Customers!$C$2:$C$30,"Not found")</f>
        <v>Mixed</v>
      </c>
    </row>
    <row r="964" spans="1:9">
      <c r="A964" s="9"/>
      <c r="B964" t="s">
        <v>79</v>
      </c>
      <c r="C964" t="s">
        <v>14</v>
      </c>
      <c r="D964" s="4">
        <v>4860</v>
      </c>
      <c r="E964" s="4">
        <v>0</v>
      </c>
      <c r="F964">
        <v>204</v>
      </c>
      <c r="G964" t="s">
        <v>186</v>
      </c>
      <c r="H964" t="str">
        <f t="shared" si="15"/>
        <v/>
      </c>
      <c r="I964" t="str">
        <f>_xlfn.XLOOKUP(Table1[[#This Row],[Customer_ID]],Customers!$A$2:$A$30,Customers!$C$2:$C$30,"Not found")</f>
        <v>Mixed</v>
      </c>
    </row>
    <row r="965" spans="1:9">
      <c r="A965" s="9">
        <v>44810</v>
      </c>
      <c r="B965" t="s">
        <v>80</v>
      </c>
      <c r="C965" t="s">
        <v>28</v>
      </c>
      <c r="D965" s="4">
        <v>14329</v>
      </c>
      <c r="E965" s="4">
        <v>14329</v>
      </c>
      <c r="F965">
        <v>206</v>
      </c>
      <c r="G965" t="s">
        <v>187</v>
      </c>
      <c r="H965" t="str">
        <f t="shared" si="15"/>
        <v>2022-09</v>
      </c>
      <c r="I965" t="str">
        <f>_xlfn.XLOOKUP(Table1[[#This Row],[Customer_ID]],Customers!$A$2:$A$30,Customers!$C$2:$C$30,"Not found")</f>
        <v>Pays full</v>
      </c>
    </row>
    <row r="966" spans="1:9">
      <c r="A966" s="9">
        <v>44810</v>
      </c>
      <c r="B966" t="s">
        <v>80</v>
      </c>
      <c r="C966" t="s">
        <v>8</v>
      </c>
      <c r="D966" s="4">
        <v>506</v>
      </c>
      <c r="E966" s="4"/>
      <c r="F966">
        <v>206</v>
      </c>
      <c r="H966" t="str">
        <f t="shared" si="15"/>
        <v>2022-09</v>
      </c>
      <c r="I966" t="str">
        <f>_xlfn.XLOOKUP(Table1[[#This Row],[Customer_ID]],Customers!$A$2:$A$30,Customers!$C$2:$C$30,"Not found")</f>
        <v>Pays full</v>
      </c>
    </row>
    <row r="967" spans="1:9">
      <c r="A967" s="9">
        <v>44810</v>
      </c>
      <c r="B967" t="s">
        <v>80</v>
      </c>
      <c r="C967" t="s">
        <v>8</v>
      </c>
      <c r="D967" s="4">
        <v>200</v>
      </c>
      <c r="E967" s="4"/>
      <c r="F967">
        <v>206</v>
      </c>
      <c r="H967" t="str">
        <f t="shared" si="15"/>
        <v>2022-09</v>
      </c>
      <c r="I967" t="str">
        <f>_xlfn.XLOOKUP(Table1[[#This Row],[Customer_ID]],Customers!$A$2:$A$30,Customers!$C$2:$C$30,"Not found")</f>
        <v>Pays full</v>
      </c>
    </row>
    <row r="968" spans="1:9">
      <c r="A968" s="9">
        <v>44811</v>
      </c>
      <c r="B968" t="s">
        <v>80</v>
      </c>
      <c r="C968" t="s">
        <v>8</v>
      </c>
      <c r="D968" s="4">
        <v>195</v>
      </c>
      <c r="E968" s="4"/>
      <c r="F968">
        <v>206</v>
      </c>
      <c r="H968" t="str">
        <f t="shared" si="15"/>
        <v>2022-09</v>
      </c>
      <c r="I968" t="str">
        <f>_xlfn.XLOOKUP(Table1[[#This Row],[Customer_ID]],Customers!$A$2:$A$30,Customers!$C$2:$C$30,"Not found")</f>
        <v>Pays full</v>
      </c>
    </row>
    <row r="969" spans="1:9">
      <c r="A969" s="9">
        <v>44813</v>
      </c>
      <c r="B969" t="s">
        <v>80</v>
      </c>
      <c r="C969" t="s">
        <v>8</v>
      </c>
      <c r="D969" s="4">
        <v>136</v>
      </c>
      <c r="E969" s="4"/>
      <c r="F969">
        <v>206</v>
      </c>
      <c r="H969" t="str">
        <f t="shared" si="15"/>
        <v>2022-09</v>
      </c>
      <c r="I969" t="str">
        <f>_xlfn.XLOOKUP(Table1[[#This Row],[Customer_ID]],Customers!$A$2:$A$30,Customers!$C$2:$C$30,"Not found")</f>
        <v>Pays full</v>
      </c>
    </row>
    <row r="970" spans="1:9">
      <c r="A970" s="9">
        <v>44814</v>
      </c>
      <c r="B970" t="s">
        <v>80</v>
      </c>
      <c r="C970" t="s">
        <v>8</v>
      </c>
      <c r="D970" s="4">
        <v>255</v>
      </c>
      <c r="E970" s="4">
        <v>15621</v>
      </c>
      <c r="F970">
        <v>206</v>
      </c>
      <c r="G970" t="s">
        <v>188</v>
      </c>
      <c r="H970" t="str">
        <f t="shared" si="15"/>
        <v>2022-09</v>
      </c>
      <c r="I970" t="str">
        <f>_xlfn.XLOOKUP(Table1[[#This Row],[Customer_ID]],Customers!$A$2:$A$30,Customers!$C$2:$C$30,"Not found")</f>
        <v>Pays full</v>
      </c>
    </row>
    <row r="971" spans="1:9">
      <c r="A971" s="9">
        <v>44816</v>
      </c>
      <c r="B971" t="s">
        <v>80</v>
      </c>
      <c r="C971" t="s">
        <v>14</v>
      </c>
      <c r="D971" s="4">
        <v>3000</v>
      </c>
      <c r="E971" s="4">
        <v>12621</v>
      </c>
      <c r="F971">
        <v>206</v>
      </c>
      <c r="G971" t="s">
        <v>189</v>
      </c>
      <c r="H971" t="str">
        <f t="shared" si="15"/>
        <v>2022-09</v>
      </c>
      <c r="I971" t="str">
        <f>_xlfn.XLOOKUP(Table1[[#This Row],[Customer_ID]],Customers!$A$2:$A$30,Customers!$C$2:$C$30,"Not found")</f>
        <v>Pays full</v>
      </c>
    </row>
    <row r="972" spans="1:9">
      <c r="A972" s="9">
        <v>44817</v>
      </c>
      <c r="B972" t="s">
        <v>80</v>
      </c>
      <c r="C972" t="s">
        <v>14</v>
      </c>
      <c r="D972" s="4">
        <v>10000</v>
      </c>
      <c r="E972" s="4">
        <v>2621</v>
      </c>
      <c r="F972">
        <v>206</v>
      </c>
      <c r="G972" t="s">
        <v>190</v>
      </c>
      <c r="H972" t="str">
        <f t="shared" si="15"/>
        <v>2022-09</v>
      </c>
      <c r="I972" t="str">
        <f>_xlfn.XLOOKUP(Table1[[#This Row],[Customer_ID]],Customers!$A$2:$A$30,Customers!$C$2:$C$30,"Not found")</f>
        <v>Pays full</v>
      </c>
    </row>
    <row r="973" spans="1:9">
      <c r="A973" s="9"/>
      <c r="B973" t="s">
        <v>80</v>
      </c>
      <c r="C973" t="s">
        <v>14</v>
      </c>
      <c r="D973" s="4">
        <v>2000</v>
      </c>
      <c r="E973" s="4">
        <v>621</v>
      </c>
      <c r="F973">
        <v>206</v>
      </c>
      <c r="G973" t="s">
        <v>191</v>
      </c>
      <c r="H973" t="str">
        <f t="shared" si="15"/>
        <v/>
      </c>
      <c r="I973" t="str">
        <f>_xlfn.XLOOKUP(Table1[[#This Row],[Customer_ID]],Customers!$A$2:$A$30,Customers!$C$2:$C$30,"Not found")</f>
        <v>Pays full</v>
      </c>
    </row>
    <row r="974" spans="1:9">
      <c r="A974" s="10"/>
      <c r="B974" s="7" t="s">
        <v>80</v>
      </c>
      <c r="C974" s="7" t="s">
        <v>22</v>
      </c>
      <c r="D974" s="8">
        <v>-348</v>
      </c>
      <c r="E974" s="8">
        <v>273</v>
      </c>
      <c r="F974" s="7">
        <v>206</v>
      </c>
      <c r="G974" s="7" t="s">
        <v>192</v>
      </c>
      <c r="H974" t="str">
        <f t="shared" si="15"/>
        <v/>
      </c>
      <c r="I974" t="str">
        <f>_xlfn.XLOOKUP(Table1[[#This Row],[Customer_ID]],Customers!$A$2:$A$30,Customers!$C$2:$C$30,"Not found")</f>
        <v>Pays full</v>
      </c>
    </row>
    <row r="975" spans="1:9">
      <c r="A975" s="9">
        <v>44817</v>
      </c>
      <c r="B975" t="s">
        <v>80</v>
      </c>
      <c r="C975" t="s">
        <v>8</v>
      </c>
      <c r="D975" s="4">
        <v>1900</v>
      </c>
      <c r="E975" s="4"/>
      <c r="F975">
        <v>206</v>
      </c>
      <c r="G975" t="s">
        <v>37</v>
      </c>
      <c r="H975" t="str">
        <f t="shared" si="15"/>
        <v>2022-09</v>
      </c>
      <c r="I975" t="str">
        <f>_xlfn.XLOOKUP(Table1[[#This Row],[Customer_ID]],Customers!$A$2:$A$30,Customers!$C$2:$C$30,"Not found")</f>
        <v>Pays full</v>
      </c>
    </row>
    <row r="976" spans="1:9">
      <c r="A976" s="9">
        <v>44816</v>
      </c>
      <c r="B976" t="s">
        <v>80</v>
      </c>
      <c r="C976" t="s">
        <v>8</v>
      </c>
      <c r="D976" s="4">
        <v>465</v>
      </c>
      <c r="E976" s="4"/>
      <c r="F976">
        <v>206</v>
      </c>
      <c r="H976" t="str">
        <f t="shared" si="15"/>
        <v>2022-09</v>
      </c>
      <c r="I976" t="str">
        <f>_xlfn.XLOOKUP(Table1[[#This Row],[Customer_ID]],Customers!$A$2:$A$30,Customers!$C$2:$C$30,"Not found")</f>
        <v>Pays full</v>
      </c>
    </row>
    <row r="977" spans="1:9">
      <c r="A977" s="9">
        <v>44819</v>
      </c>
      <c r="B977" t="s">
        <v>80</v>
      </c>
      <c r="C977" t="s">
        <v>8</v>
      </c>
      <c r="D977" s="4">
        <v>1904</v>
      </c>
      <c r="E977" s="4"/>
      <c r="F977">
        <v>206</v>
      </c>
      <c r="G977" t="s">
        <v>193</v>
      </c>
      <c r="H977" t="str">
        <f t="shared" si="15"/>
        <v>2022-09</v>
      </c>
      <c r="I977" t="str">
        <f>_xlfn.XLOOKUP(Table1[[#This Row],[Customer_ID]],Customers!$A$2:$A$30,Customers!$C$2:$C$30,"Not found")</f>
        <v>Pays full</v>
      </c>
    </row>
    <row r="978" spans="1:9">
      <c r="A978" s="9">
        <v>44820</v>
      </c>
      <c r="B978" t="s">
        <v>80</v>
      </c>
      <c r="C978" t="s">
        <v>8</v>
      </c>
      <c r="D978" s="4">
        <v>75</v>
      </c>
      <c r="E978" s="4"/>
      <c r="F978">
        <v>206</v>
      </c>
      <c r="H978" t="str">
        <f t="shared" si="15"/>
        <v>2022-09</v>
      </c>
      <c r="I978" t="str">
        <f>_xlfn.XLOOKUP(Table1[[#This Row],[Customer_ID]],Customers!$A$2:$A$30,Customers!$C$2:$C$30,"Not found")</f>
        <v>Pays full</v>
      </c>
    </row>
    <row r="979" spans="1:9">
      <c r="A979" s="9">
        <v>44823</v>
      </c>
      <c r="B979" t="s">
        <v>80</v>
      </c>
      <c r="C979" t="s">
        <v>8</v>
      </c>
      <c r="D979" s="4">
        <v>683</v>
      </c>
      <c r="E979" s="4"/>
      <c r="F979">
        <v>206</v>
      </c>
      <c r="H979" t="str">
        <f t="shared" si="15"/>
        <v>2022-09</v>
      </c>
      <c r="I979" t="str">
        <f>_xlfn.XLOOKUP(Table1[[#This Row],[Customer_ID]],Customers!$A$2:$A$30,Customers!$C$2:$C$30,"Not found")</f>
        <v>Pays full</v>
      </c>
    </row>
    <row r="980" spans="1:9">
      <c r="A980" s="9">
        <v>44824</v>
      </c>
      <c r="B980" t="s">
        <v>80</v>
      </c>
      <c r="C980" t="s">
        <v>8</v>
      </c>
      <c r="D980" s="4">
        <v>219</v>
      </c>
      <c r="E980" s="4"/>
      <c r="F980">
        <v>206</v>
      </c>
      <c r="H980" t="str">
        <f t="shared" si="15"/>
        <v>2022-09</v>
      </c>
      <c r="I980" t="str">
        <f>_xlfn.XLOOKUP(Table1[[#This Row],[Customer_ID]],Customers!$A$2:$A$30,Customers!$C$2:$C$30,"Not found")</f>
        <v>Pays full</v>
      </c>
    </row>
    <row r="981" spans="1:9">
      <c r="A981" s="9">
        <v>44825</v>
      </c>
      <c r="B981" t="s">
        <v>80</v>
      </c>
      <c r="C981" t="s">
        <v>8</v>
      </c>
      <c r="D981" s="4">
        <v>56</v>
      </c>
      <c r="E981" s="4"/>
      <c r="F981">
        <v>206</v>
      </c>
      <c r="H981" t="str">
        <f t="shared" si="15"/>
        <v>2022-09</v>
      </c>
      <c r="I981" t="str">
        <f>_xlfn.XLOOKUP(Table1[[#This Row],[Customer_ID]],Customers!$A$2:$A$30,Customers!$C$2:$C$30,"Not found")</f>
        <v>Pays full</v>
      </c>
    </row>
    <row r="982" spans="1:9">
      <c r="A982" s="9">
        <v>44825</v>
      </c>
      <c r="B982" t="s">
        <v>80</v>
      </c>
      <c r="C982" t="s">
        <v>8</v>
      </c>
      <c r="D982" s="4">
        <v>1500</v>
      </c>
      <c r="E982" s="4"/>
      <c r="F982">
        <v>206</v>
      </c>
      <c r="G982" t="s">
        <v>194</v>
      </c>
      <c r="H982" t="str">
        <f t="shared" si="15"/>
        <v>2022-09</v>
      </c>
      <c r="I982" t="str">
        <f>_xlfn.XLOOKUP(Table1[[#This Row],[Customer_ID]],Customers!$A$2:$A$30,Customers!$C$2:$C$30,"Not found")</f>
        <v>Pays full</v>
      </c>
    </row>
    <row r="983" spans="1:9">
      <c r="A983" s="9">
        <v>44827</v>
      </c>
      <c r="B983" t="s">
        <v>80</v>
      </c>
      <c r="C983" t="s">
        <v>8</v>
      </c>
      <c r="D983" s="4">
        <v>251</v>
      </c>
      <c r="E983" s="4"/>
      <c r="F983">
        <v>206</v>
      </c>
      <c r="H983" t="str">
        <f t="shared" si="15"/>
        <v>2022-09</v>
      </c>
      <c r="I983" t="str">
        <f>_xlfn.XLOOKUP(Table1[[#This Row],[Customer_ID]],Customers!$A$2:$A$30,Customers!$C$2:$C$30,"Not found")</f>
        <v>Pays full</v>
      </c>
    </row>
    <row r="984" spans="1:9">
      <c r="A984" s="9">
        <v>44829</v>
      </c>
      <c r="B984" t="s">
        <v>80</v>
      </c>
      <c r="C984" t="s">
        <v>8</v>
      </c>
      <c r="D984" s="4">
        <v>466</v>
      </c>
      <c r="E984" s="4"/>
      <c r="F984">
        <v>206</v>
      </c>
      <c r="H984" t="str">
        <f t="shared" si="15"/>
        <v>2022-09</v>
      </c>
      <c r="I984" t="str">
        <f>_xlfn.XLOOKUP(Table1[[#This Row],[Customer_ID]],Customers!$A$2:$A$30,Customers!$C$2:$C$30,"Not found")</f>
        <v>Pays full</v>
      </c>
    </row>
    <row r="985" spans="1:9">
      <c r="A985" s="9">
        <v>44830</v>
      </c>
      <c r="B985" t="s">
        <v>80</v>
      </c>
      <c r="C985" t="s">
        <v>8</v>
      </c>
      <c r="D985" s="4">
        <v>144</v>
      </c>
      <c r="E985" s="4"/>
      <c r="F985">
        <v>206</v>
      </c>
      <c r="H985" t="str">
        <f t="shared" si="15"/>
        <v>2022-09</v>
      </c>
      <c r="I985" t="str">
        <f>_xlfn.XLOOKUP(Table1[[#This Row],[Customer_ID]],Customers!$A$2:$A$30,Customers!$C$2:$C$30,"Not found")</f>
        <v>Pays full</v>
      </c>
    </row>
    <row r="986" spans="1:9">
      <c r="A986" s="9">
        <v>44833</v>
      </c>
      <c r="B986" t="s">
        <v>80</v>
      </c>
      <c r="C986" t="s">
        <v>8</v>
      </c>
      <c r="D986" s="4">
        <v>246</v>
      </c>
      <c r="E986" s="4"/>
      <c r="F986">
        <v>206</v>
      </c>
      <c r="H986" t="str">
        <f t="shared" si="15"/>
        <v>2022-09</v>
      </c>
      <c r="I986" t="str">
        <f>_xlfn.XLOOKUP(Table1[[#This Row],[Customer_ID]],Customers!$A$2:$A$30,Customers!$C$2:$C$30,"Not found")</f>
        <v>Pays full</v>
      </c>
    </row>
    <row r="987" spans="1:9">
      <c r="A987" s="9">
        <v>44833</v>
      </c>
      <c r="B987" t="s">
        <v>80</v>
      </c>
      <c r="C987" t="s">
        <v>8</v>
      </c>
      <c r="D987" s="4">
        <v>275</v>
      </c>
      <c r="E987" s="4"/>
      <c r="F987">
        <v>206</v>
      </c>
      <c r="H987" t="str">
        <f t="shared" si="15"/>
        <v>2022-09</v>
      </c>
      <c r="I987" t="str">
        <f>_xlfn.XLOOKUP(Table1[[#This Row],[Customer_ID]],Customers!$A$2:$A$30,Customers!$C$2:$C$30,"Not found")</f>
        <v>Pays full</v>
      </c>
    </row>
    <row r="988" spans="1:9">
      <c r="A988" s="9">
        <v>44837</v>
      </c>
      <c r="B988" t="s">
        <v>80</v>
      </c>
      <c r="C988" t="s">
        <v>8</v>
      </c>
      <c r="D988" s="4">
        <v>451</v>
      </c>
      <c r="E988" s="4"/>
      <c r="F988">
        <v>206</v>
      </c>
      <c r="H988" t="str">
        <f t="shared" si="15"/>
        <v>2022-10</v>
      </c>
      <c r="I988" t="str">
        <f>_xlfn.XLOOKUP(Table1[[#This Row],[Customer_ID]],Customers!$A$2:$A$30,Customers!$C$2:$C$30,"Not found")</f>
        <v>Pays full</v>
      </c>
    </row>
    <row r="989" spans="1:9">
      <c r="A989" s="9">
        <v>44839</v>
      </c>
      <c r="B989" t="s">
        <v>80</v>
      </c>
      <c r="C989" t="s">
        <v>8</v>
      </c>
      <c r="D989" s="4">
        <v>1500</v>
      </c>
      <c r="E989" s="4"/>
      <c r="F989">
        <v>206</v>
      </c>
      <c r="G989" t="s">
        <v>195</v>
      </c>
      <c r="H989" t="str">
        <f t="shared" si="15"/>
        <v>2022-10</v>
      </c>
      <c r="I989" t="str">
        <f>_xlfn.XLOOKUP(Table1[[#This Row],[Customer_ID]],Customers!$A$2:$A$30,Customers!$C$2:$C$30,"Not found")</f>
        <v>Pays full</v>
      </c>
    </row>
    <row r="990" spans="1:9">
      <c r="A990" s="9">
        <v>44839</v>
      </c>
      <c r="B990" t="s">
        <v>80</v>
      </c>
      <c r="C990" t="s">
        <v>8</v>
      </c>
      <c r="D990" s="4">
        <v>148</v>
      </c>
      <c r="E990" s="4"/>
      <c r="F990">
        <v>206</v>
      </c>
      <c r="H990" t="str">
        <f t="shared" si="15"/>
        <v>2022-10</v>
      </c>
      <c r="I990" t="str">
        <f>_xlfn.XLOOKUP(Table1[[#This Row],[Customer_ID]],Customers!$A$2:$A$30,Customers!$C$2:$C$30,"Not found")</f>
        <v>Pays full</v>
      </c>
    </row>
    <row r="991" spans="1:9">
      <c r="A991" s="9">
        <v>44841</v>
      </c>
      <c r="B991" t="s">
        <v>80</v>
      </c>
      <c r="C991" t="s">
        <v>8</v>
      </c>
      <c r="D991" s="4">
        <v>58</v>
      </c>
      <c r="E991" s="4"/>
      <c r="F991">
        <v>206</v>
      </c>
      <c r="H991" t="str">
        <f t="shared" si="15"/>
        <v>2022-10</v>
      </c>
      <c r="I991" t="str">
        <f>_xlfn.XLOOKUP(Table1[[#This Row],[Customer_ID]],Customers!$A$2:$A$30,Customers!$C$2:$C$30,"Not found")</f>
        <v>Pays full</v>
      </c>
    </row>
    <row r="992" spans="1:9">
      <c r="A992" s="9">
        <v>44842</v>
      </c>
      <c r="B992" t="s">
        <v>80</v>
      </c>
      <c r="C992" t="s">
        <v>8</v>
      </c>
      <c r="D992" s="4">
        <v>183</v>
      </c>
      <c r="E992" s="4"/>
      <c r="F992">
        <v>206</v>
      </c>
      <c r="H992" t="str">
        <f t="shared" si="15"/>
        <v>2022-10</v>
      </c>
      <c r="I992" t="str">
        <f>_xlfn.XLOOKUP(Table1[[#This Row],[Customer_ID]],Customers!$A$2:$A$30,Customers!$C$2:$C$30,"Not found")</f>
        <v>Pays full</v>
      </c>
    </row>
    <row r="993" spans="1:9">
      <c r="A993" s="9">
        <v>44842</v>
      </c>
      <c r="B993" t="s">
        <v>80</v>
      </c>
      <c r="C993" t="s">
        <v>8</v>
      </c>
      <c r="D993" s="4">
        <v>220</v>
      </c>
      <c r="E993" s="4"/>
      <c r="F993">
        <v>206</v>
      </c>
      <c r="H993" t="str">
        <f t="shared" si="15"/>
        <v>2022-10</v>
      </c>
      <c r="I993" t="str">
        <f>_xlfn.XLOOKUP(Table1[[#This Row],[Customer_ID]],Customers!$A$2:$A$30,Customers!$C$2:$C$30,"Not found")</f>
        <v>Pays full</v>
      </c>
    </row>
    <row r="994" spans="1:9">
      <c r="A994" s="9">
        <v>44844</v>
      </c>
      <c r="B994" t="s">
        <v>80</v>
      </c>
      <c r="C994" t="s">
        <v>8</v>
      </c>
      <c r="D994" s="4">
        <v>162</v>
      </c>
      <c r="E994" s="4"/>
      <c r="F994">
        <v>206</v>
      </c>
      <c r="H994" t="str">
        <f t="shared" si="15"/>
        <v>2022-10</v>
      </c>
      <c r="I994" t="str">
        <f>_xlfn.XLOOKUP(Table1[[#This Row],[Customer_ID]],Customers!$A$2:$A$30,Customers!$C$2:$C$30,"Not found")</f>
        <v>Pays full</v>
      </c>
    </row>
    <row r="995" spans="1:9">
      <c r="A995" s="9">
        <v>44844</v>
      </c>
      <c r="B995" t="s">
        <v>80</v>
      </c>
      <c r="C995" t="s">
        <v>8</v>
      </c>
      <c r="D995" s="4">
        <v>80</v>
      </c>
      <c r="E995" s="4"/>
      <c r="F995">
        <v>206</v>
      </c>
      <c r="H995" t="str">
        <f t="shared" si="15"/>
        <v>2022-10</v>
      </c>
      <c r="I995" t="str">
        <f>_xlfn.XLOOKUP(Table1[[#This Row],[Customer_ID]],Customers!$A$2:$A$30,Customers!$C$2:$C$30,"Not found")</f>
        <v>Pays full</v>
      </c>
    </row>
    <row r="996" spans="1:9">
      <c r="A996" s="9">
        <v>44845</v>
      </c>
      <c r="B996" t="s">
        <v>80</v>
      </c>
      <c r="C996" t="s">
        <v>8</v>
      </c>
      <c r="D996" s="4">
        <v>336</v>
      </c>
      <c r="E996" s="4">
        <v>11595</v>
      </c>
      <c r="F996">
        <v>206</v>
      </c>
      <c r="G996" t="s">
        <v>196</v>
      </c>
      <c r="H996" t="str">
        <f t="shared" si="15"/>
        <v>2022-10</v>
      </c>
      <c r="I996" t="str">
        <f>_xlfn.XLOOKUP(Table1[[#This Row],[Customer_ID]],Customers!$A$2:$A$30,Customers!$C$2:$C$30,"Not found")</f>
        <v>Pays full</v>
      </c>
    </row>
    <row r="997" spans="1:9">
      <c r="A997" s="9">
        <v>44848</v>
      </c>
      <c r="B997" t="s">
        <v>80</v>
      </c>
      <c r="C997" t="s">
        <v>14</v>
      </c>
      <c r="D997" s="4">
        <v>11595</v>
      </c>
      <c r="E997" s="4">
        <v>0</v>
      </c>
      <c r="F997">
        <v>206</v>
      </c>
      <c r="G997" t="s">
        <v>197</v>
      </c>
      <c r="H997" t="str">
        <f t="shared" si="15"/>
        <v>2022-10</v>
      </c>
      <c r="I997" t="str">
        <f>_xlfn.XLOOKUP(Table1[[#This Row],[Customer_ID]],Customers!$A$2:$A$30,Customers!$C$2:$C$30,"Not found")</f>
        <v>Pays full</v>
      </c>
    </row>
    <row r="998" spans="1:9">
      <c r="A998" s="9">
        <v>44846</v>
      </c>
      <c r="B998" t="s">
        <v>80</v>
      </c>
      <c r="C998" t="s">
        <v>8</v>
      </c>
      <c r="D998" s="4">
        <v>130</v>
      </c>
      <c r="E998" s="4"/>
      <c r="F998">
        <v>206</v>
      </c>
      <c r="G998" t="s">
        <v>198</v>
      </c>
      <c r="H998" t="str">
        <f t="shared" si="15"/>
        <v>2022-10</v>
      </c>
      <c r="I998" t="str">
        <f>_xlfn.XLOOKUP(Table1[[#This Row],[Customer_ID]],Customers!$A$2:$A$30,Customers!$C$2:$C$30,"Not found")</f>
        <v>Pays full</v>
      </c>
    </row>
    <row r="999" spans="1:9">
      <c r="A999" s="9">
        <v>44846</v>
      </c>
      <c r="B999" t="s">
        <v>80</v>
      </c>
      <c r="C999" t="s">
        <v>8</v>
      </c>
      <c r="D999" s="4">
        <v>196</v>
      </c>
      <c r="E999" s="4"/>
      <c r="F999">
        <v>206</v>
      </c>
      <c r="H999" t="str">
        <f t="shared" si="15"/>
        <v>2022-10</v>
      </c>
      <c r="I999" t="str">
        <f>_xlfn.XLOOKUP(Table1[[#This Row],[Customer_ID]],Customers!$A$2:$A$30,Customers!$C$2:$C$30,"Not found")</f>
        <v>Pays full</v>
      </c>
    </row>
    <row r="1000" spans="1:9">
      <c r="A1000" s="9">
        <v>44847</v>
      </c>
      <c r="B1000" t="s">
        <v>80</v>
      </c>
      <c r="C1000" t="s">
        <v>8</v>
      </c>
      <c r="D1000" s="4">
        <v>394</v>
      </c>
      <c r="E1000" s="4"/>
      <c r="F1000">
        <v>206</v>
      </c>
      <c r="H1000" t="str">
        <f t="shared" si="15"/>
        <v>2022-10</v>
      </c>
      <c r="I1000" t="str">
        <f>_xlfn.XLOOKUP(Table1[[#This Row],[Customer_ID]],Customers!$A$2:$A$30,Customers!$C$2:$C$30,"Not found")</f>
        <v>Pays full</v>
      </c>
    </row>
    <row r="1001" spans="1:9">
      <c r="A1001" s="9">
        <v>44848</v>
      </c>
      <c r="B1001" t="s">
        <v>80</v>
      </c>
      <c r="C1001" t="s">
        <v>8</v>
      </c>
      <c r="D1001" s="4">
        <v>271</v>
      </c>
      <c r="E1001" s="4"/>
      <c r="F1001">
        <v>206</v>
      </c>
      <c r="H1001" t="str">
        <f t="shared" si="15"/>
        <v>2022-10</v>
      </c>
      <c r="I1001" t="str">
        <f>_xlfn.XLOOKUP(Table1[[#This Row],[Customer_ID]],Customers!$A$2:$A$30,Customers!$C$2:$C$30,"Not found")</f>
        <v>Pays full</v>
      </c>
    </row>
    <row r="1002" spans="1:9">
      <c r="A1002" s="9">
        <v>44849</v>
      </c>
      <c r="B1002" t="s">
        <v>80</v>
      </c>
      <c r="C1002" t="s">
        <v>8</v>
      </c>
      <c r="D1002" s="4">
        <v>181</v>
      </c>
      <c r="E1002" s="4"/>
      <c r="F1002">
        <v>206</v>
      </c>
      <c r="H1002" t="str">
        <f t="shared" si="15"/>
        <v>2022-10</v>
      </c>
      <c r="I1002" t="str">
        <f>_xlfn.XLOOKUP(Table1[[#This Row],[Customer_ID]],Customers!$A$2:$A$30,Customers!$C$2:$C$30,"Not found")</f>
        <v>Pays full</v>
      </c>
    </row>
    <row r="1003" spans="1:9">
      <c r="A1003" s="9">
        <v>44852</v>
      </c>
      <c r="B1003" t="s">
        <v>80</v>
      </c>
      <c r="C1003" t="s">
        <v>8</v>
      </c>
      <c r="D1003" s="4">
        <v>705</v>
      </c>
      <c r="E1003" s="4"/>
      <c r="F1003">
        <v>206</v>
      </c>
      <c r="H1003" t="str">
        <f t="shared" si="15"/>
        <v>2022-10</v>
      </c>
      <c r="I1003" t="str">
        <f>_xlfn.XLOOKUP(Table1[[#This Row],[Customer_ID]],Customers!$A$2:$A$30,Customers!$C$2:$C$30,"Not found")</f>
        <v>Pays full</v>
      </c>
    </row>
    <row r="1004" spans="1:9">
      <c r="A1004" s="9">
        <v>44852</v>
      </c>
      <c r="B1004" t="s">
        <v>80</v>
      </c>
      <c r="C1004" t="s">
        <v>8</v>
      </c>
      <c r="D1004" s="4">
        <v>150</v>
      </c>
      <c r="E1004" s="4"/>
      <c r="F1004">
        <v>206</v>
      </c>
      <c r="H1004" t="str">
        <f t="shared" si="15"/>
        <v>2022-10</v>
      </c>
      <c r="I1004" t="str">
        <f>_xlfn.XLOOKUP(Table1[[#This Row],[Customer_ID]],Customers!$A$2:$A$30,Customers!$C$2:$C$30,"Not found")</f>
        <v>Pays full</v>
      </c>
    </row>
    <row r="1005" spans="1:9">
      <c r="A1005" s="9">
        <v>44852</v>
      </c>
      <c r="B1005" t="s">
        <v>80</v>
      </c>
      <c r="C1005" t="s">
        <v>8</v>
      </c>
      <c r="D1005" s="4">
        <v>1580</v>
      </c>
      <c r="E1005" s="4"/>
      <c r="F1005">
        <v>206</v>
      </c>
      <c r="H1005" t="str">
        <f t="shared" si="15"/>
        <v>2022-10</v>
      </c>
      <c r="I1005" t="str">
        <f>_xlfn.XLOOKUP(Table1[[#This Row],[Customer_ID]],Customers!$A$2:$A$30,Customers!$C$2:$C$30,"Not found")</f>
        <v>Pays full</v>
      </c>
    </row>
    <row r="1006" spans="1:9">
      <c r="A1006" s="9">
        <v>44854</v>
      </c>
      <c r="B1006" t="s">
        <v>80</v>
      </c>
      <c r="C1006" t="s">
        <v>8</v>
      </c>
      <c r="D1006" s="4">
        <v>140</v>
      </c>
      <c r="E1006" s="4"/>
      <c r="F1006">
        <v>206</v>
      </c>
      <c r="H1006" t="str">
        <f t="shared" si="15"/>
        <v>2022-10</v>
      </c>
      <c r="I1006" t="str">
        <f>_xlfn.XLOOKUP(Table1[[#This Row],[Customer_ID]],Customers!$A$2:$A$30,Customers!$C$2:$C$30,"Not found")</f>
        <v>Pays full</v>
      </c>
    </row>
    <row r="1007" spans="1:9">
      <c r="A1007" s="9">
        <v>44855</v>
      </c>
      <c r="B1007" t="s">
        <v>80</v>
      </c>
      <c r="C1007" t="s">
        <v>8</v>
      </c>
      <c r="D1007" s="4">
        <v>80</v>
      </c>
      <c r="E1007" s="4"/>
      <c r="F1007">
        <v>206</v>
      </c>
      <c r="G1007" t="s">
        <v>199</v>
      </c>
      <c r="H1007" t="str">
        <f t="shared" si="15"/>
        <v>2022-10</v>
      </c>
      <c r="I1007" t="str">
        <f>_xlfn.XLOOKUP(Table1[[#This Row],[Customer_ID]],Customers!$A$2:$A$30,Customers!$C$2:$C$30,"Not found")</f>
        <v>Pays full</v>
      </c>
    </row>
    <row r="1008" spans="1:9">
      <c r="A1008" s="9">
        <v>44855</v>
      </c>
      <c r="B1008" t="s">
        <v>80</v>
      </c>
      <c r="C1008" t="s">
        <v>8</v>
      </c>
      <c r="D1008" s="4">
        <v>20</v>
      </c>
      <c r="E1008" s="4"/>
      <c r="F1008">
        <v>206</v>
      </c>
      <c r="H1008" t="str">
        <f t="shared" si="15"/>
        <v>2022-10</v>
      </c>
      <c r="I1008" t="str">
        <f>_xlfn.XLOOKUP(Table1[[#This Row],[Customer_ID]],Customers!$A$2:$A$30,Customers!$C$2:$C$30,"Not found")</f>
        <v>Pays full</v>
      </c>
    </row>
    <row r="1009" spans="1:9">
      <c r="A1009" s="9">
        <v>44857</v>
      </c>
      <c r="B1009" t="s">
        <v>80</v>
      </c>
      <c r="C1009" t="s">
        <v>8</v>
      </c>
      <c r="D1009" s="4">
        <v>40</v>
      </c>
      <c r="E1009" s="4"/>
      <c r="F1009">
        <v>206</v>
      </c>
      <c r="H1009" t="str">
        <f t="shared" si="15"/>
        <v>2022-10</v>
      </c>
      <c r="I1009" t="str">
        <f>_xlfn.XLOOKUP(Table1[[#This Row],[Customer_ID]],Customers!$A$2:$A$30,Customers!$C$2:$C$30,"Not found")</f>
        <v>Pays full</v>
      </c>
    </row>
    <row r="1010" spans="1:9">
      <c r="A1010" s="9">
        <v>44858</v>
      </c>
      <c r="B1010" t="s">
        <v>80</v>
      </c>
      <c r="C1010" t="s">
        <v>8</v>
      </c>
      <c r="D1010" s="4">
        <v>80</v>
      </c>
      <c r="E1010" s="4"/>
      <c r="F1010">
        <v>206</v>
      </c>
      <c r="H1010" t="str">
        <f t="shared" si="15"/>
        <v>2022-10</v>
      </c>
      <c r="I1010" t="str">
        <f>_xlfn.XLOOKUP(Table1[[#This Row],[Customer_ID]],Customers!$A$2:$A$30,Customers!$C$2:$C$30,"Not found")</f>
        <v>Pays full</v>
      </c>
    </row>
    <row r="1011" spans="1:9">
      <c r="A1011" s="9">
        <v>44860</v>
      </c>
      <c r="B1011" t="s">
        <v>80</v>
      </c>
      <c r="C1011" t="s">
        <v>8</v>
      </c>
      <c r="D1011" s="4">
        <v>89</v>
      </c>
      <c r="E1011" s="4"/>
      <c r="F1011">
        <v>206</v>
      </c>
      <c r="H1011" t="str">
        <f t="shared" si="15"/>
        <v>2022-10</v>
      </c>
      <c r="I1011" t="str">
        <f>_xlfn.XLOOKUP(Table1[[#This Row],[Customer_ID]],Customers!$A$2:$A$30,Customers!$C$2:$C$30,"Not found")</f>
        <v>Pays full</v>
      </c>
    </row>
    <row r="1012" spans="1:9">
      <c r="A1012" s="9">
        <v>44861</v>
      </c>
      <c r="B1012" t="s">
        <v>80</v>
      </c>
      <c r="C1012" t="s">
        <v>8</v>
      </c>
      <c r="D1012" s="4">
        <v>130</v>
      </c>
      <c r="E1012" s="4"/>
      <c r="F1012">
        <v>206</v>
      </c>
      <c r="H1012" t="str">
        <f t="shared" si="15"/>
        <v>2022-10</v>
      </c>
      <c r="I1012" t="str">
        <f>_xlfn.XLOOKUP(Table1[[#This Row],[Customer_ID]],Customers!$A$2:$A$30,Customers!$C$2:$C$30,"Not found")</f>
        <v>Pays full</v>
      </c>
    </row>
    <row r="1013" spans="1:9">
      <c r="A1013" s="9">
        <v>44861</v>
      </c>
      <c r="B1013" t="s">
        <v>80</v>
      </c>
      <c r="C1013" t="s">
        <v>8</v>
      </c>
      <c r="D1013" s="4">
        <v>385</v>
      </c>
      <c r="E1013" s="4"/>
      <c r="F1013">
        <v>206</v>
      </c>
      <c r="H1013" t="str">
        <f t="shared" si="15"/>
        <v>2022-10</v>
      </c>
      <c r="I1013" t="str">
        <f>_xlfn.XLOOKUP(Table1[[#This Row],[Customer_ID]],Customers!$A$2:$A$30,Customers!$C$2:$C$30,"Not found")</f>
        <v>Pays full</v>
      </c>
    </row>
    <row r="1014" spans="1:9">
      <c r="A1014" s="9">
        <v>44862</v>
      </c>
      <c r="B1014" t="s">
        <v>80</v>
      </c>
      <c r="C1014" t="s">
        <v>8</v>
      </c>
      <c r="D1014" s="4">
        <v>270</v>
      </c>
      <c r="E1014" s="4"/>
      <c r="F1014">
        <v>206</v>
      </c>
      <c r="H1014" t="str">
        <f t="shared" si="15"/>
        <v>2022-10</v>
      </c>
      <c r="I1014" t="str">
        <f>_xlfn.XLOOKUP(Table1[[#This Row],[Customer_ID]],Customers!$A$2:$A$30,Customers!$C$2:$C$30,"Not found")</f>
        <v>Pays full</v>
      </c>
    </row>
    <row r="1015" spans="1:9">
      <c r="A1015" s="9">
        <v>44863</v>
      </c>
      <c r="B1015" t="s">
        <v>80</v>
      </c>
      <c r="C1015" t="s">
        <v>8</v>
      </c>
      <c r="D1015" s="4">
        <v>180</v>
      </c>
      <c r="E1015" s="4"/>
      <c r="F1015">
        <v>206</v>
      </c>
      <c r="H1015" t="str">
        <f t="shared" si="15"/>
        <v>2022-10</v>
      </c>
      <c r="I1015" t="str">
        <f>_xlfn.XLOOKUP(Table1[[#This Row],[Customer_ID]],Customers!$A$2:$A$30,Customers!$C$2:$C$30,"Not found")</f>
        <v>Pays full</v>
      </c>
    </row>
    <row r="1016" spans="1:9">
      <c r="A1016" s="9">
        <v>44863</v>
      </c>
      <c r="B1016" t="s">
        <v>80</v>
      </c>
      <c r="C1016" t="s">
        <v>8</v>
      </c>
      <c r="D1016" s="4">
        <v>80</v>
      </c>
      <c r="E1016" s="4"/>
      <c r="F1016">
        <v>206</v>
      </c>
      <c r="H1016" t="str">
        <f t="shared" si="15"/>
        <v>2022-10</v>
      </c>
      <c r="I1016" t="str">
        <f>_xlfn.XLOOKUP(Table1[[#This Row],[Customer_ID]],Customers!$A$2:$A$30,Customers!$C$2:$C$30,"Not found")</f>
        <v>Pays full</v>
      </c>
    </row>
    <row r="1017" spans="1:9">
      <c r="A1017" s="9">
        <v>44864</v>
      </c>
      <c r="B1017" t="s">
        <v>80</v>
      </c>
      <c r="C1017" t="s">
        <v>8</v>
      </c>
      <c r="D1017" s="4">
        <v>1900</v>
      </c>
      <c r="E1017" s="4"/>
      <c r="F1017">
        <v>206</v>
      </c>
      <c r="G1017" t="s">
        <v>37</v>
      </c>
      <c r="H1017" t="str">
        <f t="shared" si="15"/>
        <v>2022-10</v>
      </c>
      <c r="I1017" t="str">
        <f>_xlfn.XLOOKUP(Table1[[#This Row],[Customer_ID]],Customers!$A$2:$A$30,Customers!$C$2:$C$30,"Not found")</f>
        <v>Pays full</v>
      </c>
    </row>
    <row r="1018" spans="1:9">
      <c r="A1018" s="9">
        <v>44864</v>
      </c>
      <c r="B1018" t="s">
        <v>80</v>
      </c>
      <c r="C1018" t="s">
        <v>8</v>
      </c>
      <c r="D1018" s="4">
        <v>243</v>
      </c>
      <c r="E1018" s="4"/>
      <c r="F1018">
        <v>206</v>
      </c>
      <c r="H1018" t="str">
        <f t="shared" si="15"/>
        <v>2022-10</v>
      </c>
      <c r="I1018" t="str">
        <f>_xlfn.XLOOKUP(Table1[[#This Row],[Customer_ID]],Customers!$A$2:$A$30,Customers!$C$2:$C$30,"Not found")</f>
        <v>Pays full</v>
      </c>
    </row>
    <row r="1019" spans="1:9">
      <c r="A1019" s="9">
        <v>44865</v>
      </c>
      <c r="B1019" t="s">
        <v>80</v>
      </c>
      <c r="C1019" t="s">
        <v>8</v>
      </c>
      <c r="D1019" s="4">
        <v>1780</v>
      </c>
      <c r="E1019" s="4"/>
      <c r="F1019">
        <v>206</v>
      </c>
      <c r="H1019" t="str">
        <f t="shared" si="15"/>
        <v>2022-10</v>
      </c>
      <c r="I1019" t="str">
        <f>_xlfn.XLOOKUP(Table1[[#This Row],[Customer_ID]],Customers!$A$2:$A$30,Customers!$C$2:$C$30,"Not found")</f>
        <v>Pays full</v>
      </c>
    </row>
    <row r="1020" spans="1:9">
      <c r="A1020" s="9">
        <v>44867</v>
      </c>
      <c r="B1020" t="s">
        <v>80</v>
      </c>
      <c r="C1020" t="s">
        <v>8</v>
      </c>
      <c r="D1020" s="4">
        <v>80</v>
      </c>
      <c r="E1020" s="4"/>
      <c r="F1020">
        <v>206</v>
      </c>
      <c r="G1020" t="s">
        <v>199</v>
      </c>
      <c r="H1020" t="str">
        <f t="shared" si="15"/>
        <v>2022-11</v>
      </c>
      <c r="I1020" t="str">
        <f>_xlfn.XLOOKUP(Table1[[#This Row],[Customer_ID]],Customers!$A$2:$A$30,Customers!$C$2:$C$30,"Not found")</f>
        <v>Pays full</v>
      </c>
    </row>
    <row r="1021" spans="1:9">
      <c r="A1021" s="9">
        <v>44868</v>
      </c>
      <c r="B1021" t="s">
        <v>80</v>
      </c>
      <c r="C1021" t="s">
        <v>8</v>
      </c>
      <c r="D1021" s="4">
        <v>340</v>
      </c>
      <c r="E1021" s="4"/>
      <c r="F1021">
        <v>206</v>
      </c>
      <c r="H1021" t="str">
        <f t="shared" si="15"/>
        <v>2022-11</v>
      </c>
      <c r="I1021" t="str">
        <f>_xlfn.XLOOKUP(Table1[[#This Row],[Customer_ID]],Customers!$A$2:$A$30,Customers!$C$2:$C$30,"Not found")</f>
        <v>Pays full</v>
      </c>
    </row>
    <row r="1022" spans="1:9">
      <c r="A1022" s="9">
        <v>44871</v>
      </c>
      <c r="B1022" t="s">
        <v>80</v>
      </c>
      <c r="C1022" t="s">
        <v>8</v>
      </c>
      <c r="D1022" s="4">
        <v>156</v>
      </c>
      <c r="E1022" s="4"/>
      <c r="F1022">
        <v>206</v>
      </c>
      <c r="H1022" t="str">
        <f t="shared" si="15"/>
        <v>2022-11</v>
      </c>
      <c r="I1022" t="str">
        <f>_xlfn.XLOOKUP(Table1[[#This Row],[Customer_ID]],Customers!$A$2:$A$30,Customers!$C$2:$C$30,"Not found")</f>
        <v>Pays full</v>
      </c>
    </row>
    <row r="1023" spans="1:9">
      <c r="A1023" s="9">
        <v>44872</v>
      </c>
      <c r="B1023" t="s">
        <v>80</v>
      </c>
      <c r="C1023" t="s">
        <v>8</v>
      </c>
      <c r="D1023" s="4">
        <v>168</v>
      </c>
      <c r="E1023" s="4"/>
      <c r="F1023">
        <v>206</v>
      </c>
      <c r="H1023" t="str">
        <f t="shared" ref="H1023:H1086" si="16">IF(A1023="","",TEXT(A1023,"yyyy-mm"))</f>
        <v>2022-11</v>
      </c>
      <c r="I1023" t="str">
        <f>_xlfn.XLOOKUP(Table1[[#This Row],[Customer_ID]],Customers!$A$2:$A$30,Customers!$C$2:$C$30,"Not found")</f>
        <v>Pays full</v>
      </c>
    </row>
    <row r="1024" spans="1:9">
      <c r="A1024" s="9">
        <v>44872</v>
      </c>
      <c r="B1024" t="s">
        <v>80</v>
      </c>
      <c r="C1024" t="s">
        <v>22</v>
      </c>
      <c r="D1024" s="4">
        <v>20</v>
      </c>
      <c r="E1024" s="4">
        <v>9788</v>
      </c>
      <c r="F1024">
        <v>206</v>
      </c>
      <c r="G1024" t="s">
        <v>200</v>
      </c>
      <c r="H1024" t="str">
        <f t="shared" si="16"/>
        <v>2022-11</v>
      </c>
      <c r="I1024" t="str">
        <f>_xlfn.XLOOKUP(Table1[[#This Row],[Customer_ID]],Customers!$A$2:$A$30,Customers!$C$2:$C$30,"Not found")</f>
        <v>Pays full</v>
      </c>
    </row>
    <row r="1025" spans="1:9">
      <c r="A1025" s="9">
        <v>44876</v>
      </c>
      <c r="B1025" t="s">
        <v>80</v>
      </c>
      <c r="C1025" t="s">
        <v>14</v>
      </c>
      <c r="D1025" s="4">
        <v>9788</v>
      </c>
      <c r="E1025" s="4">
        <v>0</v>
      </c>
      <c r="F1025">
        <v>206</v>
      </c>
      <c r="G1025" t="s">
        <v>201</v>
      </c>
      <c r="H1025" t="str">
        <f t="shared" si="16"/>
        <v>2022-11</v>
      </c>
      <c r="I1025" t="str">
        <f>_xlfn.XLOOKUP(Table1[[#This Row],[Customer_ID]],Customers!$A$2:$A$30,Customers!$C$2:$C$30,"Not found")</f>
        <v>Pays full</v>
      </c>
    </row>
    <row r="1026" spans="1:9">
      <c r="A1026" s="9">
        <v>44875</v>
      </c>
      <c r="B1026" t="s">
        <v>80</v>
      </c>
      <c r="C1026" t="s">
        <v>8</v>
      </c>
      <c r="D1026" s="4">
        <v>156</v>
      </c>
      <c r="E1026" s="4"/>
      <c r="F1026">
        <v>206</v>
      </c>
      <c r="H1026" t="str">
        <f t="shared" si="16"/>
        <v>2022-11</v>
      </c>
      <c r="I1026" t="str">
        <f>_xlfn.XLOOKUP(Table1[[#This Row],[Customer_ID]],Customers!$A$2:$A$30,Customers!$C$2:$C$30,"Not found")</f>
        <v>Pays full</v>
      </c>
    </row>
    <row r="1027" spans="1:9">
      <c r="A1027" s="9">
        <v>44876</v>
      </c>
      <c r="B1027" t="s">
        <v>80</v>
      </c>
      <c r="C1027" t="s">
        <v>8</v>
      </c>
      <c r="D1027" s="4">
        <v>730</v>
      </c>
      <c r="E1027" s="4"/>
      <c r="F1027">
        <v>206</v>
      </c>
      <c r="H1027" t="str">
        <f t="shared" si="16"/>
        <v>2022-11</v>
      </c>
      <c r="I1027" t="str">
        <f>_xlfn.XLOOKUP(Table1[[#This Row],[Customer_ID]],Customers!$A$2:$A$30,Customers!$C$2:$C$30,"Not found")</f>
        <v>Pays full</v>
      </c>
    </row>
    <row r="1028" spans="1:9">
      <c r="A1028" s="9">
        <v>44878</v>
      </c>
      <c r="B1028" t="s">
        <v>80</v>
      </c>
      <c r="C1028" t="s">
        <v>8</v>
      </c>
      <c r="D1028" s="4">
        <v>156</v>
      </c>
      <c r="E1028" s="4"/>
      <c r="F1028">
        <v>206</v>
      </c>
      <c r="H1028" t="str">
        <f t="shared" si="16"/>
        <v>2022-11</v>
      </c>
      <c r="I1028" t="str">
        <f>_xlfn.XLOOKUP(Table1[[#This Row],[Customer_ID]],Customers!$A$2:$A$30,Customers!$C$2:$C$30,"Not found")</f>
        <v>Pays full</v>
      </c>
    </row>
    <row r="1029" spans="1:9">
      <c r="A1029" s="9">
        <v>44879</v>
      </c>
      <c r="B1029" t="s">
        <v>80</v>
      </c>
      <c r="C1029" t="s">
        <v>8</v>
      </c>
      <c r="D1029" s="4">
        <v>556</v>
      </c>
      <c r="E1029" s="4"/>
      <c r="F1029">
        <v>206</v>
      </c>
      <c r="H1029" t="str">
        <f t="shared" si="16"/>
        <v>2022-11</v>
      </c>
      <c r="I1029" t="str">
        <f>_xlfn.XLOOKUP(Table1[[#This Row],[Customer_ID]],Customers!$A$2:$A$30,Customers!$C$2:$C$30,"Not found")</f>
        <v>Pays full</v>
      </c>
    </row>
    <row r="1030" spans="1:9">
      <c r="A1030" s="9">
        <v>44880</v>
      </c>
      <c r="B1030" t="s">
        <v>80</v>
      </c>
      <c r="C1030" t="s">
        <v>8</v>
      </c>
      <c r="D1030" s="4">
        <v>1576</v>
      </c>
      <c r="E1030" s="4"/>
      <c r="F1030">
        <v>206</v>
      </c>
      <c r="H1030" t="str">
        <f t="shared" si="16"/>
        <v>2022-11</v>
      </c>
      <c r="I1030" t="str">
        <f>_xlfn.XLOOKUP(Table1[[#This Row],[Customer_ID]],Customers!$A$2:$A$30,Customers!$C$2:$C$30,"Not found")</f>
        <v>Pays full</v>
      </c>
    </row>
    <row r="1031" spans="1:9">
      <c r="A1031" s="9">
        <v>44880</v>
      </c>
      <c r="B1031" t="s">
        <v>80</v>
      </c>
      <c r="C1031" t="s">
        <v>8</v>
      </c>
      <c r="D1031" s="4">
        <v>50</v>
      </c>
      <c r="E1031" s="4"/>
      <c r="F1031">
        <v>206</v>
      </c>
      <c r="H1031" t="str">
        <f t="shared" si="16"/>
        <v>2022-11</v>
      </c>
      <c r="I1031" t="str">
        <f>_xlfn.XLOOKUP(Table1[[#This Row],[Customer_ID]],Customers!$A$2:$A$30,Customers!$C$2:$C$30,"Not found")</f>
        <v>Pays full</v>
      </c>
    </row>
    <row r="1032" spans="1:9">
      <c r="A1032" s="9">
        <v>44881</v>
      </c>
      <c r="B1032" t="s">
        <v>80</v>
      </c>
      <c r="C1032" t="s">
        <v>8</v>
      </c>
      <c r="D1032" s="4">
        <v>80</v>
      </c>
      <c r="E1032" s="4"/>
      <c r="F1032">
        <v>206</v>
      </c>
      <c r="G1032" t="s">
        <v>199</v>
      </c>
      <c r="H1032" t="str">
        <f t="shared" si="16"/>
        <v>2022-11</v>
      </c>
      <c r="I1032" t="str">
        <f>_xlfn.XLOOKUP(Table1[[#This Row],[Customer_ID]],Customers!$A$2:$A$30,Customers!$C$2:$C$30,"Not found")</f>
        <v>Pays full</v>
      </c>
    </row>
    <row r="1033" spans="1:9">
      <c r="A1033" s="9">
        <v>44884</v>
      </c>
      <c r="B1033" t="s">
        <v>80</v>
      </c>
      <c r="C1033" t="s">
        <v>8</v>
      </c>
      <c r="D1033" s="4">
        <v>240</v>
      </c>
      <c r="E1033" s="4"/>
      <c r="F1033">
        <v>206</v>
      </c>
      <c r="G1033" t="s">
        <v>202</v>
      </c>
      <c r="H1033" t="str">
        <f t="shared" si="16"/>
        <v>2022-11</v>
      </c>
      <c r="I1033" t="str">
        <f>_xlfn.XLOOKUP(Table1[[#This Row],[Customer_ID]],Customers!$A$2:$A$30,Customers!$C$2:$C$30,"Not found")</f>
        <v>Pays full</v>
      </c>
    </row>
    <row r="1034" spans="1:9">
      <c r="A1034" s="9">
        <v>44885</v>
      </c>
      <c r="B1034" t="s">
        <v>80</v>
      </c>
      <c r="C1034" t="s">
        <v>8</v>
      </c>
      <c r="D1034" s="4">
        <v>80</v>
      </c>
      <c r="E1034" s="4"/>
      <c r="F1034">
        <v>206</v>
      </c>
      <c r="G1034" t="s">
        <v>199</v>
      </c>
      <c r="H1034" t="str">
        <f t="shared" si="16"/>
        <v>2022-11</v>
      </c>
      <c r="I1034" t="str">
        <f>_xlfn.XLOOKUP(Table1[[#This Row],[Customer_ID]],Customers!$A$2:$A$30,Customers!$C$2:$C$30,"Not found")</f>
        <v>Pays full</v>
      </c>
    </row>
    <row r="1035" spans="1:9">
      <c r="A1035" s="9">
        <v>44888</v>
      </c>
      <c r="B1035" t="s">
        <v>80</v>
      </c>
      <c r="C1035" t="s">
        <v>8</v>
      </c>
      <c r="D1035" s="4">
        <v>265</v>
      </c>
      <c r="E1035" s="4"/>
      <c r="F1035">
        <v>206</v>
      </c>
      <c r="G1035" t="s">
        <v>202</v>
      </c>
      <c r="H1035" t="str">
        <f t="shared" si="16"/>
        <v>2022-11</v>
      </c>
      <c r="I1035" t="str">
        <f>_xlfn.XLOOKUP(Table1[[#This Row],[Customer_ID]],Customers!$A$2:$A$30,Customers!$C$2:$C$30,"Not found")</f>
        <v>Pays full</v>
      </c>
    </row>
    <row r="1036" spans="1:9">
      <c r="A1036" s="9">
        <v>44889</v>
      </c>
      <c r="B1036" t="s">
        <v>80</v>
      </c>
      <c r="C1036" t="s">
        <v>8</v>
      </c>
      <c r="D1036" s="4">
        <v>126</v>
      </c>
      <c r="E1036" s="4"/>
      <c r="F1036">
        <v>206</v>
      </c>
      <c r="H1036" t="str">
        <f t="shared" si="16"/>
        <v>2022-11</v>
      </c>
      <c r="I1036" t="str">
        <f>_xlfn.XLOOKUP(Table1[[#This Row],[Customer_ID]],Customers!$A$2:$A$30,Customers!$C$2:$C$30,"Not found")</f>
        <v>Pays full</v>
      </c>
    </row>
    <row r="1037" spans="1:9">
      <c r="A1037" s="9">
        <v>44890</v>
      </c>
      <c r="B1037" t="s">
        <v>80</v>
      </c>
      <c r="C1037" t="s">
        <v>8</v>
      </c>
      <c r="D1037" s="4">
        <v>163</v>
      </c>
      <c r="E1037" s="4"/>
      <c r="F1037">
        <v>206</v>
      </c>
      <c r="H1037" t="str">
        <f t="shared" si="16"/>
        <v>2022-11</v>
      </c>
      <c r="I1037" t="str">
        <f>_xlfn.XLOOKUP(Table1[[#This Row],[Customer_ID]],Customers!$A$2:$A$30,Customers!$C$2:$C$30,"Not found")</f>
        <v>Pays full</v>
      </c>
    </row>
    <row r="1038" spans="1:9">
      <c r="A1038" s="9">
        <v>44891</v>
      </c>
      <c r="B1038" t="s">
        <v>80</v>
      </c>
      <c r="C1038" t="s">
        <v>8</v>
      </c>
      <c r="D1038" s="4">
        <v>600</v>
      </c>
      <c r="E1038" s="4"/>
      <c r="F1038">
        <v>206</v>
      </c>
      <c r="H1038" t="str">
        <f t="shared" si="16"/>
        <v>2022-11</v>
      </c>
      <c r="I1038" t="str">
        <f>_xlfn.XLOOKUP(Table1[[#This Row],[Customer_ID]],Customers!$A$2:$A$30,Customers!$C$2:$C$30,"Not found")</f>
        <v>Pays full</v>
      </c>
    </row>
    <row r="1039" spans="1:9">
      <c r="A1039" s="9">
        <v>44892</v>
      </c>
      <c r="B1039" t="s">
        <v>80</v>
      </c>
      <c r="C1039" t="s">
        <v>8</v>
      </c>
      <c r="D1039" s="4">
        <v>385</v>
      </c>
      <c r="E1039" s="4"/>
      <c r="F1039">
        <v>206</v>
      </c>
      <c r="H1039" t="str">
        <f t="shared" si="16"/>
        <v>2022-11</v>
      </c>
      <c r="I1039" t="str">
        <f>_xlfn.XLOOKUP(Table1[[#This Row],[Customer_ID]],Customers!$A$2:$A$30,Customers!$C$2:$C$30,"Not found")</f>
        <v>Pays full</v>
      </c>
    </row>
    <row r="1040" spans="1:9">
      <c r="A1040" s="9">
        <v>44893</v>
      </c>
      <c r="B1040" t="s">
        <v>80</v>
      </c>
      <c r="C1040" t="s">
        <v>8</v>
      </c>
      <c r="D1040" s="4">
        <v>189</v>
      </c>
      <c r="E1040" s="4"/>
      <c r="F1040">
        <v>206</v>
      </c>
      <c r="H1040" t="str">
        <f t="shared" si="16"/>
        <v>2022-11</v>
      </c>
      <c r="I1040" t="str">
        <f>_xlfn.XLOOKUP(Table1[[#This Row],[Customer_ID]],Customers!$A$2:$A$30,Customers!$C$2:$C$30,"Not found")</f>
        <v>Pays full</v>
      </c>
    </row>
    <row r="1041" spans="1:9">
      <c r="A1041" s="9">
        <v>44893</v>
      </c>
      <c r="B1041" t="s">
        <v>80</v>
      </c>
      <c r="C1041" t="s">
        <v>8</v>
      </c>
      <c r="D1041" s="4">
        <v>1590</v>
      </c>
      <c r="E1041" s="4"/>
      <c r="F1041">
        <v>206</v>
      </c>
      <c r="H1041" t="str">
        <f t="shared" si="16"/>
        <v>2022-11</v>
      </c>
      <c r="I1041" t="str">
        <f>_xlfn.XLOOKUP(Table1[[#This Row],[Customer_ID]],Customers!$A$2:$A$30,Customers!$C$2:$C$30,"Not found")</f>
        <v>Pays full</v>
      </c>
    </row>
    <row r="1042" spans="1:9">
      <c r="A1042" s="9">
        <v>44894</v>
      </c>
      <c r="B1042" t="s">
        <v>80</v>
      </c>
      <c r="C1042" t="s">
        <v>8</v>
      </c>
      <c r="D1042" s="4">
        <v>39</v>
      </c>
      <c r="E1042" s="4"/>
      <c r="F1042">
        <v>206</v>
      </c>
      <c r="H1042" t="str">
        <f t="shared" si="16"/>
        <v>2022-11</v>
      </c>
      <c r="I1042" t="str">
        <f>_xlfn.XLOOKUP(Table1[[#This Row],[Customer_ID]],Customers!$A$2:$A$30,Customers!$C$2:$C$30,"Not found")</f>
        <v>Pays full</v>
      </c>
    </row>
    <row r="1043" spans="1:9">
      <c r="A1043" s="9">
        <v>44895</v>
      </c>
      <c r="B1043" t="s">
        <v>80</v>
      </c>
      <c r="C1043" t="s">
        <v>8</v>
      </c>
      <c r="D1043" s="4">
        <v>537</v>
      </c>
      <c r="E1043" s="4"/>
      <c r="F1043">
        <v>206</v>
      </c>
      <c r="G1043" t="s">
        <v>203</v>
      </c>
      <c r="H1043" t="str">
        <f t="shared" si="16"/>
        <v>2022-11</v>
      </c>
      <c r="I1043" t="str">
        <f>_xlfn.XLOOKUP(Table1[[#This Row],[Customer_ID]],Customers!$A$2:$A$30,Customers!$C$2:$C$30,"Not found")</f>
        <v>Pays full</v>
      </c>
    </row>
    <row r="1044" spans="1:9">
      <c r="A1044" s="9">
        <v>44898</v>
      </c>
      <c r="B1044" t="s">
        <v>80</v>
      </c>
      <c r="C1044" t="s">
        <v>8</v>
      </c>
      <c r="D1044" s="4">
        <v>80</v>
      </c>
      <c r="E1044" s="4"/>
      <c r="F1044">
        <v>206</v>
      </c>
      <c r="H1044" t="str">
        <f t="shared" si="16"/>
        <v>2022-12</v>
      </c>
      <c r="I1044" t="str">
        <f>_xlfn.XLOOKUP(Table1[[#This Row],[Customer_ID]],Customers!$A$2:$A$30,Customers!$C$2:$C$30,"Not found")</f>
        <v>Pays full</v>
      </c>
    </row>
    <row r="1045" spans="1:9">
      <c r="A1045" s="9">
        <v>44899</v>
      </c>
      <c r="B1045" t="s">
        <v>80</v>
      </c>
      <c r="C1045" t="s">
        <v>8</v>
      </c>
      <c r="D1045" s="4">
        <v>39</v>
      </c>
      <c r="E1045" s="4"/>
      <c r="F1045">
        <v>206</v>
      </c>
      <c r="G1045" t="s">
        <v>204</v>
      </c>
      <c r="H1045" t="str">
        <f t="shared" si="16"/>
        <v>2022-12</v>
      </c>
      <c r="I1045" t="str">
        <f>_xlfn.XLOOKUP(Table1[[#This Row],[Customer_ID]],Customers!$A$2:$A$30,Customers!$C$2:$C$30,"Not found")</f>
        <v>Pays full</v>
      </c>
    </row>
    <row r="1046" spans="1:9">
      <c r="A1046" s="9">
        <v>44900</v>
      </c>
      <c r="B1046" t="s">
        <v>80</v>
      </c>
      <c r="C1046" t="s">
        <v>8</v>
      </c>
      <c r="D1046" s="4">
        <v>204</v>
      </c>
      <c r="E1046" s="4"/>
      <c r="F1046">
        <v>206</v>
      </c>
      <c r="H1046" t="str">
        <f t="shared" si="16"/>
        <v>2022-12</v>
      </c>
      <c r="I1046" t="str">
        <f>_xlfn.XLOOKUP(Table1[[#This Row],[Customer_ID]],Customers!$A$2:$A$30,Customers!$C$2:$C$30,"Not found")</f>
        <v>Pays full</v>
      </c>
    </row>
    <row r="1047" spans="1:9">
      <c r="A1047" s="9">
        <v>44901</v>
      </c>
      <c r="B1047" t="s">
        <v>80</v>
      </c>
      <c r="C1047" t="s">
        <v>8</v>
      </c>
      <c r="D1047" s="4">
        <v>200</v>
      </c>
      <c r="E1047" s="4"/>
      <c r="F1047">
        <v>206</v>
      </c>
      <c r="H1047" t="str">
        <f t="shared" si="16"/>
        <v>2022-12</v>
      </c>
      <c r="I1047" t="str">
        <f>_xlfn.XLOOKUP(Table1[[#This Row],[Customer_ID]],Customers!$A$2:$A$30,Customers!$C$2:$C$30,"Not found")</f>
        <v>Pays full</v>
      </c>
    </row>
    <row r="1048" spans="1:9">
      <c r="A1048" s="9">
        <v>44901</v>
      </c>
      <c r="B1048" t="s">
        <v>80</v>
      </c>
      <c r="C1048" t="s">
        <v>8</v>
      </c>
      <c r="D1048" s="4">
        <v>67</v>
      </c>
      <c r="E1048" s="4"/>
      <c r="F1048">
        <v>206</v>
      </c>
      <c r="H1048" t="str">
        <f t="shared" si="16"/>
        <v>2022-12</v>
      </c>
      <c r="I1048" t="str">
        <f>_xlfn.XLOOKUP(Table1[[#This Row],[Customer_ID]],Customers!$A$2:$A$30,Customers!$C$2:$C$30,"Not found")</f>
        <v>Pays full</v>
      </c>
    </row>
    <row r="1049" spans="1:9">
      <c r="A1049" s="9">
        <v>44901</v>
      </c>
      <c r="B1049" t="s">
        <v>80</v>
      </c>
      <c r="C1049" t="s">
        <v>8</v>
      </c>
      <c r="D1049" s="4">
        <v>255</v>
      </c>
      <c r="E1049" s="4"/>
      <c r="F1049">
        <v>206</v>
      </c>
      <c r="H1049" t="str">
        <f t="shared" si="16"/>
        <v>2022-12</v>
      </c>
      <c r="I1049" t="str">
        <f>_xlfn.XLOOKUP(Table1[[#This Row],[Customer_ID]],Customers!$A$2:$A$30,Customers!$C$2:$C$30,"Not found")</f>
        <v>Pays full</v>
      </c>
    </row>
    <row r="1050" spans="1:9">
      <c r="A1050" s="9">
        <v>44903</v>
      </c>
      <c r="B1050" t="s">
        <v>80</v>
      </c>
      <c r="C1050" t="s">
        <v>8</v>
      </c>
      <c r="D1050" s="4">
        <v>62</v>
      </c>
      <c r="E1050" s="4"/>
      <c r="F1050">
        <v>206</v>
      </c>
      <c r="H1050" t="str">
        <f t="shared" si="16"/>
        <v>2022-12</v>
      </c>
      <c r="I1050" t="str">
        <f>_xlfn.XLOOKUP(Table1[[#This Row],[Customer_ID]],Customers!$A$2:$A$30,Customers!$C$2:$C$30,"Not found")</f>
        <v>Pays full</v>
      </c>
    </row>
    <row r="1051" spans="1:9">
      <c r="A1051" s="9">
        <v>44904</v>
      </c>
      <c r="B1051" t="s">
        <v>80</v>
      </c>
      <c r="C1051" t="s">
        <v>8</v>
      </c>
      <c r="D1051" s="4">
        <v>79</v>
      </c>
      <c r="E1051" s="4"/>
      <c r="F1051">
        <v>206</v>
      </c>
      <c r="H1051" t="str">
        <f t="shared" si="16"/>
        <v>2022-12</v>
      </c>
      <c r="I1051" t="str">
        <f>_xlfn.XLOOKUP(Table1[[#This Row],[Customer_ID]],Customers!$A$2:$A$30,Customers!$C$2:$C$30,"Not found")</f>
        <v>Pays full</v>
      </c>
    </row>
    <row r="1052" spans="1:9">
      <c r="A1052" s="9">
        <v>44904</v>
      </c>
      <c r="B1052" t="s">
        <v>80</v>
      </c>
      <c r="C1052" t="s">
        <v>8</v>
      </c>
      <c r="D1052" s="4">
        <v>80</v>
      </c>
      <c r="E1052" s="4"/>
      <c r="F1052">
        <v>206</v>
      </c>
      <c r="H1052" t="str">
        <f t="shared" si="16"/>
        <v>2022-12</v>
      </c>
      <c r="I1052" t="str">
        <f>_xlfn.XLOOKUP(Table1[[#This Row],[Customer_ID]],Customers!$A$2:$A$30,Customers!$C$2:$C$30,"Not found")</f>
        <v>Pays full</v>
      </c>
    </row>
    <row r="1053" spans="1:9">
      <c r="A1053" s="9">
        <v>44905</v>
      </c>
      <c r="B1053" t="s">
        <v>80</v>
      </c>
      <c r="C1053" t="s">
        <v>8</v>
      </c>
      <c r="D1053" s="4">
        <v>62</v>
      </c>
      <c r="E1053" s="4"/>
      <c r="F1053">
        <v>206</v>
      </c>
      <c r="G1053" t="s">
        <v>199</v>
      </c>
      <c r="H1053" t="str">
        <f t="shared" si="16"/>
        <v>2022-12</v>
      </c>
      <c r="I1053" t="str">
        <f>_xlfn.XLOOKUP(Table1[[#This Row],[Customer_ID]],Customers!$A$2:$A$30,Customers!$C$2:$C$30,"Not found")</f>
        <v>Pays full</v>
      </c>
    </row>
    <row r="1054" spans="1:9">
      <c r="A1054" s="9">
        <v>44906</v>
      </c>
      <c r="B1054" t="s">
        <v>80</v>
      </c>
      <c r="C1054" t="s">
        <v>8</v>
      </c>
      <c r="D1054" s="4">
        <v>311</v>
      </c>
      <c r="E1054" s="4"/>
      <c r="F1054">
        <v>206</v>
      </c>
      <c r="H1054" t="str">
        <f t="shared" si="16"/>
        <v>2022-12</v>
      </c>
      <c r="I1054" t="str">
        <f>_xlfn.XLOOKUP(Table1[[#This Row],[Customer_ID]],Customers!$A$2:$A$30,Customers!$C$2:$C$30,"Not found")</f>
        <v>Pays full</v>
      </c>
    </row>
    <row r="1055" spans="1:9">
      <c r="A1055" s="9">
        <v>44906</v>
      </c>
      <c r="B1055" t="s">
        <v>80</v>
      </c>
      <c r="C1055" t="s">
        <v>22</v>
      </c>
      <c r="D1055" s="4">
        <v>56</v>
      </c>
      <c r="E1055" s="4">
        <v>9013</v>
      </c>
      <c r="F1055">
        <v>206</v>
      </c>
      <c r="G1055" t="s">
        <v>205</v>
      </c>
      <c r="H1055" t="str">
        <f t="shared" si="16"/>
        <v>2022-12</v>
      </c>
      <c r="I1055" t="str">
        <f>_xlfn.XLOOKUP(Table1[[#This Row],[Customer_ID]],Customers!$A$2:$A$30,Customers!$C$2:$C$30,"Not found")</f>
        <v>Pays full</v>
      </c>
    </row>
    <row r="1056" spans="1:9">
      <c r="A1056" s="9">
        <v>44907</v>
      </c>
      <c r="B1056" t="s">
        <v>80</v>
      </c>
      <c r="C1056" t="s">
        <v>14</v>
      </c>
      <c r="D1056" s="4">
        <v>9013</v>
      </c>
      <c r="E1056" s="4">
        <v>0</v>
      </c>
      <c r="F1056">
        <v>206</v>
      </c>
      <c r="G1056" t="s">
        <v>206</v>
      </c>
      <c r="H1056" t="str">
        <f t="shared" si="16"/>
        <v>2022-12</v>
      </c>
      <c r="I1056" t="str">
        <f>_xlfn.XLOOKUP(Table1[[#This Row],[Customer_ID]],Customers!$A$2:$A$30,Customers!$C$2:$C$30,"Not found")</f>
        <v>Pays full</v>
      </c>
    </row>
    <row r="1057" spans="1:9">
      <c r="A1057" s="9">
        <v>44907</v>
      </c>
      <c r="B1057" t="s">
        <v>80</v>
      </c>
      <c r="C1057" t="s">
        <v>8</v>
      </c>
      <c r="D1057" s="4">
        <v>1540</v>
      </c>
      <c r="E1057" s="4"/>
      <c r="F1057">
        <v>207</v>
      </c>
      <c r="G1057" t="s">
        <v>207</v>
      </c>
      <c r="H1057" t="str">
        <f t="shared" si="16"/>
        <v>2022-12</v>
      </c>
      <c r="I1057" t="str">
        <f>_xlfn.XLOOKUP(Table1[[#This Row],[Customer_ID]],Customers!$A$2:$A$30,Customers!$C$2:$C$30,"Not found")</f>
        <v>Pays full</v>
      </c>
    </row>
    <row r="1058" spans="1:9">
      <c r="A1058" s="9">
        <v>44908</v>
      </c>
      <c r="B1058" t="s">
        <v>80</v>
      </c>
      <c r="C1058" t="s">
        <v>8</v>
      </c>
      <c r="D1058" s="4">
        <v>390</v>
      </c>
      <c r="E1058" s="4"/>
      <c r="F1058">
        <v>207</v>
      </c>
      <c r="H1058" t="str">
        <f t="shared" si="16"/>
        <v>2022-12</v>
      </c>
      <c r="I1058" t="str">
        <f>_xlfn.XLOOKUP(Table1[[#This Row],[Customer_ID]],Customers!$A$2:$A$30,Customers!$C$2:$C$30,"Not found")</f>
        <v>Pays full</v>
      </c>
    </row>
    <row r="1059" spans="1:9">
      <c r="A1059" s="9">
        <v>44909</v>
      </c>
      <c r="B1059" t="s">
        <v>80</v>
      </c>
      <c r="C1059" t="s">
        <v>8</v>
      </c>
      <c r="D1059" s="4">
        <v>434</v>
      </c>
      <c r="E1059" s="4"/>
      <c r="F1059">
        <v>207</v>
      </c>
      <c r="H1059" t="str">
        <f t="shared" si="16"/>
        <v>2022-12</v>
      </c>
      <c r="I1059" t="str">
        <f>_xlfn.XLOOKUP(Table1[[#This Row],[Customer_ID]],Customers!$A$2:$A$30,Customers!$C$2:$C$30,"Not found")</f>
        <v>Pays full</v>
      </c>
    </row>
    <row r="1060" spans="1:9">
      <c r="A1060" s="9">
        <v>44910</v>
      </c>
      <c r="B1060" t="s">
        <v>80</v>
      </c>
      <c r="C1060" t="s">
        <v>8</v>
      </c>
      <c r="D1060" s="4">
        <v>74</v>
      </c>
      <c r="E1060" s="4"/>
      <c r="F1060">
        <v>207</v>
      </c>
      <c r="H1060" t="str">
        <f t="shared" si="16"/>
        <v>2022-12</v>
      </c>
      <c r="I1060" t="str">
        <f>_xlfn.XLOOKUP(Table1[[#This Row],[Customer_ID]],Customers!$A$2:$A$30,Customers!$C$2:$C$30,"Not found")</f>
        <v>Pays full</v>
      </c>
    </row>
    <row r="1061" spans="1:9">
      <c r="A1061" s="9">
        <v>44911</v>
      </c>
      <c r="B1061" t="s">
        <v>80</v>
      </c>
      <c r="C1061" t="s">
        <v>8</v>
      </c>
      <c r="D1061" s="4">
        <v>1900</v>
      </c>
      <c r="E1061" s="4"/>
      <c r="F1061">
        <v>207</v>
      </c>
      <c r="H1061" t="str">
        <f t="shared" si="16"/>
        <v>2022-12</v>
      </c>
      <c r="I1061" t="str">
        <f>_xlfn.XLOOKUP(Table1[[#This Row],[Customer_ID]],Customers!$A$2:$A$30,Customers!$C$2:$C$30,"Not found")</f>
        <v>Pays full</v>
      </c>
    </row>
    <row r="1062" spans="1:9">
      <c r="A1062" s="9">
        <v>44912</v>
      </c>
      <c r="B1062" t="s">
        <v>80</v>
      </c>
      <c r="C1062" t="s">
        <v>8</v>
      </c>
      <c r="D1062" s="4">
        <v>405</v>
      </c>
      <c r="E1062" s="4"/>
      <c r="F1062">
        <v>207</v>
      </c>
      <c r="H1062" t="str">
        <f t="shared" si="16"/>
        <v>2022-12</v>
      </c>
      <c r="I1062" t="str">
        <f>_xlfn.XLOOKUP(Table1[[#This Row],[Customer_ID]],Customers!$A$2:$A$30,Customers!$C$2:$C$30,"Not found")</f>
        <v>Pays full</v>
      </c>
    </row>
    <row r="1063" spans="1:9">
      <c r="A1063" s="9">
        <v>44913</v>
      </c>
      <c r="B1063" t="s">
        <v>80</v>
      </c>
      <c r="C1063" t="s">
        <v>8</v>
      </c>
      <c r="D1063" s="4">
        <v>54</v>
      </c>
      <c r="E1063" s="4"/>
      <c r="F1063">
        <v>207</v>
      </c>
      <c r="H1063" t="str">
        <f t="shared" si="16"/>
        <v>2022-12</v>
      </c>
      <c r="I1063" t="str">
        <f>_xlfn.XLOOKUP(Table1[[#This Row],[Customer_ID]],Customers!$A$2:$A$30,Customers!$C$2:$C$30,"Not found")</f>
        <v>Pays full</v>
      </c>
    </row>
    <row r="1064" spans="1:9">
      <c r="A1064" s="9">
        <v>44914</v>
      </c>
      <c r="B1064" t="s">
        <v>80</v>
      </c>
      <c r="C1064" t="s">
        <v>8</v>
      </c>
      <c r="D1064" s="4">
        <v>170</v>
      </c>
      <c r="E1064" s="4"/>
      <c r="F1064">
        <v>207</v>
      </c>
      <c r="H1064" t="str">
        <f t="shared" si="16"/>
        <v>2022-12</v>
      </c>
      <c r="I1064" t="str">
        <f>_xlfn.XLOOKUP(Table1[[#This Row],[Customer_ID]],Customers!$A$2:$A$30,Customers!$C$2:$C$30,"Not found")</f>
        <v>Pays full</v>
      </c>
    </row>
    <row r="1065" spans="1:9">
      <c r="A1065" s="9">
        <v>44914</v>
      </c>
      <c r="B1065" t="s">
        <v>80</v>
      </c>
      <c r="C1065" t="s">
        <v>8</v>
      </c>
      <c r="D1065" s="4">
        <v>80</v>
      </c>
      <c r="E1065" s="4"/>
      <c r="F1065">
        <v>207</v>
      </c>
      <c r="H1065" t="str">
        <f t="shared" si="16"/>
        <v>2022-12</v>
      </c>
      <c r="I1065" t="str">
        <f>_xlfn.XLOOKUP(Table1[[#This Row],[Customer_ID]],Customers!$A$2:$A$30,Customers!$C$2:$C$30,"Not found")</f>
        <v>Pays full</v>
      </c>
    </row>
    <row r="1066" spans="1:9">
      <c r="A1066" s="9">
        <v>44915</v>
      </c>
      <c r="B1066" t="s">
        <v>80</v>
      </c>
      <c r="C1066" t="s">
        <v>8</v>
      </c>
      <c r="D1066" s="4">
        <v>150</v>
      </c>
      <c r="E1066" s="4"/>
      <c r="F1066">
        <v>207</v>
      </c>
      <c r="H1066" t="str">
        <f t="shared" si="16"/>
        <v>2022-12</v>
      </c>
      <c r="I1066" t="str">
        <f>_xlfn.XLOOKUP(Table1[[#This Row],[Customer_ID]],Customers!$A$2:$A$30,Customers!$C$2:$C$30,"Not found")</f>
        <v>Pays full</v>
      </c>
    </row>
    <row r="1067" spans="1:9">
      <c r="A1067" s="9">
        <v>44916</v>
      </c>
      <c r="B1067" t="s">
        <v>80</v>
      </c>
      <c r="C1067" t="s">
        <v>8</v>
      </c>
      <c r="D1067" s="4">
        <v>113</v>
      </c>
      <c r="E1067" s="4"/>
      <c r="F1067">
        <v>207</v>
      </c>
      <c r="H1067" t="str">
        <f t="shared" si="16"/>
        <v>2022-12</v>
      </c>
      <c r="I1067" t="str">
        <f>_xlfn.XLOOKUP(Table1[[#This Row],[Customer_ID]],Customers!$A$2:$A$30,Customers!$C$2:$C$30,"Not found")</f>
        <v>Pays full</v>
      </c>
    </row>
    <row r="1068" spans="1:9">
      <c r="A1068" s="9">
        <v>44917</v>
      </c>
      <c r="B1068" t="s">
        <v>80</v>
      </c>
      <c r="C1068" t="s">
        <v>8</v>
      </c>
      <c r="D1068" s="4">
        <v>284</v>
      </c>
      <c r="E1068" s="4"/>
      <c r="F1068">
        <v>207</v>
      </c>
      <c r="H1068" t="str">
        <f t="shared" si="16"/>
        <v>2022-12</v>
      </c>
      <c r="I1068" t="str">
        <f>_xlfn.XLOOKUP(Table1[[#This Row],[Customer_ID]],Customers!$A$2:$A$30,Customers!$C$2:$C$30,"Not found")</f>
        <v>Pays full</v>
      </c>
    </row>
    <row r="1069" spans="1:9">
      <c r="A1069" s="9">
        <v>44918</v>
      </c>
      <c r="B1069" t="s">
        <v>80</v>
      </c>
      <c r="C1069" t="s">
        <v>8</v>
      </c>
      <c r="D1069" s="4">
        <v>150</v>
      </c>
      <c r="E1069" s="4"/>
      <c r="F1069">
        <v>207</v>
      </c>
      <c r="H1069" t="str">
        <f t="shared" si="16"/>
        <v>2022-12</v>
      </c>
      <c r="I1069" t="str">
        <f>_xlfn.XLOOKUP(Table1[[#This Row],[Customer_ID]],Customers!$A$2:$A$30,Customers!$C$2:$C$30,"Not found")</f>
        <v>Pays full</v>
      </c>
    </row>
    <row r="1070" spans="1:9">
      <c r="A1070" s="9">
        <v>44919</v>
      </c>
      <c r="B1070" t="s">
        <v>80</v>
      </c>
      <c r="C1070" t="s">
        <v>8</v>
      </c>
      <c r="D1070" s="4">
        <v>240</v>
      </c>
      <c r="E1070" s="4"/>
      <c r="F1070">
        <v>207</v>
      </c>
      <c r="H1070" t="str">
        <f t="shared" si="16"/>
        <v>2022-12</v>
      </c>
      <c r="I1070" t="str">
        <f>_xlfn.XLOOKUP(Table1[[#This Row],[Customer_ID]],Customers!$A$2:$A$30,Customers!$C$2:$C$30,"Not found")</f>
        <v>Pays full</v>
      </c>
    </row>
    <row r="1071" spans="1:9">
      <c r="A1071" s="9">
        <v>44920</v>
      </c>
      <c r="B1071" t="s">
        <v>80</v>
      </c>
      <c r="C1071" t="s">
        <v>8</v>
      </c>
      <c r="D1071" s="4">
        <v>80</v>
      </c>
      <c r="E1071" s="4"/>
      <c r="F1071">
        <v>207</v>
      </c>
      <c r="G1071" t="s">
        <v>199</v>
      </c>
      <c r="H1071" t="str">
        <f t="shared" si="16"/>
        <v>2022-12</v>
      </c>
      <c r="I1071" t="str">
        <f>_xlfn.XLOOKUP(Table1[[#This Row],[Customer_ID]],Customers!$A$2:$A$30,Customers!$C$2:$C$30,"Not found")</f>
        <v>Pays full</v>
      </c>
    </row>
    <row r="1072" spans="1:9">
      <c r="A1072" s="9">
        <v>44921</v>
      </c>
      <c r="B1072" t="s">
        <v>80</v>
      </c>
      <c r="C1072" t="s">
        <v>8</v>
      </c>
      <c r="D1072" s="4">
        <v>1540</v>
      </c>
      <c r="E1072" s="4"/>
      <c r="F1072">
        <v>207</v>
      </c>
      <c r="G1072" t="s">
        <v>194</v>
      </c>
      <c r="H1072" t="str">
        <f t="shared" si="16"/>
        <v>2022-12</v>
      </c>
      <c r="I1072" t="str">
        <f>_xlfn.XLOOKUP(Table1[[#This Row],[Customer_ID]],Customers!$A$2:$A$30,Customers!$C$2:$C$30,"Not found")</f>
        <v>Pays full</v>
      </c>
    </row>
    <row r="1073" spans="1:9">
      <c r="A1073" s="9">
        <v>44922</v>
      </c>
      <c r="B1073" t="s">
        <v>80</v>
      </c>
      <c r="C1073" t="s">
        <v>8</v>
      </c>
      <c r="D1073" s="4">
        <v>55</v>
      </c>
      <c r="E1073" s="4"/>
      <c r="F1073">
        <v>207</v>
      </c>
      <c r="H1073" t="str">
        <f t="shared" si="16"/>
        <v>2022-12</v>
      </c>
      <c r="I1073" t="str">
        <f>_xlfn.XLOOKUP(Table1[[#This Row],[Customer_ID]],Customers!$A$2:$A$30,Customers!$C$2:$C$30,"Not found")</f>
        <v>Pays full</v>
      </c>
    </row>
    <row r="1074" spans="1:9">
      <c r="A1074" s="9">
        <v>44923</v>
      </c>
      <c r="B1074" t="s">
        <v>80</v>
      </c>
      <c r="C1074" t="s">
        <v>8</v>
      </c>
      <c r="D1074" s="4">
        <v>118</v>
      </c>
      <c r="E1074" s="4"/>
      <c r="F1074">
        <v>207</v>
      </c>
      <c r="H1074" t="str">
        <f t="shared" si="16"/>
        <v>2022-12</v>
      </c>
      <c r="I1074" t="str">
        <f>_xlfn.XLOOKUP(Table1[[#This Row],[Customer_ID]],Customers!$A$2:$A$30,Customers!$C$2:$C$30,"Not found")</f>
        <v>Pays full</v>
      </c>
    </row>
    <row r="1075" spans="1:9">
      <c r="A1075" s="9">
        <v>44923</v>
      </c>
      <c r="B1075" t="s">
        <v>80</v>
      </c>
      <c r="C1075" t="s">
        <v>8</v>
      </c>
      <c r="D1075" s="4">
        <v>1307</v>
      </c>
      <c r="E1075" s="4">
        <v>9084</v>
      </c>
      <c r="F1075">
        <v>207</v>
      </c>
      <c r="G1075" t="s">
        <v>208</v>
      </c>
      <c r="H1075" t="str">
        <f t="shared" si="16"/>
        <v>2022-12</v>
      </c>
      <c r="I1075" t="str">
        <f>_xlfn.XLOOKUP(Table1[[#This Row],[Customer_ID]],Customers!$A$2:$A$30,Customers!$C$2:$C$30,"Not found")</f>
        <v>Pays full</v>
      </c>
    </row>
    <row r="1076" spans="1:9">
      <c r="A1076" s="9">
        <v>44813</v>
      </c>
      <c r="B1076" t="s">
        <v>81</v>
      </c>
      <c r="C1076" t="s">
        <v>28</v>
      </c>
      <c r="D1076" s="4">
        <v>259</v>
      </c>
      <c r="E1076" s="4">
        <v>259</v>
      </c>
      <c r="F1076">
        <v>205</v>
      </c>
      <c r="G1076" t="s">
        <v>209</v>
      </c>
      <c r="H1076" t="str">
        <f t="shared" si="16"/>
        <v>2022-09</v>
      </c>
      <c r="I1076" t="str">
        <f>_xlfn.XLOOKUP(Table1[[#This Row],[Customer_ID]],Customers!$A$2:$A$30,Customers!$C$2:$C$30,"Not found")</f>
        <v>Carries forward</v>
      </c>
    </row>
    <row r="1077" spans="1:9">
      <c r="A1077" s="9">
        <v>44813</v>
      </c>
      <c r="B1077" t="s">
        <v>81</v>
      </c>
      <c r="C1077" t="s">
        <v>8</v>
      </c>
      <c r="D1077" s="4">
        <v>15</v>
      </c>
      <c r="E1077" s="4"/>
      <c r="F1077">
        <v>205</v>
      </c>
      <c r="H1077" t="str">
        <f t="shared" si="16"/>
        <v>2022-09</v>
      </c>
      <c r="I1077" t="str">
        <f>_xlfn.XLOOKUP(Table1[[#This Row],[Customer_ID]],Customers!$A$2:$A$30,Customers!$C$2:$C$30,"Not found")</f>
        <v>Carries forward</v>
      </c>
    </row>
    <row r="1078" spans="1:9">
      <c r="A1078" s="9">
        <v>44817</v>
      </c>
      <c r="B1078" t="s">
        <v>81</v>
      </c>
      <c r="C1078" t="s">
        <v>8</v>
      </c>
      <c r="D1078" s="4">
        <v>10</v>
      </c>
      <c r="E1078" s="4"/>
      <c r="F1078">
        <v>205</v>
      </c>
      <c r="H1078" t="str">
        <f t="shared" si="16"/>
        <v>2022-09</v>
      </c>
      <c r="I1078" t="str">
        <f>_xlfn.XLOOKUP(Table1[[#This Row],[Customer_ID]],Customers!$A$2:$A$30,Customers!$C$2:$C$30,"Not found")</f>
        <v>Carries forward</v>
      </c>
    </row>
    <row r="1079" spans="1:9">
      <c r="A1079" s="9">
        <v>44818</v>
      </c>
      <c r="B1079" t="s">
        <v>81</v>
      </c>
      <c r="C1079" t="s">
        <v>8</v>
      </c>
      <c r="D1079" s="4">
        <v>20</v>
      </c>
      <c r="E1079" s="4">
        <v>304</v>
      </c>
      <c r="F1079">
        <v>205</v>
      </c>
      <c r="G1079" t="s">
        <v>210</v>
      </c>
      <c r="H1079" t="str">
        <f t="shared" si="16"/>
        <v>2022-09</v>
      </c>
      <c r="I1079" t="str">
        <f>_xlfn.XLOOKUP(Table1[[#This Row],[Customer_ID]],Customers!$A$2:$A$30,Customers!$C$2:$C$30,"Not found")</f>
        <v>Carries forward</v>
      </c>
    </row>
    <row r="1080" spans="1:9">
      <c r="A1080" s="9">
        <v>44819</v>
      </c>
      <c r="B1080" t="s">
        <v>81</v>
      </c>
      <c r="C1080" t="s">
        <v>8</v>
      </c>
      <c r="D1080" s="4">
        <v>10</v>
      </c>
      <c r="E1080" s="4"/>
      <c r="F1080">
        <v>205</v>
      </c>
      <c r="H1080" t="str">
        <f t="shared" si="16"/>
        <v>2022-09</v>
      </c>
      <c r="I1080" t="str">
        <f>_xlfn.XLOOKUP(Table1[[#This Row],[Customer_ID]],Customers!$A$2:$A$30,Customers!$C$2:$C$30,"Not found")</f>
        <v>Carries forward</v>
      </c>
    </row>
    <row r="1081" spans="1:9">
      <c r="A1081" s="9">
        <v>44820</v>
      </c>
      <c r="B1081" t="s">
        <v>81</v>
      </c>
      <c r="C1081" t="s">
        <v>8</v>
      </c>
      <c r="D1081" s="4">
        <v>10</v>
      </c>
      <c r="E1081" s="4"/>
      <c r="F1081">
        <v>205</v>
      </c>
      <c r="H1081" t="str">
        <f t="shared" si="16"/>
        <v>2022-09</v>
      </c>
      <c r="I1081" t="str">
        <f>_xlfn.XLOOKUP(Table1[[#This Row],[Customer_ID]],Customers!$A$2:$A$30,Customers!$C$2:$C$30,"Not found")</f>
        <v>Carries forward</v>
      </c>
    </row>
    <row r="1082" spans="1:9">
      <c r="A1082" s="9">
        <v>44821</v>
      </c>
      <c r="B1082" t="s">
        <v>81</v>
      </c>
      <c r="C1082" t="s">
        <v>8</v>
      </c>
      <c r="D1082" s="4">
        <v>10</v>
      </c>
      <c r="E1082" s="4"/>
      <c r="F1082">
        <v>205</v>
      </c>
      <c r="H1082" t="str">
        <f t="shared" si="16"/>
        <v>2022-09</v>
      </c>
      <c r="I1082" t="str">
        <f>_xlfn.XLOOKUP(Table1[[#This Row],[Customer_ID]],Customers!$A$2:$A$30,Customers!$C$2:$C$30,"Not found")</f>
        <v>Carries forward</v>
      </c>
    </row>
    <row r="1083" spans="1:9">
      <c r="A1083" s="9">
        <v>44822</v>
      </c>
      <c r="B1083" t="s">
        <v>81</v>
      </c>
      <c r="C1083" t="s">
        <v>8</v>
      </c>
      <c r="D1083" s="4">
        <v>85</v>
      </c>
      <c r="E1083" s="4"/>
      <c r="F1083">
        <v>205</v>
      </c>
      <c r="H1083" t="str">
        <f t="shared" si="16"/>
        <v>2022-09</v>
      </c>
      <c r="I1083" t="str">
        <f>_xlfn.XLOOKUP(Table1[[#This Row],[Customer_ID]],Customers!$A$2:$A$30,Customers!$C$2:$C$30,"Not found")</f>
        <v>Carries forward</v>
      </c>
    </row>
    <row r="1084" spans="1:9">
      <c r="A1084" s="9">
        <v>44824</v>
      </c>
      <c r="B1084" t="s">
        <v>81</v>
      </c>
      <c r="C1084" t="s">
        <v>8</v>
      </c>
      <c r="D1084" s="4">
        <v>47</v>
      </c>
      <c r="E1084" s="4"/>
      <c r="F1084">
        <v>205</v>
      </c>
      <c r="G1084" t="s">
        <v>211</v>
      </c>
      <c r="H1084" t="str">
        <f t="shared" si="16"/>
        <v>2022-09</v>
      </c>
      <c r="I1084" t="str">
        <f>_xlfn.XLOOKUP(Table1[[#This Row],[Customer_ID]],Customers!$A$2:$A$30,Customers!$C$2:$C$30,"Not found")</f>
        <v>Carries forward</v>
      </c>
    </row>
    <row r="1085" spans="1:9">
      <c r="A1085" s="9">
        <v>44826</v>
      </c>
      <c r="B1085" t="s">
        <v>81</v>
      </c>
      <c r="C1085" t="s">
        <v>8</v>
      </c>
      <c r="D1085" s="4">
        <v>12</v>
      </c>
      <c r="E1085" s="4"/>
      <c r="F1085">
        <v>205</v>
      </c>
      <c r="H1085" t="str">
        <f t="shared" si="16"/>
        <v>2022-09</v>
      </c>
      <c r="I1085" t="str">
        <f>_xlfn.XLOOKUP(Table1[[#This Row],[Customer_ID]],Customers!$A$2:$A$30,Customers!$C$2:$C$30,"Not found")</f>
        <v>Carries forward</v>
      </c>
    </row>
    <row r="1086" spans="1:9">
      <c r="A1086" s="9">
        <v>44827</v>
      </c>
      <c r="B1086" t="s">
        <v>81</v>
      </c>
      <c r="C1086" t="s">
        <v>8</v>
      </c>
      <c r="D1086" s="4">
        <v>10</v>
      </c>
      <c r="E1086" s="4"/>
      <c r="F1086">
        <v>205</v>
      </c>
      <c r="H1086" t="str">
        <f t="shared" si="16"/>
        <v>2022-09</v>
      </c>
      <c r="I1086" t="str">
        <f>_xlfn.XLOOKUP(Table1[[#This Row],[Customer_ID]],Customers!$A$2:$A$30,Customers!$C$2:$C$30,"Not found")</f>
        <v>Carries forward</v>
      </c>
    </row>
    <row r="1087" spans="1:9">
      <c r="A1087" s="9">
        <v>44827</v>
      </c>
      <c r="B1087" t="s">
        <v>81</v>
      </c>
      <c r="C1087" t="s">
        <v>8</v>
      </c>
      <c r="D1087" s="4">
        <v>11</v>
      </c>
      <c r="E1087" s="4"/>
      <c r="F1087">
        <v>205</v>
      </c>
      <c r="H1087" t="str">
        <f t="shared" ref="H1087:H1150" si="17">IF(A1087="","",TEXT(A1087,"yyyy-mm"))</f>
        <v>2022-09</v>
      </c>
      <c r="I1087" t="str">
        <f>_xlfn.XLOOKUP(Table1[[#This Row],[Customer_ID]],Customers!$A$2:$A$30,Customers!$C$2:$C$30,"Not found")</f>
        <v>Carries forward</v>
      </c>
    </row>
    <row r="1088" spans="1:9">
      <c r="A1088" s="9">
        <v>44830</v>
      </c>
      <c r="B1088" t="s">
        <v>81</v>
      </c>
      <c r="C1088" t="s">
        <v>8</v>
      </c>
      <c r="D1088" s="4">
        <v>22</v>
      </c>
      <c r="E1088" s="4"/>
      <c r="F1088">
        <v>205</v>
      </c>
      <c r="H1088" t="str">
        <f t="shared" si="17"/>
        <v>2022-09</v>
      </c>
      <c r="I1088" t="str">
        <f>_xlfn.XLOOKUP(Table1[[#This Row],[Customer_ID]],Customers!$A$2:$A$30,Customers!$C$2:$C$30,"Not found")</f>
        <v>Carries forward</v>
      </c>
    </row>
    <row r="1089" spans="1:9">
      <c r="A1089" s="9">
        <v>44833</v>
      </c>
      <c r="B1089" t="s">
        <v>81</v>
      </c>
      <c r="C1089" t="s">
        <v>8</v>
      </c>
      <c r="D1089" s="4">
        <v>25</v>
      </c>
      <c r="E1089" s="4"/>
      <c r="F1089">
        <v>205</v>
      </c>
      <c r="H1089" t="str">
        <f t="shared" si="17"/>
        <v>2022-09</v>
      </c>
      <c r="I1089" t="str">
        <f>_xlfn.XLOOKUP(Table1[[#This Row],[Customer_ID]],Customers!$A$2:$A$30,Customers!$C$2:$C$30,"Not found")</f>
        <v>Carries forward</v>
      </c>
    </row>
    <row r="1090" spans="1:9">
      <c r="A1090" s="9">
        <v>44834</v>
      </c>
      <c r="B1090" t="s">
        <v>81</v>
      </c>
      <c r="C1090" t="s">
        <v>8</v>
      </c>
      <c r="D1090" s="4">
        <v>10</v>
      </c>
      <c r="E1090" s="4"/>
      <c r="F1090">
        <v>205</v>
      </c>
      <c r="H1090" t="str">
        <f t="shared" si="17"/>
        <v>2022-09</v>
      </c>
      <c r="I1090" t="str">
        <f>_xlfn.XLOOKUP(Table1[[#This Row],[Customer_ID]],Customers!$A$2:$A$30,Customers!$C$2:$C$30,"Not found")</f>
        <v>Carries forward</v>
      </c>
    </row>
    <row r="1091" spans="1:9">
      <c r="A1091" s="9">
        <v>44835</v>
      </c>
      <c r="B1091" t="s">
        <v>81</v>
      </c>
      <c r="C1091" t="s">
        <v>8</v>
      </c>
      <c r="D1091" s="4">
        <v>10</v>
      </c>
      <c r="E1091" s="4"/>
      <c r="F1091">
        <v>205</v>
      </c>
      <c r="H1091" t="str">
        <f t="shared" si="17"/>
        <v>2022-10</v>
      </c>
      <c r="I1091" t="str">
        <f>_xlfn.XLOOKUP(Table1[[#This Row],[Customer_ID]],Customers!$A$2:$A$30,Customers!$C$2:$C$30,"Not found")</f>
        <v>Carries forward</v>
      </c>
    </row>
    <row r="1092" spans="1:9">
      <c r="A1092" s="9">
        <v>44837</v>
      </c>
      <c r="B1092" t="s">
        <v>81</v>
      </c>
      <c r="C1092" t="s">
        <v>8</v>
      </c>
      <c r="D1092" s="4">
        <v>20</v>
      </c>
      <c r="E1092" s="4"/>
      <c r="F1092">
        <v>205</v>
      </c>
      <c r="H1092" t="str">
        <f t="shared" si="17"/>
        <v>2022-10</v>
      </c>
      <c r="I1092" t="str">
        <f>_xlfn.XLOOKUP(Table1[[#This Row],[Customer_ID]],Customers!$A$2:$A$30,Customers!$C$2:$C$30,"Not found")</f>
        <v>Carries forward</v>
      </c>
    </row>
    <row r="1093" spans="1:9">
      <c r="A1093" s="9">
        <v>44837</v>
      </c>
      <c r="B1093" t="s">
        <v>81</v>
      </c>
      <c r="C1093" t="s">
        <v>8</v>
      </c>
      <c r="D1093" s="4">
        <v>10</v>
      </c>
      <c r="E1093" s="4"/>
      <c r="F1093">
        <v>205</v>
      </c>
      <c r="H1093" t="str">
        <f t="shared" si="17"/>
        <v>2022-10</v>
      </c>
      <c r="I1093" t="str">
        <f>_xlfn.XLOOKUP(Table1[[#This Row],[Customer_ID]],Customers!$A$2:$A$30,Customers!$C$2:$C$30,"Not found")</f>
        <v>Carries forward</v>
      </c>
    </row>
    <row r="1094" spans="1:9">
      <c r="A1094" s="9">
        <v>44838</v>
      </c>
      <c r="B1094" t="s">
        <v>81</v>
      </c>
      <c r="C1094" t="s">
        <v>8</v>
      </c>
      <c r="D1094" s="4">
        <v>10</v>
      </c>
      <c r="E1094" s="4"/>
      <c r="F1094">
        <v>205</v>
      </c>
      <c r="H1094" t="str">
        <f t="shared" si="17"/>
        <v>2022-10</v>
      </c>
      <c r="I1094" t="str">
        <f>_xlfn.XLOOKUP(Table1[[#This Row],[Customer_ID]],Customers!$A$2:$A$30,Customers!$C$2:$C$30,"Not found")</f>
        <v>Carries forward</v>
      </c>
    </row>
    <row r="1095" spans="1:9">
      <c r="A1095" s="9">
        <v>44839</v>
      </c>
      <c r="B1095" t="s">
        <v>81</v>
      </c>
      <c r="C1095" t="s">
        <v>8</v>
      </c>
      <c r="D1095" s="4">
        <v>10</v>
      </c>
      <c r="E1095" s="4"/>
      <c r="F1095">
        <v>205</v>
      </c>
      <c r="H1095" t="str">
        <f t="shared" si="17"/>
        <v>2022-10</v>
      </c>
      <c r="I1095" t="str">
        <f>_xlfn.XLOOKUP(Table1[[#This Row],[Customer_ID]],Customers!$A$2:$A$30,Customers!$C$2:$C$30,"Not found")</f>
        <v>Carries forward</v>
      </c>
    </row>
    <row r="1096" spans="1:9">
      <c r="A1096" s="9">
        <v>44840</v>
      </c>
      <c r="B1096" t="s">
        <v>81</v>
      </c>
      <c r="C1096" t="s">
        <v>8</v>
      </c>
      <c r="D1096" s="4">
        <v>24</v>
      </c>
      <c r="E1096" s="4"/>
      <c r="F1096">
        <v>205</v>
      </c>
      <c r="H1096" t="str">
        <f t="shared" si="17"/>
        <v>2022-10</v>
      </c>
      <c r="I1096" t="str">
        <f>_xlfn.XLOOKUP(Table1[[#This Row],[Customer_ID]],Customers!$A$2:$A$30,Customers!$C$2:$C$30,"Not found")</f>
        <v>Carries forward</v>
      </c>
    </row>
    <row r="1097" spans="1:9">
      <c r="A1097" s="9">
        <v>44841</v>
      </c>
      <c r="B1097" t="s">
        <v>81</v>
      </c>
      <c r="C1097" t="s">
        <v>8</v>
      </c>
      <c r="D1097" s="4">
        <v>10</v>
      </c>
      <c r="E1097" s="4"/>
      <c r="F1097">
        <v>205</v>
      </c>
      <c r="H1097" t="str">
        <f t="shared" si="17"/>
        <v>2022-10</v>
      </c>
      <c r="I1097" t="str">
        <f>_xlfn.XLOOKUP(Table1[[#This Row],[Customer_ID]],Customers!$A$2:$A$30,Customers!$C$2:$C$30,"Not found")</f>
        <v>Carries forward</v>
      </c>
    </row>
    <row r="1098" spans="1:9">
      <c r="A1098" s="9">
        <v>44843</v>
      </c>
      <c r="B1098" t="s">
        <v>81</v>
      </c>
      <c r="C1098" t="s">
        <v>8</v>
      </c>
      <c r="D1098" s="4">
        <v>10</v>
      </c>
      <c r="E1098" s="4">
        <v>660</v>
      </c>
      <c r="F1098">
        <v>205</v>
      </c>
      <c r="G1098" t="s">
        <v>212</v>
      </c>
      <c r="H1098" t="str">
        <f t="shared" si="17"/>
        <v>2022-10</v>
      </c>
      <c r="I1098" t="str">
        <f>_xlfn.XLOOKUP(Table1[[#This Row],[Customer_ID]],Customers!$A$2:$A$30,Customers!$C$2:$C$30,"Not found")</f>
        <v>Carries forward</v>
      </c>
    </row>
    <row r="1099" spans="1:9">
      <c r="A1099" s="9">
        <v>44843</v>
      </c>
      <c r="B1099" t="s">
        <v>81</v>
      </c>
      <c r="C1099" t="s">
        <v>8</v>
      </c>
      <c r="D1099" s="4">
        <v>41</v>
      </c>
      <c r="E1099" s="4"/>
      <c r="F1099">
        <v>205</v>
      </c>
      <c r="H1099" t="str">
        <f t="shared" si="17"/>
        <v>2022-10</v>
      </c>
      <c r="I1099" t="str">
        <f>_xlfn.XLOOKUP(Table1[[#This Row],[Customer_ID]],Customers!$A$2:$A$30,Customers!$C$2:$C$30,"Not found")</f>
        <v>Carries forward</v>
      </c>
    </row>
    <row r="1100" spans="1:9">
      <c r="A1100" s="9">
        <v>44844</v>
      </c>
      <c r="B1100" t="s">
        <v>81</v>
      </c>
      <c r="C1100" t="s">
        <v>8</v>
      </c>
      <c r="D1100" s="4">
        <v>35</v>
      </c>
      <c r="E1100" s="4">
        <v>736</v>
      </c>
      <c r="F1100">
        <v>205</v>
      </c>
      <c r="G1100" t="s">
        <v>213</v>
      </c>
      <c r="H1100" t="str">
        <f t="shared" si="17"/>
        <v>2022-10</v>
      </c>
      <c r="I1100" t="str">
        <f>_xlfn.XLOOKUP(Table1[[#This Row],[Customer_ID]],Customers!$A$2:$A$30,Customers!$C$2:$C$30,"Not found")</f>
        <v>Carries forward</v>
      </c>
    </row>
    <row r="1101" spans="1:9">
      <c r="A1101" s="9">
        <v>44845</v>
      </c>
      <c r="B1101" t="s">
        <v>81</v>
      </c>
      <c r="C1101" t="s">
        <v>14</v>
      </c>
      <c r="D1101" s="4">
        <v>500</v>
      </c>
      <c r="E1101" s="4">
        <v>236</v>
      </c>
      <c r="F1101">
        <v>205</v>
      </c>
      <c r="G1101" t="s">
        <v>214</v>
      </c>
      <c r="H1101" t="str">
        <f t="shared" si="17"/>
        <v>2022-10</v>
      </c>
      <c r="I1101" t="str">
        <f>_xlfn.XLOOKUP(Table1[[#This Row],[Customer_ID]],Customers!$A$2:$A$30,Customers!$C$2:$C$30,"Not found")</f>
        <v>Carries forward</v>
      </c>
    </row>
    <row r="1102" spans="1:9">
      <c r="A1102" s="9">
        <v>44846</v>
      </c>
      <c r="B1102" t="s">
        <v>81</v>
      </c>
      <c r="C1102" t="s">
        <v>8</v>
      </c>
      <c r="D1102" s="4">
        <v>74</v>
      </c>
      <c r="E1102" s="4"/>
      <c r="F1102">
        <v>205</v>
      </c>
      <c r="H1102" t="str">
        <f t="shared" si="17"/>
        <v>2022-10</v>
      </c>
      <c r="I1102" t="str">
        <f>_xlfn.XLOOKUP(Table1[[#This Row],[Customer_ID]],Customers!$A$2:$A$30,Customers!$C$2:$C$30,"Not found")</f>
        <v>Carries forward</v>
      </c>
    </row>
    <row r="1103" spans="1:9">
      <c r="A1103" s="9">
        <v>44847</v>
      </c>
      <c r="B1103" t="s">
        <v>81</v>
      </c>
      <c r="C1103" t="s">
        <v>8</v>
      </c>
      <c r="D1103" s="4">
        <v>15</v>
      </c>
      <c r="E1103" s="4"/>
      <c r="F1103">
        <v>205</v>
      </c>
      <c r="H1103" t="str">
        <f t="shared" si="17"/>
        <v>2022-10</v>
      </c>
      <c r="I1103" t="str">
        <f>_xlfn.XLOOKUP(Table1[[#This Row],[Customer_ID]],Customers!$A$2:$A$30,Customers!$C$2:$C$30,"Not found")</f>
        <v>Carries forward</v>
      </c>
    </row>
    <row r="1104" spans="1:9">
      <c r="A1104" s="9">
        <v>44848</v>
      </c>
      <c r="B1104" t="s">
        <v>81</v>
      </c>
      <c r="C1104" t="s">
        <v>8</v>
      </c>
      <c r="D1104" s="4">
        <v>18</v>
      </c>
      <c r="E1104" s="4"/>
      <c r="F1104">
        <v>205</v>
      </c>
      <c r="H1104" t="str">
        <f t="shared" si="17"/>
        <v>2022-10</v>
      </c>
      <c r="I1104" t="str">
        <f>_xlfn.XLOOKUP(Table1[[#This Row],[Customer_ID]],Customers!$A$2:$A$30,Customers!$C$2:$C$30,"Not found")</f>
        <v>Carries forward</v>
      </c>
    </row>
    <row r="1105" spans="1:9">
      <c r="A1105" s="9">
        <v>44849</v>
      </c>
      <c r="B1105" t="s">
        <v>81</v>
      </c>
      <c r="C1105" t="s">
        <v>8</v>
      </c>
      <c r="D1105" s="4">
        <v>10</v>
      </c>
      <c r="E1105" s="4"/>
      <c r="F1105">
        <v>205</v>
      </c>
      <c r="H1105" t="str">
        <f t="shared" si="17"/>
        <v>2022-10</v>
      </c>
      <c r="I1105" t="str">
        <f>_xlfn.XLOOKUP(Table1[[#This Row],[Customer_ID]],Customers!$A$2:$A$30,Customers!$C$2:$C$30,"Not found")</f>
        <v>Carries forward</v>
      </c>
    </row>
    <row r="1106" spans="1:9">
      <c r="A1106" s="9">
        <v>44850</v>
      </c>
      <c r="B1106" t="s">
        <v>81</v>
      </c>
      <c r="C1106" t="s">
        <v>8</v>
      </c>
      <c r="D1106" s="4">
        <v>20</v>
      </c>
      <c r="E1106" s="4"/>
      <c r="F1106">
        <v>205</v>
      </c>
      <c r="H1106" t="str">
        <f t="shared" si="17"/>
        <v>2022-10</v>
      </c>
      <c r="I1106" t="str">
        <f>_xlfn.XLOOKUP(Table1[[#This Row],[Customer_ID]],Customers!$A$2:$A$30,Customers!$C$2:$C$30,"Not found")</f>
        <v>Carries forward</v>
      </c>
    </row>
    <row r="1107" spans="1:9">
      <c r="A1107" s="9">
        <v>44851</v>
      </c>
      <c r="B1107" t="s">
        <v>81</v>
      </c>
      <c r="C1107" t="s">
        <v>8</v>
      </c>
      <c r="D1107" s="4">
        <v>10</v>
      </c>
      <c r="E1107" s="4"/>
      <c r="F1107">
        <v>205</v>
      </c>
      <c r="H1107" t="str">
        <f t="shared" si="17"/>
        <v>2022-10</v>
      </c>
      <c r="I1107" t="str">
        <f>_xlfn.XLOOKUP(Table1[[#This Row],[Customer_ID]],Customers!$A$2:$A$30,Customers!$C$2:$C$30,"Not found")</f>
        <v>Carries forward</v>
      </c>
    </row>
    <row r="1108" spans="1:9">
      <c r="A1108" s="9">
        <v>44852</v>
      </c>
      <c r="B1108" t="s">
        <v>81</v>
      </c>
      <c r="C1108" t="s">
        <v>8</v>
      </c>
      <c r="D1108" s="4">
        <v>10</v>
      </c>
      <c r="E1108" s="4"/>
      <c r="F1108">
        <v>205</v>
      </c>
      <c r="H1108" t="str">
        <f t="shared" si="17"/>
        <v>2022-10</v>
      </c>
      <c r="I1108" t="str">
        <f>_xlfn.XLOOKUP(Table1[[#This Row],[Customer_ID]],Customers!$A$2:$A$30,Customers!$C$2:$C$30,"Not found")</f>
        <v>Carries forward</v>
      </c>
    </row>
    <row r="1109" spans="1:9">
      <c r="A1109" s="9">
        <v>44853</v>
      </c>
      <c r="B1109" t="s">
        <v>81</v>
      </c>
      <c r="C1109" t="s">
        <v>8</v>
      </c>
      <c r="D1109" s="4">
        <v>10</v>
      </c>
      <c r="E1109" s="4"/>
      <c r="F1109">
        <v>205</v>
      </c>
      <c r="H1109" t="str">
        <f t="shared" si="17"/>
        <v>2022-10</v>
      </c>
      <c r="I1109" t="str">
        <f>_xlfn.XLOOKUP(Table1[[#This Row],[Customer_ID]],Customers!$A$2:$A$30,Customers!$C$2:$C$30,"Not found")</f>
        <v>Carries forward</v>
      </c>
    </row>
    <row r="1110" spans="1:9">
      <c r="A1110" s="9">
        <v>44855</v>
      </c>
      <c r="B1110" t="s">
        <v>81</v>
      </c>
      <c r="C1110" t="s">
        <v>8</v>
      </c>
      <c r="D1110" s="4">
        <v>10</v>
      </c>
      <c r="E1110" s="4"/>
      <c r="F1110">
        <v>205</v>
      </c>
      <c r="H1110" t="str">
        <f t="shared" si="17"/>
        <v>2022-10</v>
      </c>
      <c r="I1110" t="str">
        <f>_xlfn.XLOOKUP(Table1[[#This Row],[Customer_ID]],Customers!$A$2:$A$30,Customers!$C$2:$C$30,"Not found")</f>
        <v>Carries forward</v>
      </c>
    </row>
    <row r="1111" spans="1:9">
      <c r="A1111" s="9">
        <v>44856</v>
      </c>
      <c r="B1111" t="s">
        <v>81</v>
      </c>
      <c r="C1111" t="s">
        <v>8</v>
      </c>
      <c r="D1111" s="4">
        <v>24</v>
      </c>
      <c r="E1111" s="4"/>
      <c r="F1111">
        <v>205</v>
      </c>
      <c r="H1111" t="str">
        <f t="shared" si="17"/>
        <v>2022-10</v>
      </c>
      <c r="I1111" t="str">
        <f>_xlfn.XLOOKUP(Table1[[#This Row],[Customer_ID]],Customers!$A$2:$A$30,Customers!$C$2:$C$30,"Not found")</f>
        <v>Carries forward</v>
      </c>
    </row>
    <row r="1112" spans="1:9">
      <c r="A1112" s="9">
        <v>44857</v>
      </c>
      <c r="B1112" t="s">
        <v>81</v>
      </c>
      <c r="C1112" t="s">
        <v>8</v>
      </c>
      <c r="D1112" s="4">
        <v>10</v>
      </c>
      <c r="E1112" s="4"/>
      <c r="F1112">
        <v>205</v>
      </c>
      <c r="H1112" t="str">
        <f t="shared" si="17"/>
        <v>2022-10</v>
      </c>
      <c r="I1112" t="str">
        <f>_xlfn.XLOOKUP(Table1[[#This Row],[Customer_ID]],Customers!$A$2:$A$30,Customers!$C$2:$C$30,"Not found")</f>
        <v>Carries forward</v>
      </c>
    </row>
    <row r="1113" spans="1:9">
      <c r="A1113" s="9">
        <v>44858</v>
      </c>
      <c r="B1113" t="s">
        <v>81</v>
      </c>
      <c r="C1113" t="s">
        <v>8</v>
      </c>
      <c r="D1113" s="4">
        <v>10</v>
      </c>
      <c r="E1113" s="4"/>
      <c r="F1113">
        <v>205</v>
      </c>
      <c r="H1113" t="str">
        <f t="shared" si="17"/>
        <v>2022-10</v>
      </c>
      <c r="I1113" t="str">
        <f>_xlfn.XLOOKUP(Table1[[#This Row],[Customer_ID]],Customers!$A$2:$A$30,Customers!$C$2:$C$30,"Not found")</f>
        <v>Carries forward</v>
      </c>
    </row>
    <row r="1114" spans="1:9">
      <c r="A1114" s="9">
        <v>44859</v>
      </c>
      <c r="B1114" t="s">
        <v>81</v>
      </c>
      <c r="C1114" t="s">
        <v>8</v>
      </c>
      <c r="D1114" s="4">
        <v>10</v>
      </c>
      <c r="E1114" s="4"/>
      <c r="F1114">
        <v>205</v>
      </c>
      <c r="H1114" t="str">
        <f t="shared" si="17"/>
        <v>2022-10</v>
      </c>
      <c r="I1114" t="str">
        <f>_xlfn.XLOOKUP(Table1[[#This Row],[Customer_ID]],Customers!$A$2:$A$30,Customers!$C$2:$C$30,"Not found")</f>
        <v>Carries forward</v>
      </c>
    </row>
    <row r="1115" spans="1:9">
      <c r="A1115" s="9">
        <v>44860</v>
      </c>
      <c r="B1115" t="s">
        <v>81</v>
      </c>
      <c r="C1115" t="s">
        <v>8</v>
      </c>
      <c r="D1115" s="4">
        <v>10</v>
      </c>
      <c r="E1115" s="4"/>
      <c r="F1115">
        <v>205</v>
      </c>
      <c r="H1115" t="str">
        <f t="shared" si="17"/>
        <v>2022-10</v>
      </c>
      <c r="I1115" t="str">
        <f>_xlfn.XLOOKUP(Table1[[#This Row],[Customer_ID]],Customers!$A$2:$A$30,Customers!$C$2:$C$30,"Not found")</f>
        <v>Carries forward</v>
      </c>
    </row>
    <row r="1116" spans="1:9">
      <c r="A1116" s="9">
        <v>44862</v>
      </c>
      <c r="B1116" t="s">
        <v>81</v>
      </c>
      <c r="C1116" t="s">
        <v>8</v>
      </c>
      <c r="D1116" s="4">
        <v>10</v>
      </c>
      <c r="E1116" s="4"/>
      <c r="F1116">
        <v>205</v>
      </c>
      <c r="H1116" t="str">
        <f t="shared" si="17"/>
        <v>2022-10</v>
      </c>
      <c r="I1116" t="str">
        <f>_xlfn.XLOOKUP(Table1[[#This Row],[Customer_ID]],Customers!$A$2:$A$30,Customers!$C$2:$C$30,"Not found")</f>
        <v>Carries forward</v>
      </c>
    </row>
    <row r="1117" spans="1:9">
      <c r="A1117" s="9">
        <v>44863</v>
      </c>
      <c r="B1117" t="s">
        <v>81</v>
      </c>
      <c r="C1117" t="s">
        <v>8</v>
      </c>
      <c r="D1117" s="4">
        <v>10</v>
      </c>
      <c r="E1117" s="4"/>
      <c r="F1117">
        <v>205</v>
      </c>
      <c r="H1117" t="str">
        <f t="shared" si="17"/>
        <v>2022-10</v>
      </c>
      <c r="I1117" t="str">
        <f>_xlfn.XLOOKUP(Table1[[#This Row],[Customer_ID]],Customers!$A$2:$A$30,Customers!$C$2:$C$30,"Not found")</f>
        <v>Carries forward</v>
      </c>
    </row>
    <row r="1118" spans="1:9">
      <c r="A1118" s="9">
        <v>44867</v>
      </c>
      <c r="B1118" t="s">
        <v>81</v>
      </c>
      <c r="C1118" t="s">
        <v>8</v>
      </c>
      <c r="D1118" s="4">
        <v>23</v>
      </c>
      <c r="E1118" s="4"/>
      <c r="F1118">
        <v>205</v>
      </c>
      <c r="H1118" t="str">
        <f t="shared" si="17"/>
        <v>2022-11</v>
      </c>
      <c r="I1118" t="str">
        <f>_xlfn.XLOOKUP(Table1[[#This Row],[Customer_ID]],Customers!$A$2:$A$30,Customers!$C$2:$C$30,"Not found")</f>
        <v>Carries forward</v>
      </c>
    </row>
    <row r="1119" spans="1:9">
      <c r="A1119" s="9">
        <v>44871</v>
      </c>
      <c r="B1119" t="s">
        <v>81</v>
      </c>
      <c r="C1119" t="s">
        <v>8</v>
      </c>
      <c r="D1119" s="4">
        <v>17</v>
      </c>
      <c r="E1119" s="4"/>
      <c r="F1119">
        <v>205</v>
      </c>
      <c r="G1119" t="s">
        <v>215</v>
      </c>
      <c r="H1119" t="str">
        <f t="shared" si="17"/>
        <v>2022-11</v>
      </c>
      <c r="I1119" t="str">
        <f>_xlfn.XLOOKUP(Table1[[#This Row],[Customer_ID]],Customers!$A$2:$A$30,Customers!$C$2:$C$30,"Not found")</f>
        <v>Carries forward</v>
      </c>
    </row>
    <row r="1120" spans="1:9">
      <c r="A1120" s="9">
        <v>44872</v>
      </c>
      <c r="B1120" t="s">
        <v>81</v>
      </c>
      <c r="C1120" t="s">
        <v>8</v>
      </c>
      <c r="D1120" s="4">
        <v>17</v>
      </c>
      <c r="E1120" s="4"/>
      <c r="F1120">
        <v>205</v>
      </c>
      <c r="H1120" t="str">
        <f t="shared" si="17"/>
        <v>2022-11</v>
      </c>
      <c r="I1120" t="str">
        <f>_xlfn.XLOOKUP(Table1[[#This Row],[Customer_ID]],Customers!$A$2:$A$30,Customers!$C$2:$C$30,"Not found")</f>
        <v>Carries forward</v>
      </c>
    </row>
    <row r="1121" spans="1:9">
      <c r="A1121" s="9">
        <v>44873</v>
      </c>
      <c r="B1121" t="s">
        <v>81</v>
      </c>
      <c r="C1121" t="s">
        <v>8</v>
      </c>
      <c r="D1121" s="4">
        <v>25</v>
      </c>
      <c r="E1121" s="4"/>
      <c r="F1121">
        <v>205</v>
      </c>
      <c r="H1121" t="str">
        <f t="shared" si="17"/>
        <v>2022-11</v>
      </c>
      <c r="I1121" t="str">
        <f>_xlfn.XLOOKUP(Table1[[#This Row],[Customer_ID]],Customers!$A$2:$A$30,Customers!$C$2:$C$30,"Not found")</f>
        <v>Carries forward</v>
      </c>
    </row>
    <row r="1122" spans="1:9">
      <c r="A1122" s="9">
        <v>44873</v>
      </c>
      <c r="B1122" t="s">
        <v>81</v>
      </c>
      <c r="C1122" t="s">
        <v>8</v>
      </c>
      <c r="D1122" s="4">
        <v>20</v>
      </c>
      <c r="E1122" s="4"/>
      <c r="F1122">
        <v>205</v>
      </c>
      <c r="H1122" t="str">
        <f t="shared" si="17"/>
        <v>2022-11</v>
      </c>
      <c r="I1122" t="str">
        <f>_xlfn.XLOOKUP(Table1[[#This Row],[Customer_ID]],Customers!$A$2:$A$30,Customers!$C$2:$C$30,"Not found")</f>
        <v>Carries forward</v>
      </c>
    </row>
    <row r="1123" spans="1:9">
      <c r="A1123" s="9">
        <v>44873</v>
      </c>
      <c r="B1123" t="s">
        <v>81</v>
      </c>
      <c r="C1123" t="s">
        <v>22</v>
      </c>
      <c r="D1123" s="4">
        <v>-8</v>
      </c>
      <c r="E1123" s="4">
        <v>591</v>
      </c>
      <c r="F1123">
        <v>205</v>
      </c>
      <c r="G1123" t="s">
        <v>216</v>
      </c>
      <c r="H1123" t="str">
        <f t="shared" si="17"/>
        <v>2022-11</v>
      </c>
      <c r="I1123" t="str">
        <f>_xlfn.XLOOKUP(Table1[[#This Row],[Customer_ID]],Customers!$A$2:$A$30,Customers!$C$2:$C$30,"Not found")</f>
        <v>Carries forward</v>
      </c>
    </row>
    <row r="1124" spans="1:9">
      <c r="A1124" s="9"/>
      <c r="B1124" t="s">
        <v>81</v>
      </c>
      <c r="C1124" t="s">
        <v>14</v>
      </c>
      <c r="D1124" s="4">
        <v>500</v>
      </c>
      <c r="E1124" s="4">
        <v>91</v>
      </c>
      <c r="F1124">
        <v>205</v>
      </c>
      <c r="G1124" t="s">
        <v>217</v>
      </c>
      <c r="H1124" t="str">
        <f t="shared" si="17"/>
        <v/>
      </c>
      <c r="I1124" t="str">
        <f>_xlfn.XLOOKUP(Table1[[#This Row],[Customer_ID]],Customers!$A$2:$A$30,Customers!$C$2:$C$30,"Not found")</f>
        <v>Carries forward</v>
      </c>
    </row>
    <row r="1125" spans="1:9">
      <c r="A1125" s="9">
        <v>44875</v>
      </c>
      <c r="B1125" t="s">
        <v>81</v>
      </c>
      <c r="C1125" t="s">
        <v>8</v>
      </c>
      <c r="D1125" s="4">
        <v>10</v>
      </c>
      <c r="E1125" s="4"/>
      <c r="F1125">
        <v>205</v>
      </c>
      <c r="H1125" t="str">
        <f t="shared" si="17"/>
        <v>2022-11</v>
      </c>
      <c r="I1125" t="str">
        <f>_xlfn.XLOOKUP(Table1[[#This Row],[Customer_ID]],Customers!$A$2:$A$30,Customers!$C$2:$C$30,"Not found")</f>
        <v>Carries forward</v>
      </c>
    </row>
    <row r="1126" spans="1:9">
      <c r="A1126" s="9">
        <v>44875</v>
      </c>
      <c r="B1126" t="s">
        <v>81</v>
      </c>
      <c r="C1126" t="s">
        <v>8</v>
      </c>
      <c r="D1126" s="4">
        <v>10</v>
      </c>
      <c r="E1126" s="4"/>
      <c r="F1126">
        <v>205</v>
      </c>
      <c r="H1126" t="str">
        <f t="shared" si="17"/>
        <v>2022-11</v>
      </c>
      <c r="I1126" t="str">
        <f>_xlfn.XLOOKUP(Table1[[#This Row],[Customer_ID]],Customers!$A$2:$A$30,Customers!$C$2:$C$30,"Not found")</f>
        <v>Carries forward</v>
      </c>
    </row>
    <row r="1127" spans="1:9">
      <c r="A1127" s="9">
        <v>44877</v>
      </c>
      <c r="B1127" t="s">
        <v>81</v>
      </c>
      <c r="C1127" t="s">
        <v>8</v>
      </c>
      <c r="D1127" s="4">
        <v>38</v>
      </c>
      <c r="E1127" s="4"/>
      <c r="F1127">
        <v>205</v>
      </c>
      <c r="H1127" t="str">
        <f t="shared" si="17"/>
        <v>2022-11</v>
      </c>
      <c r="I1127" t="str">
        <f>_xlfn.XLOOKUP(Table1[[#This Row],[Customer_ID]],Customers!$A$2:$A$30,Customers!$C$2:$C$30,"Not found")</f>
        <v>Carries forward</v>
      </c>
    </row>
    <row r="1128" spans="1:9">
      <c r="A1128" s="9">
        <v>44878</v>
      </c>
      <c r="B1128" t="s">
        <v>81</v>
      </c>
      <c r="C1128" t="s">
        <v>8</v>
      </c>
      <c r="D1128" s="4">
        <v>10</v>
      </c>
      <c r="E1128" s="4"/>
      <c r="F1128">
        <v>205</v>
      </c>
      <c r="H1128" t="str">
        <f t="shared" si="17"/>
        <v>2022-11</v>
      </c>
      <c r="I1128" t="str">
        <f>_xlfn.XLOOKUP(Table1[[#This Row],[Customer_ID]],Customers!$A$2:$A$30,Customers!$C$2:$C$30,"Not found")</f>
        <v>Carries forward</v>
      </c>
    </row>
    <row r="1129" spans="1:9">
      <c r="A1129" s="9">
        <v>44879</v>
      </c>
      <c r="B1129" t="s">
        <v>81</v>
      </c>
      <c r="C1129" t="s">
        <v>8</v>
      </c>
      <c r="D1129" s="4">
        <v>10</v>
      </c>
      <c r="E1129" s="4"/>
      <c r="F1129">
        <v>205</v>
      </c>
      <c r="H1129" t="str">
        <f t="shared" si="17"/>
        <v>2022-11</v>
      </c>
      <c r="I1129" t="str">
        <f>_xlfn.XLOOKUP(Table1[[#This Row],[Customer_ID]],Customers!$A$2:$A$30,Customers!$C$2:$C$30,"Not found")</f>
        <v>Carries forward</v>
      </c>
    </row>
    <row r="1130" spans="1:9">
      <c r="A1130" s="9">
        <v>44882</v>
      </c>
      <c r="B1130" t="s">
        <v>81</v>
      </c>
      <c r="C1130" t="s">
        <v>8</v>
      </c>
      <c r="D1130" s="4">
        <v>10</v>
      </c>
      <c r="E1130" s="4"/>
      <c r="F1130">
        <v>205</v>
      </c>
      <c r="H1130" t="str">
        <f t="shared" si="17"/>
        <v>2022-11</v>
      </c>
      <c r="I1130" t="str">
        <f>_xlfn.XLOOKUP(Table1[[#This Row],[Customer_ID]],Customers!$A$2:$A$30,Customers!$C$2:$C$30,"Not found")</f>
        <v>Carries forward</v>
      </c>
    </row>
    <row r="1131" spans="1:9">
      <c r="A1131" s="9">
        <v>44884</v>
      </c>
      <c r="B1131" t="s">
        <v>81</v>
      </c>
      <c r="C1131" t="s">
        <v>8</v>
      </c>
      <c r="D1131" s="4">
        <v>10</v>
      </c>
      <c r="E1131" s="4"/>
      <c r="F1131">
        <v>205</v>
      </c>
      <c r="H1131" t="str">
        <f t="shared" si="17"/>
        <v>2022-11</v>
      </c>
      <c r="I1131" t="str">
        <f>_xlfn.XLOOKUP(Table1[[#This Row],[Customer_ID]],Customers!$A$2:$A$30,Customers!$C$2:$C$30,"Not found")</f>
        <v>Carries forward</v>
      </c>
    </row>
    <row r="1132" spans="1:9">
      <c r="A1132" s="9">
        <v>44885</v>
      </c>
      <c r="B1132" t="s">
        <v>81</v>
      </c>
      <c r="C1132" t="s">
        <v>8</v>
      </c>
      <c r="D1132" s="4">
        <v>79</v>
      </c>
      <c r="E1132" s="4"/>
      <c r="F1132">
        <v>205</v>
      </c>
      <c r="H1132" t="str">
        <f t="shared" si="17"/>
        <v>2022-11</v>
      </c>
      <c r="I1132" t="str">
        <f>_xlfn.XLOOKUP(Table1[[#This Row],[Customer_ID]],Customers!$A$2:$A$30,Customers!$C$2:$C$30,"Not found")</f>
        <v>Carries forward</v>
      </c>
    </row>
    <row r="1133" spans="1:9">
      <c r="A1133" s="9">
        <v>44885</v>
      </c>
      <c r="B1133" t="s">
        <v>81</v>
      </c>
      <c r="C1133" t="s">
        <v>8</v>
      </c>
      <c r="D1133" s="4">
        <v>12</v>
      </c>
      <c r="E1133" s="4"/>
      <c r="F1133">
        <v>205</v>
      </c>
      <c r="H1133" t="str">
        <f t="shared" si="17"/>
        <v>2022-11</v>
      </c>
      <c r="I1133" t="str">
        <f>_xlfn.XLOOKUP(Table1[[#This Row],[Customer_ID]],Customers!$A$2:$A$30,Customers!$C$2:$C$30,"Not found")</f>
        <v>Carries forward</v>
      </c>
    </row>
    <row r="1134" spans="1:9">
      <c r="A1134" s="9">
        <v>44885</v>
      </c>
      <c r="B1134" t="s">
        <v>81</v>
      </c>
      <c r="C1134" t="s">
        <v>8</v>
      </c>
      <c r="D1134" s="4">
        <v>10</v>
      </c>
      <c r="E1134" s="4"/>
      <c r="F1134">
        <v>205</v>
      </c>
      <c r="H1134" t="str">
        <f t="shared" si="17"/>
        <v>2022-11</v>
      </c>
      <c r="I1134" t="str">
        <f>_xlfn.XLOOKUP(Table1[[#This Row],[Customer_ID]],Customers!$A$2:$A$30,Customers!$C$2:$C$30,"Not found")</f>
        <v>Carries forward</v>
      </c>
    </row>
    <row r="1135" spans="1:9">
      <c r="A1135" s="9">
        <v>44887</v>
      </c>
      <c r="B1135" t="s">
        <v>81</v>
      </c>
      <c r="C1135" t="s">
        <v>8</v>
      </c>
      <c r="D1135" s="4">
        <v>22</v>
      </c>
      <c r="E1135" s="4"/>
      <c r="F1135">
        <v>205</v>
      </c>
      <c r="H1135" t="str">
        <f t="shared" si="17"/>
        <v>2022-11</v>
      </c>
      <c r="I1135" t="str">
        <f>_xlfn.XLOOKUP(Table1[[#This Row],[Customer_ID]],Customers!$A$2:$A$30,Customers!$C$2:$C$30,"Not found")</f>
        <v>Carries forward</v>
      </c>
    </row>
    <row r="1136" spans="1:9">
      <c r="A1136" s="9">
        <v>44888</v>
      </c>
      <c r="B1136" t="s">
        <v>81</v>
      </c>
      <c r="C1136" t="s">
        <v>8</v>
      </c>
      <c r="D1136" s="4">
        <v>28</v>
      </c>
      <c r="E1136" s="4"/>
      <c r="F1136">
        <v>205</v>
      </c>
      <c r="H1136" t="str">
        <f t="shared" si="17"/>
        <v>2022-11</v>
      </c>
      <c r="I1136" t="str">
        <f>_xlfn.XLOOKUP(Table1[[#This Row],[Customer_ID]],Customers!$A$2:$A$30,Customers!$C$2:$C$30,"Not found")</f>
        <v>Carries forward</v>
      </c>
    </row>
    <row r="1137" spans="1:9">
      <c r="A1137" s="9">
        <v>44890</v>
      </c>
      <c r="B1137" t="s">
        <v>81</v>
      </c>
      <c r="C1137" t="s">
        <v>8</v>
      </c>
      <c r="D1137" s="4">
        <v>27</v>
      </c>
      <c r="E1137" s="4"/>
      <c r="F1137">
        <v>205</v>
      </c>
      <c r="H1137" t="str">
        <f t="shared" si="17"/>
        <v>2022-11</v>
      </c>
      <c r="I1137" t="str">
        <f>_xlfn.XLOOKUP(Table1[[#This Row],[Customer_ID]],Customers!$A$2:$A$30,Customers!$C$2:$C$30,"Not found")</f>
        <v>Carries forward</v>
      </c>
    </row>
    <row r="1138" spans="1:9">
      <c r="A1138" s="9">
        <v>44891</v>
      </c>
      <c r="B1138" t="s">
        <v>81</v>
      </c>
      <c r="C1138" t="s">
        <v>8</v>
      </c>
      <c r="D1138" s="4">
        <v>25</v>
      </c>
      <c r="E1138" s="4"/>
      <c r="F1138">
        <v>205</v>
      </c>
      <c r="H1138" t="str">
        <f t="shared" si="17"/>
        <v>2022-11</v>
      </c>
      <c r="I1138" t="str">
        <f>_xlfn.XLOOKUP(Table1[[#This Row],[Customer_ID]],Customers!$A$2:$A$30,Customers!$C$2:$C$30,"Not found")</f>
        <v>Carries forward</v>
      </c>
    </row>
    <row r="1139" spans="1:9">
      <c r="A1139" s="9">
        <v>44892</v>
      </c>
      <c r="B1139" t="s">
        <v>81</v>
      </c>
      <c r="C1139" t="s">
        <v>8</v>
      </c>
      <c r="D1139" s="4">
        <v>10</v>
      </c>
      <c r="E1139" s="4"/>
      <c r="F1139">
        <v>205</v>
      </c>
      <c r="H1139" t="str">
        <f t="shared" si="17"/>
        <v>2022-11</v>
      </c>
      <c r="I1139" t="str">
        <f>_xlfn.XLOOKUP(Table1[[#This Row],[Customer_ID]],Customers!$A$2:$A$30,Customers!$C$2:$C$30,"Not found")</f>
        <v>Carries forward</v>
      </c>
    </row>
    <row r="1140" spans="1:9">
      <c r="A1140" s="9">
        <v>44895</v>
      </c>
      <c r="B1140" t="s">
        <v>81</v>
      </c>
      <c r="C1140" t="s">
        <v>8</v>
      </c>
      <c r="D1140" s="4">
        <v>15</v>
      </c>
      <c r="E1140" s="4"/>
      <c r="F1140">
        <v>205</v>
      </c>
      <c r="H1140" t="str">
        <f t="shared" si="17"/>
        <v>2022-11</v>
      </c>
      <c r="I1140" t="str">
        <f>_xlfn.XLOOKUP(Table1[[#This Row],[Customer_ID]],Customers!$A$2:$A$30,Customers!$C$2:$C$30,"Not found")</f>
        <v>Carries forward</v>
      </c>
    </row>
    <row r="1141" spans="1:9">
      <c r="A1141" s="9">
        <v>44895</v>
      </c>
      <c r="B1141" t="s">
        <v>81</v>
      </c>
      <c r="C1141" t="s">
        <v>8</v>
      </c>
      <c r="D1141" s="4">
        <v>10</v>
      </c>
      <c r="E1141" s="4"/>
      <c r="F1141">
        <v>205</v>
      </c>
      <c r="G1141" t="s">
        <v>204</v>
      </c>
      <c r="H1141" t="str">
        <f t="shared" si="17"/>
        <v>2022-11</v>
      </c>
      <c r="I1141" t="str">
        <f>_xlfn.XLOOKUP(Table1[[#This Row],[Customer_ID]],Customers!$A$2:$A$30,Customers!$C$2:$C$30,"Not found")</f>
        <v>Carries forward</v>
      </c>
    </row>
    <row r="1142" spans="1:9">
      <c r="A1142" s="9">
        <v>44896</v>
      </c>
      <c r="B1142" t="s">
        <v>81</v>
      </c>
      <c r="C1142" t="s">
        <v>8</v>
      </c>
      <c r="D1142" s="4">
        <v>10</v>
      </c>
      <c r="E1142" s="4"/>
      <c r="F1142">
        <v>205</v>
      </c>
      <c r="H1142" t="str">
        <f t="shared" si="17"/>
        <v>2022-12</v>
      </c>
      <c r="I1142" t="str">
        <f>_xlfn.XLOOKUP(Table1[[#This Row],[Customer_ID]],Customers!$A$2:$A$30,Customers!$C$2:$C$30,"Not found")</f>
        <v>Carries forward</v>
      </c>
    </row>
    <row r="1143" spans="1:9">
      <c r="A1143" s="9">
        <v>44897</v>
      </c>
      <c r="B1143" t="s">
        <v>81</v>
      </c>
      <c r="C1143" t="s">
        <v>8</v>
      </c>
      <c r="D1143" s="4">
        <v>10</v>
      </c>
      <c r="E1143" s="4"/>
      <c r="F1143">
        <v>205</v>
      </c>
      <c r="H1143" t="str">
        <f t="shared" si="17"/>
        <v>2022-12</v>
      </c>
      <c r="I1143" t="str">
        <f>_xlfn.XLOOKUP(Table1[[#This Row],[Customer_ID]],Customers!$A$2:$A$30,Customers!$C$2:$C$30,"Not found")</f>
        <v>Carries forward</v>
      </c>
    </row>
    <row r="1144" spans="1:9">
      <c r="A1144" s="9">
        <v>44898</v>
      </c>
      <c r="B1144" t="s">
        <v>81</v>
      </c>
      <c r="C1144" t="s">
        <v>8</v>
      </c>
      <c r="D1144" s="4">
        <v>10</v>
      </c>
      <c r="E1144" s="4"/>
      <c r="F1144">
        <v>205</v>
      </c>
      <c r="H1144" t="str">
        <f t="shared" si="17"/>
        <v>2022-12</v>
      </c>
      <c r="I1144" t="str">
        <f>_xlfn.XLOOKUP(Table1[[#This Row],[Customer_ID]],Customers!$A$2:$A$30,Customers!$C$2:$C$30,"Not found")</f>
        <v>Carries forward</v>
      </c>
    </row>
    <row r="1145" spans="1:9">
      <c r="A1145" s="9">
        <v>44899</v>
      </c>
      <c r="B1145" t="s">
        <v>81</v>
      </c>
      <c r="C1145" t="s">
        <v>8</v>
      </c>
      <c r="D1145" s="4">
        <v>19</v>
      </c>
      <c r="E1145" s="4"/>
      <c r="F1145">
        <v>205</v>
      </c>
      <c r="H1145" t="str">
        <f t="shared" si="17"/>
        <v>2022-12</v>
      </c>
      <c r="I1145" t="str">
        <f>_xlfn.XLOOKUP(Table1[[#This Row],[Customer_ID]],Customers!$A$2:$A$30,Customers!$C$2:$C$30,"Not found")</f>
        <v>Carries forward</v>
      </c>
    </row>
    <row r="1146" spans="1:9">
      <c r="A1146" s="9">
        <v>44901</v>
      </c>
      <c r="B1146" t="s">
        <v>81</v>
      </c>
      <c r="C1146" t="s">
        <v>8</v>
      </c>
      <c r="D1146" s="4">
        <v>10</v>
      </c>
      <c r="E1146" s="4"/>
      <c r="F1146">
        <v>205</v>
      </c>
      <c r="H1146" t="str">
        <f t="shared" si="17"/>
        <v>2022-12</v>
      </c>
      <c r="I1146" t="str">
        <f>_xlfn.XLOOKUP(Table1[[#This Row],[Customer_ID]],Customers!$A$2:$A$30,Customers!$C$2:$C$30,"Not found")</f>
        <v>Carries forward</v>
      </c>
    </row>
    <row r="1147" spans="1:9">
      <c r="A1147" s="9">
        <v>44903</v>
      </c>
      <c r="B1147" t="s">
        <v>81</v>
      </c>
      <c r="C1147" t="s">
        <v>8</v>
      </c>
      <c r="D1147" s="4">
        <v>20</v>
      </c>
      <c r="E1147" s="4"/>
      <c r="F1147">
        <v>205</v>
      </c>
      <c r="H1147" t="str">
        <f t="shared" si="17"/>
        <v>2022-12</v>
      </c>
      <c r="I1147" t="str">
        <f>_xlfn.XLOOKUP(Table1[[#This Row],[Customer_ID]],Customers!$A$2:$A$30,Customers!$C$2:$C$30,"Not found")</f>
        <v>Carries forward</v>
      </c>
    </row>
    <row r="1148" spans="1:9">
      <c r="A1148" s="9">
        <v>44904</v>
      </c>
      <c r="B1148" t="s">
        <v>81</v>
      </c>
      <c r="C1148" t="s">
        <v>8</v>
      </c>
      <c r="D1148" s="4">
        <v>10</v>
      </c>
      <c r="E1148" s="4"/>
      <c r="F1148">
        <v>205</v>
      </c>
      <c r="H1148" t="str">
        <f t="shared" si="17"/>
        <v>2022-12</v>
      </c>
      <c r="I1148" t="str">
        <f>_xlfn.XLOOKUP(Table1[[#This Row],[Customer_ID]],Customers!$A$2:$A$30,Customers!$C$2:$C$30,"Not found")</f>
        <v>Carries forward</v>
      </c>
    </row>
    <row r="1149" spans="1:9">
      <c r="A1149" s="9">
        <v>44905</v>
      </c>
      <c r="B1149" t="s">
        <v>81</v>
      </c>
      <c r="C1149" t="s">
        <v>8</v>
      </c>
      <c r="D1149" s="4">
        <v>10</v>
      </c>
      <c r="E1149" s="4"/>
      <c r="F1149">
        <v>205</v>
      </c>
      <c r="H1149" t="str">
        <f t="shared" si="17"/>
        <v>2022-12</v>
      </c>
      <c r="I1149" t="str">
        <f>_xlfn.XLOOKUP(Table1[[#This Row],[Customer_ID]],Customers!$A$2:$A$30,Customers!$C$2:$C$30,"Not found")</f>
        <v>Carries forward</v>
      </c>
    </row>
    <row r="1150" spans="1:9">
      <c r="A1150" s="9">
        <v>44906</v>
      </c>
      <c r="B1150" t="s">
        <v>81</v>
      </c>
      <c r="C1150" t="s">
        <v>8</v>
      </c>
      <c r="D1150" s="4">
        <v>10</v>
      </c>
      <c r="E1150" s="4"/>
      <c r="F1150">
        <v>205</v>
      </c>
      <c r="H1150" t="str">
        <f t="shared" si="17"/>
        <v>2022-12</v>
      </c>
      <c r="I1150" t="str">
        <f>_xlfn.XLOOKUP(Table1[[#This Row],[Customer_ID]],Customers!$A$2:$A$30,Customers!$C$2:$C$30,"Not found")</f>
        <v>Carries forward</v>
      </c>
    </row>
    <row r="1151" spans="1:9">
      <c r="A1151" s="9">
        <v>44906</v>
      </c>
      <c r="B1151" t="s">
        <v>81</v>
      </c>
      <c r="C1151" t="s">
        <v>8</v>
      </c>
      <c r="D1151" s="4">
        <v>10</v>
      </c>
      <c r="E1151" s="4"/>
      <c r="F1151">
        <v>205</v>
      </c>
      <c r="H1151" t="str">
        <f t="shared" ref="H1151:H1214" si="18">IF(A1151="","",TEXT(A1151,"yyyy-mm"))</f>
        <v>2022-12</v>
      </c>
      <c r="I1151" t="str">
        <f>_xlfn.XLOOKUP(Table1[[#This Row],[Customer_ID]],Customers!$A$2:$A$30,Customers!$C$2:$C$30,"Not found")</f>
        <v>Carries forward</v>
      </c>
    </row>
    <row r="1152" spans="1:9">
      <c r="A1152" s="9">
        <v>44907</v>
      </c>
      <c r="B1152" t="s">
        <v>81</v>
      </c>
      <c r="C1152" t="s">
        <v>8</v>
      </c>
      <c r="D1152" s="4">
        <v>10</v>
      </c>
      <c r="E1152" s="4"/>
      <c r="F1152">
        <v>205</v>
      </c>
      <c r="H1152" t="str">
        <f t="shared" si="18"/>
        <v>2022-12</v>
      </c>
      <c r="I1152" t="str">
        <f>_xlfn.XLOOKUP(Table1[[#This Row],[Customer_ID]],Customers!$A$2:$A$30,Customers!$C$2:$C$30,"Not found")</f>
        <v>Carries forward</v>
      </c>
    </row>
    <row r="1153" spans="1:9">
      <c r="A1153" s="9">
        <v>44907</v>
      </c>
      <c r="B1153" t="s">
        <v>81</v>
      </c>
      <c r="C1153" t="s">
        <v>22</v>
      </c>
      <c r="D1153" s="4">
        <v>3</v>
      </c>
      <c r="E1153" s="4">
        <v>559</v>
      </c>
      <c r="F1153">
        <v>205</v>
      </c>
      <c r="G1153" t="s">
        <v>218</v>
      </c>
      <c r="H1153" t="str">
        <f t="shared" si="18"/>
        <v>2022-12</v>
      </c>
      <c r="I1153" t="str">
        <f>_xlfn.XLOOKUP(Table1[[#This Row],[Customer_ID]],Customers!$A$2:$A$30,Customers!$C$2:$C$30,"Not found")</f>
        <v>Carries forward</v>
      </c>
    </row>
    <row r="1154" spans="1:9">
      <c r="A1154" s="9">
        <v>44907</v>
      </c>
      <c r="B1154" t="s">
        <v>81</v>
      </c>
      <c r="C1154" t="s">
        <v>14</v>
      </c>
      <c r="D1154" s="4">
        <v>200</v>
      </c>
      <c r="E1154" s="4">
        <v>359</v>
      </c>
      <c r="F1154">
        <v>205</v>
      </c>
      <c r="G1154" t="s">
        <v>219</v>
      </c>
      <c r="H1154" t="str">
        <f t="shared" si="18"/>
        <v>2022-12</v>
      </c>
      <c r="I1154" t="str">
        <f>_xlfn.XLOOKUP(Table1[[#This Row],[Customer_ID]],Customers!$A$2:$A$30,Customers!$C$2:$C$30,"Not found")</f>
        <v>Carries forward</v>
      </c>
    </row>
    <row r="1155" spans="1:9">
      <c r="A1155" s="9">
        <v>44912</v>
      </c>
      <c r="B1155" t="s">
        <v>81</v>
      </c>
      <c r="C1155" t="s">
        <v>8</v>
      </c>
      <c r="D1155" s="4">
        <v>24</v>
      </c>
      <c r="E1155" s="4"/>
      <c r="F1155">
        <v>205</v>
      </c>
      <c r="H1155" t="str">
        <f t="shared" si="18"/>
        <v>2022-12</v>
      </c>
      <c r="I1155" t="str">
        <f>_xlfn.XLOOKUP(Table1[[#This Row],[Customer_ID]],Customers!$A$2:$A$30,Customers!$C$2:$C$30,"Not found")</f>
        <v>Carries forward</v>
      </c>
    </row>
    <row r="1156" spans="1:9">
      <c r="A1156" s="9">
        <v>44913</v>
      </c>
      <c r="B1156" t="s">
        <v>81</v>
      </c>
      <c r="C1156" t="s">
        <v>8</v>
      </c>
      <c r="D1156" s="4">
        <v>10</v>
      </c>
      <c r="E1156" s="4"/>
      <c r="F1156">
        <v>205</v>
      </c>
      <c r="H1156" t="str">
        <f t="shared" si="18"/>
        <v>2022-12</v>
      </c>
      <c r="I1156" t="str">
        <f>_xlfn.XLOOKUP(Table1[[#This Row],[Customer_ID]],Customers!$A$2:$A$30,Customers!$C$2:$C$30,"Not found")</f>
        <v>Carries forward</v>
      </c>
    </row>
    <row r="1157" spans="1:9">
      <c r="A1157" s="9">
        <v>44914</v>
      </c>
      <c r="B1157" t="s">
        <v>81</v>
      </c>
      <c r="C1157" t="s">
        <v>8</v>
      </c>
      <c r="D1157" s="4">
        <v>20</v>
      </c>
      <c r="E1157" s="4"/>
      <c r="F1157">
        <v>205</v>
      </c>
      <c r="H1157" t="str">
        <f t="shared" si="18"/>
        <v>2022-12</v>
      </c>
      <c r="I1157" t="str">
        <f>_xlfn.XLOOKUP(Table1[[#This Row],[Customer_ID]],Customers!$A$2:$A$30,Customers!$C$2:$C$30,"Not found")</f>
        <v>Carries forward</v>
      </c>
    </row>
    <row r="1158" spans="1:9">
      <c r="A1158" s="9">
        <v>44915</v>
      </c>
      <c r="B1158" t="s">
        <v>81</v>
      </c>
      <c r="C1158" t="s">
        <v>8</v>
      </c>
      <c r="D1158" s="4">
        <v>10</v>
      </c>
      <c r="E1158" s="4"/>
      <c r="F1158">
        <v>205</v>
      </c>
      <c r="H1158" t="str">
        <f t="shared" si="18"/>
        <v>2022-12</v>
      </c>
      <c r="I1158" t="str">
        <f>_xlfn.XLOOKUP(Table1[[#This Row],[Customer_ID]],Customers!$A$2:$A$30,Customers!$C$2:$C$30,"Not found")</f>
        <v>Carries forward</v>
      </c>
    </row>
    <row r="1159" spans="1:9">
      <c r="A1159" s="9">
        <v>44916</v>
      </c>
      <c r="B1159" t="s">
        <v>81</v>
      </c>
      <c r="C1159" t="s">
        <v>8</v>
      </c>
      <c r="D1159" s="4">
        <v>30</v>
      </c>
      <c r="E1159" s="4"/>
      <c r="F1159">
        <v>205</v>
      </c>
      <c r="H1159" t="str">
        <f t="shared" si="18"/>
        <v>2022-12</v>
      </c>
      <c r="I1159" t="str">
        <f>_xlfn.XLOOKUP(Table1[[#This Row],[Customer_ID]],Customers!$A$2:$A$30,Customers!$C$2:$C$30,"Not found")</f>
        <v>Carries forward</v>
      </c>
    </row>
    <row r="1160" spans="1:9">
      <c r="A1160" s="9">
        <v>44917</v>
      </c>
      <c r="B1160" t="s">
        <v>81</v>
      </c>
      <c r="C1160" t="s">
        <v>8</v>
      </c>
      <c r="D1160" s="4">
        <v>10</v>
      </c>
      <c r="E1160" s="4"/>
      <c r="F1160">
        <v>205</v>
      </c>
      <c r="H1160" t="str">
        <f t="shared" si="18"/>
        <v>2022-12</v>
      </c>
      <c r="I1160" t="str">
        <f>_xlfn.XLOOKUP(Table1[[#This Row],[Customer_ID]],Customers!$A$2:$A$30,Customers!$C$2:$C$30,"Not found")</f>
        <v>Carries forward</v>
      </c>
    </row>
    <row r="1161" spans="1:9">
      <c r="A1161" s="9">
        <v>44918</v>
      </c>
      <c r="B1161" t="s">
        <v>81</v>
      </c>
      <c r="C1161" t="s">
        <v>8</v>
      </c>
      <c r="D1161" s="4">
        <v>10</v>
      </c>
      <c r="E1161" s="4"/>
      <c r="F1161">
        <v>205</v>
      </c>
      <c r="H1161" t="str">
        <f t="shared" si="18"/>
        <v>2022-12</v>
      </c>
      <c r="I1161" t="str">
        <f>_xlfn.XLOOKUP(Table1[[#This Row],[Customer_ID]],Customers!$A$2:$A$30,Customers!$C$2:$C$30,"Not found")</f>
        <v>Carries forward</v>
      </c>
    </row>
    <row r="1162" spans="1:9">
      <c r="A1162" s="9">
        <v>44919</v>
      </c>
      <c r="B1162" t="s">
        <v>81</v>
      </c>
      <c r="C1162" t="s">
        <v>8</v>
      </c>
      <c r="D1162" s="4">
        <v>10</v>
      </c>
      <c r="E1162" s="4"/>
      <c r="F1162">
        <v>205</v>
      </c>
      <c r="H1162" t="str">
        <f t="shared" si="18"/>
        <v>2022-12</v>
      </c>
      <c r="I1162" t="str">
        <f>_xlfn.XLOOKUP(Table1[[#This Row],[Customer_ID]],Customers!$A$2:$A$30,Customers!$C$2:$C$30,"Not found")</f>
        <v>Carries forward</v>
      </c>
    </row>
    <row r="1163" spans="1:9">
      <c r="A1163" s="9">
        <v>44920</v>
      </c>
      <c r="B1163" t="s">
        <v>81</v>
      </c>
      <c r="C1163" t="s">
        <v>8</v>
      </c>
      <c r="D1163" s="4">
        <v>10</v>
      </c>
      <c r="E1163" s="4"/>
      <c r="F1163">
        <v>205</v>
      </c>
      <c r="H1163" t="str">
        <f t="shared" si="18"/>
        <v>2022-12</v>
      </c>
      <c r="I1163" t="str">
        <f>_xlfn.XLOOKUP(Table1[[#This Row],[Customer_ID]],Customers!$A$2:$A$30,Customers!$C$2:$C$30,"Not found")</f>
        <v>Carries forward</v>
      </c>
    </row>
    <row r="1164" spans="1:9">
      <c r="A1164" s="9">
        <v>44921</v>
      </c>
      <c r="B1164" t="s">
        <v>81</v>
      </c>
      <c r="C1164" t="s">
        <v>8</v>
      </c>
      <c r="D1164" s="4">
        <v>10</v>
      </c>
      <c r="E1164" s="4"/>
      <c r="F1164">
        <v>205</v>
      </c>
      <c r="H1164" t="str">
        <f t="shared" si="18"/>
        <v>2022-12</v>
      </c>
      <c r="I1164" t="str">
        <f>_xlfn.XLOOKUP(Table1[[#This Row],[Customer_ID]],Customers!$A$2:$A$30,Customers!$C$2:$C$30,"Not found")</f>
        <v>Carries forward</v>
      </c>
    </row>
    <row r="1165" spans="1:9">
      <c r="A1165" s="9">
        <v>44922</v>
      </c>
      <c r="B1165" t="s">
        <v>81</v>
      </c>
      <c r="C1165" t="s">
        <v>8</v>
      </c>
      <c r="D1165" s="4">
        <v>10</v>
      </c>
      <c r="E1165" s="4"/>
      <c r="F1165">
        <v>205</v>
      </c>
      <c r="H1165" t="str">
        <f t="shared" si="18"/>
        <v>2022-12</v>
      </c>
      <c r="I1165" t="str">
        <f>_xlfn.XLOOKUP(Table1[[#This Row],[Customer_ID]],Customers!$A$2:$A$30,Customers!$C$2:$C$30,"Not found")</f>
        <v>Carries forward</v>
      </c>
    </row>
    <row r="1166" spans="1:9">
      <c r="A1166" s="9">
        <v>44922</v>
      </c>
      <c r="B1166" t="s">
        <v>81</v>
      </c>
      <c r="C1166" t="s">
        <v>8</v>
      </c>
      <c r="D1166" s="4">
        <v>10</v>
      </c>
      <c r="E1166" s="4"/>
      <c r="F1166">
        <v>205</v>
      </c>
      <c r="H1166" t="str">
        <f t="shared" si="18"/>
        <v>2022-12</v>
      </c>
      <c r="I1166" t="str">
        <f>_xlfn.XLOOKUP(Table1[[#This Row],[Customer_ID]],Customers!$A$2:$A$30,Customers!$C$2:$C$30,"Not found")</f>
        <v>Carries forward</v>
      </c>
    </row>
    <row r="1167" spans="1:9">
      <c r="A1167" s="9">
        <v>44923</v>
      </c>
      <c r="B1167" t="s">
        <v>81</v>
      </c>
      <c r="C1167" t="s">
        <v>8</v>
      </c>
      <c r="D1167" s="4">
        <v>10</v>
      </c>
      <c r="E1167" s="4"/>
      <c r="F1167">
        <v>205</v>
      </c>
      <c r="H1167" t="str">
        <f t="shared" si="18"/>
        <v>2022-12</v>
      </c>
      <c r="I1167" t="str">
        <f>_xlfn.XLOOKUP(Table1[[#This Row],[Customer_ID]],Customers!$A$2:$A$30,Customers!$C$2:$C$30,"Not found")</f>
        <v>Carries forward</v>
      </c>
    </row>
    <row r="1168" spans="1:9">
      <c r="A1168" s="9">
        <v>44924</v>
      </c>
      <c r="B1168" t="s">
        <v>81</v>
      </c>
      <c r="C1168" t="s">
        <v>8</v>
      </c>
      <c r="D1168" s="4">
        <v>10</v>
      </c>
      <c r="E1168" s="4"/>
      <c r="F1168">
        <v>205</v>
      </c>
      <c r="H1168" t="str">
        <f t="shared" si="18"/>
        <v>2022-12</v>
      </c>
      <c r="I1168" t="str">
        <f>_xlfn.XLOOKUP(Table1[[#This Row],[Customer_ID]],Customers!$A$2:$A$30,Customers!$C$2:$C$30,"Not found")</f>
        <v>Carries forward</v>
      </c>
    </row>
    <row r="1169" spans="1:9">
      <c r="A1169" s="9">
        <v>44926</v>
      </c>
      <c r="B1169" t="s">
        <v>81</v>
      </c>
      <c r="C1169" t="s">
        <v>8</v>
      </c>
      <c r="D1169" s="4">
        <v>30</v>
      </c>
      <c r="E1169" s="4"/>
      <c r="F1169">
        <v>205</v>
      </c>
      <c r="H1169" t="str">
        <f t="shared" si="18"/>
        <v>2022-12</v>
      </c>
      <c r="I1169" t="str">
        <f>_xlfn.XLOOKUP(Table1[[#This Row],[Customer_ID]],Customers!$A$2:$A$30,Customers!$C$2:$C$30,"Not found")</f>
        <v>Carries forward</v>
      </c>
    </row>
    <row r="1170" spans="1:9">
      <c r="A1170" s="9">
        <v>44927</v>
      </c>
      <c r="B1170" t="s">
        <v>81</v>
      </c>
      <c r="C1170" t="s">
        <v>8</v>
      </c>
      <c r="D1170" s="4">
        <v>20</v>
      </c>
      <c r="E1170" s="4"/>
      <c r="F1170">
        <v>205</v>
      </c>
      <c r="H1170" t="str">
        <f t="shared" si="18"/>
        <v>2023-01</v>
      </c>
      <c r="I1170" t="str">
        <f>_xlfn.XLOOKUP(Table1[[#This Row],[Customer_ID]],Customers!$A$2:$A$30,Customers!$C$2:$C$30,"Not found")</f>
        <v>Carries forward</v>
      </c>
    </row>
    <row r="1171" spans="1:9">
      <c r="A1171" s="9">
        <v>44929</v>
      </c>
      <c r="B1171" t="s">
        <v>81</v>
      </c>
      <c r="C1171" t="s">
        <v>8</v>
      </c>
      <c r="D1171" s="4">
        <v>22</v>
      </c>
      <c r="E1171" s="4"/>
      <c r="F1171">
        <v>205</v>
      </c>
      <c r="G1171" t="s">
        <v>132</v>
      </c>
      <c r="H1171" t="str">
        <f t="shared" si="18"/>
        <v>2023-01</v>
      </c>
      <c r="I1171" t="str">
        <f>_xlfn.XLOOKUP(Table1[[#This Row],[Customer_ID]],Customers!$A$2:$A$30,Customers!$C$2:$C$30,"Not found")</f>
        <v>Carries forward</v>
      </c>
    </row>
    <row r="1172" spans="1:9">
      <c r="A1172" s="9">
        <v>44930</v>
      </c>
      <c r="B1172" t="s">
        <v>81</v>
      </c>
      <c r="C1172" t="s">
        <v>8</v>
      </c>
      <c r="D1172" s="4">
        <v>10</v>
      </c>
      <c r="E1172" s="4"/>
      <c r="F1172">
        <v>205</v>
      </c>
      <c r="H1172" t="str">
        <f t="shared" si="18"/>
        <v>2023-01</v>
      </c>
      <c r="I1172" t="str">
        <f>_xlfn.XLOOKUP(Table1[[#This Row],[Customer_ID]],Customers!$A$2:$A$30,Customers!$C$2:$C$30,"Not found")</f>
        <v>Carries forward</v>
      </c>
    </row>
    <row r="1173" spans="1:9">
      <c r="A1173" s="9">
        <v>44931</v>
      </c>
      <c r="B1173" t="s">
        <v>81</v>
      </c>
      <c r="C1173" t="s">
        <v>8</v>
      </c>
      <c r="D1173" s="4">
        <v>10</v>
      </c>
      <c r="E1173" s="4"/>
      <c r="F1173">
        <v>205</v>
      </c>
      <c r="H1173" t="str">
        <f t="shared" si="18"/>
        <v>2023-01</v>
      </c>
      <c r="I1173" t="str">
        <f>_xlfn.XLOOKUP(Table1[[#This Row],[Customer_ID]],Customers!$A$2:$A$30,Customers!$C$2:$C$30,"Not found")</f>
        <v>Carries forward</v>
      </c>
    </row>
    <row r="1174" spans="1:9">
      <c r="A1174" s="9">
        <v>44932</v>
      </c>
      <c r="B1174" t="s">
        <v>81</v>
      </c>
      <c r="C1174" t="s">
        <v>8</v>
      </c>
      <c r="D1174" s="4">
        <v>10</v>
      </c>
      <c r="E1174" s="4"/>
      <c r="F1174">
        <v>205</v>
      </c>
      <c r="H1174" t="str">
        <f t="shared" si="18"/>
        <v>2023-01</v>
      </c>
      <c r="I1174" t="str">
        <f>_xlfn.XLOOKUP(Table1[[#This Row],[Customer_ID]],Customers!$A$2:$A$30,Customers!$C$2:$C$30,"Not found")</f>
        <v>Carries forward</v>
      </c>
    </row>
    <row r="1175" spans="1:9">
      <c r="A1175" s="9">
        <v>44933</v>
      </c>
      <c r="B1175" t="s">
        <v>81</v>
      </c>
      <c r="C1175" t="s">
        <v>8</v>
      </c>
      <c r="D1175" s="4">
        <v>33</v>
      </c>
      <c r="E1175" s="4"/>
      <c r="F1175">
        <v>205</v>
      </c>
      <c r="H1175" t="str">
        <f t="shared" si="18"/>
        <v>2023-01</v>
      </c>
      <c r="I1175" t="str">
        <f>_xlfn.XLOOKUP(Table1[[#This Row],[Customer_ID]],Customers!$A$2:$A$30,Customers!$C$2:$C$30,"Not found")</f>
        <v>Carries forward</v>
      </c>
    </row>
    <row r="1176" spans="1:9">
      <c r="A1176" s="9">
        <v>44934</v>
      </c>
      <c r="B1176" t="s">
        <v>81</v>
      </c>
      <c r="C1176" t="s">
        <v>8</v>
      </c>
      <c r="D1176" s="4">
        <v>10</v>
      </c>
      <c r="E1176" s="4"/>
      <c r="F1176">
        <v>205</v>
      </c>
      <c r="H1176" t="str">
        <f t="shared" si="18"/>
        <v>2023-01</v>
      </c>
      <c r="I1176" t="str">
        <f>_xlfn.XLOOKUP(Table1[[#This Row],[Customer_ID]],Customers!$A$2:$A$30,Customers!$C$2:$C$30,"Not found")</f>
        <v>Carries forward</v>
      </c>
    </row>
    <row r="1177" spans="1:9">
      <c r="A1177" s="9"/>
      <c r="B1177" t="s">
        <v>81</v>
      </c>
      <c r="C1177" t="s">
        <v>14</v>
      </c>
      <c r="D1177" s="4">
        <v>688</v>
      </c>
      <c r="E1177" s="4">
        <v>0</v>
      </c>
      <c r="F1177">
        <v>205</v>
      </c>
      <c r="G1177" t="s">
        <v>220</v>
      </c>
      <c r="H1177" t="str">
        <f t="shared" si="18"/>
        <v/>
      </c>
      <c r="I1177" t="str">
        <f>_xlfn.XLOOKUP(Table1[[#This Row],[Customer_ID]],Customers!$A$2:$A$30,Customers!$C$2:$C$30,"Not found")</f>
        <v>Carries forward</v>
      </c>
    </row>
    <row r="1178" spans="1:9">
      <c r="A1178" s="9">
        <v>44814</v>
      </c>
      <c r="B1178" t="s">
        <v>82</v>
      </c>
      <c r="C1178" t="s">
        <v>28</v>
      </c>
      <c r="D1178" s="4">
        <v>197</v>
      </c>
      <c r="E1178" s="4">
        <v>197</v>
      </c>
      <c r="F1178">
        <v>205</v>
      </c>
      <c r="G1178" t="s">
        <v>221</v>
      </c>
      <c r="H1178" t="str">
        <f t="shared" si="18"/>
        <v>2022-09</v>
      </c>
      <c r="I1178" t="str">
        <f>_xlfn.XLOOKUP(Table1[[#This Row],[Customer_ID]],Customers!$A$2:$A$30,Customers!$C$2:$C$30,"Not found")</f>
        <v>Carries forward</v>
      </c>
    </row>
    <row r="1179" spans="1:9">
      <c r="A1179" s="9">
        <v>44814</v>
      </c>
      <c r="B1179" t="s">
        <v>82</v>
      </c>
      <c r="C1179" t="s">
        <v>8</v>
      </c>
      <c r="D1179" s="4">
        <v>20</v>
      </c>
      <c r="E1179" s="4"/>
      <c r="F1179">
        <v>205</v>
      </c>
      <c r="H1179" t="str">
        <f t="shared" si="18"/>
        <v>2022-09</v>
      </c>
      <c r="I1179" t="str">
        <f>_xlfn.XLOOKUP(Table1[[#This Row],[Customer_ID]],Customers!$A$2:$A$30,Customers!$C$2:$C$30,"Not found")</f>
        <v>Carries forward</v>
      </c>
    </row>
    <row r="1180" spans="1:9">
      <c r="A1180" s="9">
        <v>44816</v>
      </c>
      <c r="B1180" t="s">
        <v>82</v>
      </c>
      <c r="C1180" t="s">
        <v>8</v>
      </c>
      <c r="D1180" s="4">
        <v>26</v>
      </c>
      <c r="E1180" s="4"/>
      <c r="F1180">
        <v>205</v>
      </c>
      <c r="H1180" t="str">
        <f t="shared" si="18"/>
        <v>2022-09</v>
      </c>
      <c r="I1180" t="str">
        <f>_xlfn.XLOOKUP(Table1[[#This Row],[Customer_ID]],Customers!$A$2:$A$30,Customers!$C$2:$C$30,"Not found")</f>
        <v>Carries forward</v>
      </c>
    </row>
    <row r="1181" spans="1:9">
      <c r="A1181" s="9">
        <v>44817</v>
      </c>
      <c r="B1181" t="s">
        <v>82</v>
      </c>
      <c r="C1181" t="s">
        <v>8</v>
      </c>
      <c r="D1181" s="4">
        <v>20</v>
      </c>
      <c r="E1181" s="4"/>
      <c r="F1181">
        <v>205</v>
      </c>
      <c r="H1181" t="str">
        <f t="shared" si="18"/>
        <v>2022-09</v>
      </c>
      <c r="I1181" t="str">
        <f>_xlfn.XLOOKUP(Table1[[#This Row],[Customer_ID]],Customers!$A$2:$A$30,Customers!$C$2:$C$30,"Not found")</f>
        <v>Carries forward</v>
      </c>
    </row>
    <row r="1182" spans="1:9">
      <c r="A1182" s="9">
        <v>44818</v>
      </c>
      <c r="B1182" t="s">
        <v>82</v>
      </c>
      <c r="C1182" t="s">
        <v>8</v>
      </c>
      <c r="D1182" s="4">
        <v>20</v>
      </c>
      <c r="E1182" s="4"/>
      <c r="F1182">
        <v>205</v>
      </c>
      <c r="H1182" t="str">
        <f t="shared" si="18"/>
        <v>2022-09</v>
      </c>
      <c r="I1182" t="str">
        <f>_xlfn.XLOOKUP(Table1[[#This Row],[Customer_ID]],Customers!$A$2:$A$30,Customers!$C$2:$C$30,"Not found")</f>
        <v>Carries forward</v>
      </c>
    </row>
    <row r="1183" spans="1:9">
      <c r="A1183" s="9">
        <v>44818</v>
      </c>
      <c r="B1183" t="s">
        <v>82</v>
      </c>
      <c r="C1183" t="s">
        <v>8</v>
      </c>
      <c r="D1183" s="4">
        <v>20</v>
      </c>
      <c r="E1183" s="4"/>
      <c r="F1183">
        <v>205</v>
      </c>
      <c r="H1183" t="str">
        <f t="shared" si="18"/>
        <v>2022-09</v>
      </c>
      <c r="I1183" t="str">
        <f>_xlfn.XLOOKUP(Table1[[#This Row],[Customer_ID]],Customers!$A$2:$A$30,Customers!$C$2:$C$30,"Not found")</f>
        <v>Carries forward</v>
      </c>
    </row>
    <row r="1184" spans="1:9">
      <c r="A1184" s="9">
        <v>44819</v>
      </c>
      <c r="B1184" t="s">
        <v>82</v>
      </c>
      <c r="C1184" t="s">
        <v>8</v>
      </c>
      <c r="D1184" s="4">
        <v>58</v>
      </c>
      <c r="E1184" s="4"/>
      <c r="F1184">
        <v>205</v>
      </c>
      <c r="H1184" t="str">
        <f t="shared" si="18"/>
        <v>2022-09</v>
      </c>
      <c r="I1184" t="str">
        <f>_xlfn.XLOOKUP(Table1[[#This Row],[Customer_ID]],Customers!$A$2:$A$30,Customers!$C$2:$C$30,"Not found")</f>
        <v>Carries forward</v>
      </c>
    </row>
    <row r="1185" spans="1:9">
      <c r="A1185" s="9">
        <v>44820</v>
      </c>
      <c r="B1185" t="s">
        <v>82</v>
      </c>
      <c r="C1185" t="s">
        <v>8</v>
      </c>
      <c r="D1185" s="4">
        <v>20</v>
      </c>
      <c r="E1185" s="4"/>
      <c r="F1185">
        <v>205</v>
      </c>
      <c r="H1185" t="str">
        <f t="shared" si="18"/>
        <v>2022-09</v>
      </c>
      <c r="I1185" t="str">
        <f>_xlfn.XLOOKUP(Table1[[#This Row],[Customer_ID]],Customers!$A$2:$A$30,Customers!$C$2:$C$30,"Not found")</f>
        <v>Carries forward</v>
      </c>
    </row>
    <row r="1186" spans="1:9">
      <c r="A1186" s="9">
        <v>44822</v>
      </c>
      <c r="B1186" t="s">
        <v>82</v>
      </c>
      <c r="C1186" t="s">
        <v>8</v>
      </c>
      <c r="D1186" s="4">
        <v>85</v>
      </c>
      <c r="E1186" s="4"/>
      <c r="F1186">
        <v>205</v>
      </c>
      <c r="H1186" t="str">
        <f t="shared" si="18"/>
        <v>2022-09</v>
      </c>
      <c r="I1186" t="str">
        <f>_xlfn.XLOOKUP(Table1[[#This Row],[Customer_ID]],Customers!$A$2:$A$30,Customers!$C$2:$C$30,"Not found")</f>
        <v>Carries forward</v>
      </c>
    </row>
    <row r="1187" spans="1:9">
      <c r="A1187" s="9">
        <v>44822</v>
      </c>
      <c r="B1187" t="s">
        <v>82</v>
      </c>
      <c r="C1187" t="s">
        <v>8</v>
      </c>
      <c r="D1187" s="4">
        <v>43</v>
      </c>
      <c r="E1187" s="4"/>
      <c r="F1187">
        <v>205</v>
      </c>
      <c r="H1187" t="str">
        <f t="shared" si="18"/>
        <v>2022-09</v>
      </c>
      <c r="I1187" t="str">
        <f>_xlfn.XLOOKUP(Table1[[#This Row],[Customer_ID]],Customers!$A$2:$A$30,Customers!$C$2:$C$30,"Not found")</f>
        <v>Carries forward</v>
      </c>
    </row>
    <row r="1188" spans="1:9">
      <c r="A1188" s="9">
        <v>44825</v>
      </c>
      <c r="B1188" t="s">
        <v>82</v>
      </c>
      <c r="C1188" t="s">
        <v>8</v>
      </c>
      <c r="D1188" s="4">
        <v>61</v>
      </c>
      <c r="E1188" s="4"/>
      <c r="F1188">
        <v>205</v>
      </c>
      <c r="H1188" t="str">
        <f t="shared" si="18"/>
        <v>2022-09</v>
      </c>
      <c r="I1188" t="str">
        <f>_xlfn.XLOOKUP(Table1[[#This Row],[Customer_ID]],Customers!$A$2:$A$30,Customers!$C$2:$C$30,"Not found")</f>
        <v>Carries forward</v>
      </c>
    </row>
    <row r="1189" spans="1:9">
      <c r="A1189" s="9">
        <v>44826</v>
      </c>
      <c r="B1189" t="s">
        <v>82</v>
      </c>
      <c r="C1189" t="s">
        <v>8</v>
      </c>
      <c r="D1189" s="4">
        <v>62</v>
      </c>
      <c r="E1189" s="4"/>
      <c r="F1189">
        <v>205</v>
      </c>
      <c r="H1189" t="str">
        <f t="shared" si="18"/>
        <v>2022-09</v>
      </c>
      <c r="I1189" t="str">
        <f>_xlfn.XLOOKUP(Table1[[#This Row],[Customer_ID]],Customers!$A$2:$A$30,Customers!$C$2:$C$30,"Not found")</f>
        <v>Carries forward</v>
      </c>
    </row>
    <row r="1190" spans="1:9">
      <c r="A1190" s="9">
        <v>44826</v>
      </c>
      <c r="B1190" t="s">
        <v>82</v>
      </c>
      <c r="C1190" t="s">
        <v>8</v>
      </c>
      <c r="D1190" s="4">
        <v>20</v>
      </c>
      <c r="E1190" s="4"/>
      <c r="F1190">
        <v>205</v>
      </c>
      <c r="H1190" t="str">
        <f t="shared" si="18"/>
        <v>2022-09</v>
      </c>
      <c r="I1190" t="str">
        <f>_xlfn.XLOOKUP(Table1[[#This Row],[Customer_ID]],Customers!$A$2:$A$30,Customers!$C$2:$C$30,"Not found")</f>
        <v>Carries forward</v>
      </c>
    </row>
    <row r="1191" spans="1:9">
      <c r="A1191" s="9">
        <v>44828</v>
      </c>
      <c r="B1191" t="s">
        <v>82</v>
      </c>
      <c r="C1191" t="s">
        <v>8</v>
      </c>
      <c r="D1191" s="4">
        <v>23</v>
      </c>
      <c r="E1191" s="4"/>
      <c r="F1191">
        <v>205</v>
      </c>
      <c r="H1191" t="str">
        <f t="shared" si="18"/>
        <v>2022-09</v>
      </c>
      <c r="I1191" t="str">
        <f>_xlfn.XLOOKUP(Table1[[#This Row],[Customer_ID]],Customers!$A$2:$A$30,Customers!$C$2:$C$30,"Not found")</f>
        <v>Carries forward</v>
      </c>
    </row>
    <row r="1192" spans="1:9">
      <c r="A1192" s="9">
        <v>44829</v>
      </c>
      <c r="B1192" t="s">
        <v>82</v>
      </c>
      <c r="C1192" t="s">
        <v>8</v>
      </c>
      <c r="D1192" s="4">
        <v>25</v>
      </c>
      <c r="E1192" s="4"/>
      <c r="F1192">
        <v>205</v>
      </c>
      <c r="H1192" t="str">
        <f t="shared" si="18"/>
        <v>2022-09</v>
      </c>
      <c r="I1192" t="str">
        <f>_xlfn.XLOOKUP(Table1[[#This Row],[Customer_ID]],Customers!$A$2:$A$30,Customers!$C$2:$C$30,"Not found")</f>
        <v>Carries forward</v>
      </c>
    </row>
    <row r="1193" spans="1:9">
      <c r="A1193" s="9">
        <v>44829</v>
      </c>
      <c r="B1193" t="s">
        <v>82</v>
      </c>
      <c r="C1193" t="s">
        <v>8</v>
      </c>
      <c r="D1193" s="4">
        <v>40</v>
      </c>
      <c r="E1193" s="4"/>
      <c r="F1193">
        <v>205</v>
      </c>
      <c r="H1193" t="str">
        <f t="shared" si="18"/>
        <v>2022-09</v>
      </c>
      <c r="I1193" t="str">
        <f>_xlfn.XLOOKUP(Table1[[#This Row],[Customer_ID]],Customers!$A$2:$A$30,Customers!$C$2:$C$30,"Not found")</f>
        <v>Carries forward</v>
      </c>
    </row>
    <row r="1194" spans="1:9">
      <c r="A1194" s="9">
        <v>44831</v>
      </c>
      <c r="B1194" t="s">
        <v>82</v>
      </c>
      <c r="C1194" t="s">
        <v>8</v>
      </c>
      <c r="D1194" s="4">
        <v>54</v>
      </c>
      <c r="E1194" s="4"/>
      <c r="F1194">
        <v>205</v>
      </c>
      <c r="H1194" t="str">
        <f t="shared" si="18"/>
        <v>2022-09</v>
      </c>
      <c r="I1194" t="str">
        <f>_xlfn.XLOOKUP(Table1[[#This Row],[Customer_ID]],Customers!$A$2:$A$30,Customers!$C$2:$C$30,"Not found")</f>
        <v>Carries forward</v>
      </c>
    </row>
    <row r="1195" spans="1:9">
      <c r="A1195" s="9">
        <v>44832</v>
      </c>
      <c r="B1195" t="s">
        <v>82</v>
      </c>
      <c r="C1195" t="s">
        <v>8</v>
      </c>
      <c r="D1195" s="4">
        <v>37</v>
      </c>
      <c r="E1195" s="4">
        <v>831</v>
      </c>
      <c r="F1195">
        <v>205</v>
      </c>
      <c r="G1195" t="s">
        <v>222</v>
      </c>
      <c r="H1195" t="str">
        <f t="shared" si="18"/>
        <v>2022-09</v>
      </c>
      <c r="I1195" t="str">
        <f>_xlfn.XLOOKUP(Table1[[#This Row],[Customer_ID]],Customers!$A$2:$A$30,Customers!$C$2:$C$30,"Not found")</f>
        <v>Carries forward</v>
      </c>
    </row>
    <row r="1196" spans="1:9">
      <c r="A1196" s="9">
        <v>44811</v>
      </c>
      <c r="B1196" t="s">
        <v>83</v>
      </c>
      <c r="C1196" t="s">
        <v>28</v>
      </c>
      <c r="D1196" s="4">
        <v>2631</v>
      </c>
      <c r="E1196" s="4">
        <v>2631</v>
      </c>
      <c r="F1196">
        <v>219</v>
      </c>
      <c r="G1196" t="s">
        <v>223</v>
      </c>
      <c r="H1196" t="str">
        <f t="shared" si="18"/>
        <v>2022-09</v>
      </c>
      <c r="I1196" t="str">
        <f>_xlfn.XLOOKUP(Table1[[#This Row],[Customer_ID]],Customers!$A$2:$A$30,Customers!$C$2:$C$30,"Not found")</f>
        <v>Mixed</v>
      </c>
    </row>
    <row r="1197" spans="1:9">
      <c r="A1197" s="9">
        <v>44811</v>
      </c>
      <c r="B1197" t="s">
        <v>83</v>
      </c>
      <c r="C1197" t="s">
        <v>8</v>
      </c>
      <c r="D1197" s="4">
        <v>90</v>
      </c>
      <c r="E1197" s="4">
        <v>2721</v>
      </c>
      <c r="F1197">
        <v>219</v>
      </c>
      <c r="G1197" t="s">
        <v>224</v>
      </c>
      <c r="H1197" t="str">
        <f t="shared" si="18"/>
        <v>2022-09</v>
      </c>
      <c r="I1197" t="str">
        <f>_xlfn.XLOOKUP(Table1[[#This Row],[Customer_ID]],Customers!$A$2:$A$30,Customers!$C$2:$C$30,"Not found")</f>
        <v>Mixed</v>
      </c>
    </row>
    <row r="1198" spans="1:9">
      <c r="A1198" s="9"/>
      <c r="B1198" t="s">
        <v>83</v>
      </c>
      <c r="C1198" t="s">
        <v>14</v>
      </c>
      <c r="D1198" s="4">
        <v>2500</v>
      </c>
      <c r="E1198" s="4">
        <v>221</v>
      </c>
      <c r="F1198">
        <v>219</v>
      </c>
      <c r="G1198" t="s">
        <v>225</v>
      </c>
      <c r="H1198" t="str">
        <f t="shared" si="18"/>
        <v/>
      </c>
      <c r="I1198" t="str">
        <f>_xlfn.XLOOKUP(Table1[[#This Row],[Customer_ID]],Customers!$A$2:$A$30,Customers!$C$2:$C$30,"Not found")</f>
        <v>Mixed</v>
      </c>
    </row>
    <row r="1199" spans="1:9">
      <c r="A1199" s="9">
        <v>44816</v>
      </c>
      <c r="B1199" t="s">
        <v>83</v>
      </c>
      <c r="C1199" t="s">
        <v>8</v>
      </c>
      <c r="D1199" s="4">
        <v>1598</v>
      </c>
      <c r="E1199" s="4"/>
      <c r="F1199">
        <v>219</v>
      </c>
      <c r="H1199" t="str">
        <f t="shared" si="18"/>
        <v>2022-09</v>
      </c>
      <c r="I1199" t="str">
        <f>_xlfn.XLOOKUP(Table1[[#This Row],[Customer_ID]],Customers!$A$2:$A$30,Customers!$C$2:$C$30,"Not found")</f>
        <v>Mixed</v>
      </c>
    </row>
    <row r="1200" spans="1:9">
      <c r="A1200" s="9">
        <v>44828</v>
      </c>
      <c r="B1200" t="s">
        <v>83</v>
      </c>
      <c r="C1200" t="s">
        <v>8</v>
      </c>
      <c r="D1200" s="4">
        <v>116</v>
      </c>
      <c r="E1200" s="4"/>
      <c r="F1200">
        <v>219</v>
      </c>
      <c r="H1200" t="str">
        <f t="shared" si="18"/>
        <v>2022-09</v>
      </c>
      <c r="I1200" t="str">
        <f>_xlfn.XLOOKUP(Table1[[#This Row],[Customer_ID]],Customers!$A$2:$A$30,Customers!$C$2:$C$30,"Not found")</f>
        <v>Mixed</v>
      </c>
    </row>
    <row r="1201" spans="1:9">
      <c r="A1201" s="9">
        <v>44837</v>
      </c>
      <c r="B1201" t="s">
        <v>83</v>
      </c>
      <c r="C1201" t="s">
        <v>8</v>
      </c>
      <c r="D1201" s="4">
        <v>262</v>
      </c>
      <c r="E1201" s="4">
        <v>2197</v>
      </c>
      <c r="F1201">
        <v>219</v>
      </c>
      <c r="G1201" t="s">
        <v>226</v>
      </c>
      <c r="H1201" t="str">
        <f t="shared" si="18"/>
        <v>2022-10</v>
      </c>
      <c r="I1201" t="str">
        <f>_xlfn.XLOOKUP(Table1[[#This Row],[Customer_ID]],Customers!$A$2:$A$30,Customers!$C$2:$C$30,"Not found")</f>
        <v>Mixed</v>
      </c>
    </row>
    <row r="1202" spans="1:9">
      <c r="A1202" s="9">
        <v>44847</v>
      </c>
      <c r="B1202" t="s">
        <v>83</v>
      </c>
      <c r="C1202" t="s">
        <v>8</v>
      </c>
      <c r="D1202" s="4">
        <v>38</v>
      </c>
      <c r="E1202" s="4">
        <v>2235</v>
      </c>
      <c r="F1202">
        <v>219</v>
      </c>
      <c r="G1202" t="s">
        <v>227</v>
      </c>
      <c r="H1202" t="str">
        <f t="shared" si="18"/>
        <v>2022-10</v>
      </c>
      <c r="I1202" t="str">
        <f>_xlfn.XLOOKUP(Table1[[#This Row],[Customer_ID]],Customers!$A$2:$A$30,Customers!$C$2:$C$30,"Not found")</f>
        <v>Mixed</v>
      </c>
    </row>
    <row r="1203" spans="1:9">
      <c r="A1203" s="9">
        <v>44847</v>
      </c>
      <c r="B1203" t="s">
        <v>83</v>
      </c>
      <c r="C1203" t="s">
        <v>14</v>
      </c>
      <c r="D1203" s="4">
        <v>2000</v>
      </c>
      <c r="E1203" s="4">
        <v>235</v>
      </c>
      <c r="F1203">
        <v>219</v>
      </c>
      <c r="G1203" t="s">
        <v>228</v>
      </c>
      <c r="H1203" t="str">
        <f t="shared" si="18"/>
        <v>2022-10</v>
      </c>
      <c r="I1203" t="str">
        <f>_xlfn.XLOOKUP(Table1[[#This Row],[Customer_ID]],Customers!$A$2:$A$30,Customers!$C$2:$C$30,"Not found")</f>
        <v>Mixed</v>
      </c>
    </row>
    <row r="1204" spans="1:9">
      <c r="A1204" s="9">
        <v>44848</v>
      </c>
      <c r="B1204" t="s">
        <v>83</v>
      </c>
      <c r="C1204" t="s">
        <v>8</v>
      </c>
      <c r="D1204" s="4">
        <v>1091</v>
      </c>
      <c r="E1204" s="4"/>
      <c r="F1204">
        <v>219</v>
      </c>
      <c r="H1204" t="str">
        <f t="shared" si="18"/>
        <v>2022-10</v>
      </c>
      <c r="I1204" t="str">
        <f>_xlfn.XLOOKUP(Table1[[#This Row],[Customer_ID]],Customers!$A$2:$A$30,Customers!$C$2:$C$30,"Not found")</f>
        <v>Mixed</v>
      </c>
    </row>
    <row r="1205" spans="1:9">
      <c r="A1205" s="9">
        <v>44854</v>
      </c>
      <c r="B1205" t="s">
        <v>83</v>
      </c>
      <c r="C1205" t="s">
        <v>8</v>
      </c>
      <c r="D1205" s="4">
        <v>140</v>
      </c>
      <c r="E1205" s="4"/>
      <c r="F1205">
        <v>219</v>
      </c>
      <c r="H1205" t="str">
        <f t="shared" si="18"/>
        <v>2022-10</v>
      </c>
      <c r="I1205" t="str">
        <f>_xlfn.XLOOKUP(Table1[[#This Row],[Customer_ID]],Customers!$A$2:$A$30,Customers!$C$2:$C$30,"Not found")</f>
        <v>Mixed</v>
      </c>
    </row>
    <row r="1206" spans="1:9">
      <c r="A1206" s="9">
        <v>44867</v>
      </c>
      <c r="B1206" t="s">
        <v>83</v>
      </c>
      <c r="C1206" t="s">
        <v>8</v>
      </c>
      <c r="D1206" s="4">
        <v>163</v>
      </c>
      <c r="E1206" s="4">
        <v>1629</v>
      </c>
      <c r="F1206">
        <v>219</v>
      </c>
      <c r="G1206" t="s">
        <v>229</v>
      </c>
      <c r="H1206" t="str">
        <f t="shared" si="18"/>
        <v>2022-11</v>
      </c>
      <c r="I1206" t="str">
        <f>_xlfn.XLOOKUP(Table1[[#This Row],[Customer_ID]],Customers!$A$2:$A$30,Customers!$C$2:$C$30,"Not found")</f>
        <v>Mixed</v>
      </c>
    </row>
    <row r="1207" spans="1:9">
      <c r="A1207" s="9">
        <v>44871</v>
      </c>
      <c r="B1207" t="s">
        <v>83</v>
      </c>
      <c r="C1207" t="s">
        <v>14</v>
      </c>
      <c r="D1207" s="4">
        <v>1500</v>
      </c>
      <c r="E1207" s="4">
        <v>129</v>
      </c>
      <c r="F1207">
        <v>219</v>
      </c>
      <c r="G1207" t="s">
        <v>230</v>
      </c>
      <c r="H1207" t="str">
        <f t="shared" si="18"/>
        <v>2022-11</v>
      </c>
      <c r="I1207" t="str">
        <f>_xlfn.XLOOKUP(Table1[[#This Row],[Customer_ID]],Customers!$A$2:$A$30,Customers!$C$2:$C$30,"Not found")</f>
        <v>Mixed</v>
      </c>
    </row>
    <row r="1208" spans="1:9">
      <c r="A1208" s="9">
        <v>44872</v>
      </c>
      <c r="B1208" t="s">
        <v>83</v>
      </c>
      <c r="C1208" t="s">
        <v>8</v>
      </c>
      <c r="D1208" s="4">
        <v>1431</v>
      </c>
      <c r="E1208" s="4"/>
      <c r="F1208">
        <v>219</v>
      </c>
      <c r="H1208" t="str">
        <f t="shared" si="18"/>
        <v>2022-11</v>
      </c>
      <c r="I1208" t="str">
        <f>_xlfn.XLOOKUP(Table1[[#This Row],[Customer_ID]],Customers!$A$2:$A$30,Customers!$C$2:$C$30,"Not found")</f>
        <v>Mixed</v>
      </c>
    </row>
    <row r="1209" spans="1:9">
      <c r="A1209" s="9">
        <v>44876</v>
      </c>
      <c r="B1209" t="s">
        <v>83</v>
      </c>
      <c r="C1209" t="s">
        <v>8</v>
      </c>
      <c r="D1209" s="4">
        <v>170</v>
      </c>
      <c r="E1209" s="4"/>
      <c r="F1209">
        <v>219</v>
      </c>
      <c r="H1209" t="str">
        <f t="shared" si="18"/>
        <v>2022-11</v>
      </c>
      <c r="I1209" t="str">
        <f>_xlfn.XLOOKUP(Table1[[#This Row],[Customer_ID]],Customers!$A$2:$A$30,Customers!$C$2:$C$30,"Not found")</f>
        <v>Mixed</v>
      </c>
    </row>
    <row r="1210" spans="1:9">
      <c r="A1210" s="9">
        <v>44886</v>
      </c>
      <c r="B1210" t="s">
        <v>83</v>
      </c>
      <c r="C1210" t="s">
        <v>8</v>
      </c>
      <c r="D1210" s="4">
        <v>145</v>
      </c>
      <c r="E1210" s="4"/>
      <c r="F1210">
        <v>219</v>
      </c>
      <c r="H1210" t="str">
        <f t="shared" si="18"/>
        <v>2022-11</v>
      </c>
      <c r="I1210" t="str">
        <f>_xlfn.XLOOKUP(Table1[[#This Row],[Customer_ID]],Customers!$A$2:$A$30,Customers!$C$2:$C$30,"Not found")</f>
        <v>Mixed</v>
      </c>
    </row>
    <row r="1211" spans="1:9">
      <c r="A1211" s="9">
        <v>44889</v>
      </c>
      <c r="B1211" t="s">
        <v>83</v>
      </c>
      <c r="C1211" t="s">
        <v>8</v>
      </c>
      <c r="D1211" s="4">
        <v>164</v>
      </c>
      <c r="E1211" s="4"/>
      <c r="F1211">
        <v>219</v>
      </c>
      <c r="H1211" t="str">
        <f t="shared" si="18"/>
        <v>2022-11</v>
      </c>
      <c r="I1211" t="str">
        <f>_xlfn.XLOOKUP(Table1[[#This Row],[Customer_ID]],Customers!$A$2:$A$30,Customers!$C$2:$C$30,"Not found")</f>
        <v>Mixed</v>
      </c>
    </row>
    <row r="1212" spans="1:9">
      <c r="A1212" s="9">
        <v>44889</v>
      </c>
      <c r="B1212" t="s">
        <v>83</v>
      </c>
      <c r="C1212" t="s">
        <v>8</v>
      </c>
      <c r="D1212" s="4">
        <v>15</v>
      </c>
      <c r="E1212" s="4">
        <v>2054</v>
      </c>
      <c r="F1212">
        <v>219</v>
      </c>
      <c r="G1212" t="s">
        <v>231</v>
      </c>
      <c r="H1212" t="str">
        <f t="shared" si="18"/>
        <v>2022-11</v>
      </c>
      <c r="I1212" t="str">
        <f>_xlfn.XLOOKUP(Table1[[#This Row],[Customer_ID]],Customers!$A$2:$A$30,Customers!$C$2:$C$30,"Not found")</f>
        <v>Mixed</v>
      </c>
    </row>
    <row r="1213" spans="1:9">
      <c r="A1213" s="9">
        <v>44903</v>
      </c>
      <c r="B1213" t="s">
        <v>83</v>
      </c>
      <c r="C1213" t="s">
        <v>8</v>
      </c>
      <c r="D1213" s="4">
        <v>48</v>
      </c>
      <c r="E1213" s="4">
        <v>2102</v>
      </c>
      <c r="F1213">
        <v>219</v>
      </c>
      <c r="G1213" t="s">
        <v>232</v>
      </c>
      <c r="H1213" t="str">
        <f t="shared" si="18"/>
        <v>2022-12</v>
      </c>
      <c r="I1213" t="str">
        <f>_xlfn.XLOOKUP(Table1[[#This Row],[Customer_ID]],Customers!$A$2:$A$30,Customers!$C$2:$C$30,"Not found")</f>
        <v>Mixed</v>
      </c>
    </row>
    <row r="1214" spans="1:9">
      <c r="A1214" s="9"/>
      <c r="B1214" t="s">
        <v>83</v>
      </c>
      <c r="C1214" t="s">
        <v>14</v>
      </c>
      <c r="D1214" s="4">
        <v>1800</v>
      </c>
      <c r="E1214" s="4">
        <v>302</v>
      </c>
      <c r="F1214">
        <v>219</v>
      </c>
      <c r="G1214" t="s">
        <v>233</v>
      </c>
      <c r="H1214" t="str">
        <f t="shared" si="18"/>
        <v/>
      </c>
      <c r="I1214" t="str">
        <f>_xlfn.XLOOKUP(Table1[[#This Row],[Customer_ID]],Customers!$A$2:$A$30,Customers!$C$2:$C$30,"Not found")</f>
        <v>Mixed</v>
      </c>
    </row>
    <row r="1215" spans="1:9">
      <c r="A1215" s="9">
        <v>44903</v>
      </c>
      <c r="B1215" t="s">
        <v>83</v>
      </c>
      <c r="C1215" t="s">
        <v>8</v>
      </c>
      <c r="D1215" s="4">
        <v>1018</v>
      </c>
      <c r="E1215" s="4"/>
      <c r="F1215">
        <v>219</v>
      </c>
      <c r="H1215" t="str">
        <f t="shared" ref="H1215:H1278" si="19">IF(A1215="","",TEXT(A1215,"yyyy-mm"))</f>
        <v>2022-12</v>
      </c>
      <c r="I1215" t="str">
        <f>_xlfn.XLOOKUP(Table1[[#This Row],[Customer_ID]],Customers!$A$2:$A$30,Customers!$C$2:$C$30,"Not found")</f>
        <v>Mixed</v>
      </c>
    </row>
    <row r="1216" spans="1:9">
      <c r="A1216" s="9">
        <v>44909</v>
      </c>
      <c r="B1216" t="s">
        <v>83</v>
      </c>
      <c r="C1216" t="s">
        <v>8</v>
      </c>
      <c r="D1216" s="4">
        <v>33</v>
      </c>
      <c r="E1216" s="4"/>
      <c r="F1216">
        <v>219</v>
      </c>
      <c r="H1216" t="str">
        <f t="shared" si="19"/>
        <v>2022-12</v>
      </c>
      <c r="I1216" t="str">
        <f>_xlfn.XLOOKUP(Table1[[#This Row],[Customer_ID]],Customers!$A$2:$A$30,Customers!$C$2:$C$30,"Not found")</f>
        <v>Mixed</v>
      </c>
    </row>
    <row r="1217" spans="1:9">
      <c r="A1217" s="9">
        <v>44909</v>
      </c>
      <c r="B1217" t="s">
        <v>83</v>
      </c>
      <c r="C1217" t="s">
        <v>8</v>
      </c>
      <c r="D1217" s="4">
        <v>50</v>
      </c>
      <c r="E1217" s="4">
        <v>1403</v>
      </c>
      <c r="F1217">
        <v>219</v>
      </c>
      <c r="G1217" t="s">
        <v>234</v>
      </c>
      <c r="H1217" t="str">
        <f t="shared" si="19"/>
        <v>2022-12</v>
      </c>
      <c r="I1217" t="str">
        <f>_xlfn.XLOOKUP(Table1[[#This Row],[Customer_ID]],Customers!$A$2:$A$30,Customers!$C$2:$C$30,"Not found")</f>
        <v>Mixed</v>
      </c>
    </row>
    <row r="1218" spans="1:9">
      <c r="A1218" s="9"/>
      <c r="B1218" t="s">
        <v>83</v>
      </c>
      <c r="C1218" t="s">
        <v>14</v>
      </c>
      <c r="D1218" s="4">
        <v>1403</v>
      </c>
      <c r="E1218" s="4">
        <v>0</v>
      </c>
      <c r="F1218">
        <v>219</v>
      </c>
      <c r="G1218" t="s">
        <v>235</v>
      </c>
      <c r="H1218" t="str">
        <f t="shared" si="19"/>
        <v/>
      </c>
      <c r="I1218" t="str">
        <f>_xlfn.XLOOKUP(Table1[[#This Row],[Customer_ID]],Customers!$A$2:$A$30,Customers!$C$2:$C$30,"Not found")</f>
        <v>Mixed</v>
      </c>
    </row>
    <row r="1219" spans="1:9">
      <c r="A1219" s="9">
        <v>44935</v>
      </c>
      <c r="B1219" t="s">
        <v>83</v>
      </c>
      <c r="C1219" t="s">
        <v>8</v>
      </c>
      <c r="D1219" s="4">
        <v>1203</v>
      </c>
      <c r="E1219" s="4"/>
      <c r="F1219">
        <v>219</v>
      </c>
      <c r="H1219" t="str">
        <f t="shared" si="19"/>
        <v>2023-01</v>
      </c>
      <c r="I1219" t="str">
        <f>_xlfn.XLOOKUP(Table1[[#This Row],[Customer_ID]],Customers!$A$2:$A$30,Customers!$C$2:$C$30,"Not found")</f>
        <v>Mixed</v>
      </c>
    </row>
    <row r="1220" spans="1:9">
      <c r="A1220" s="9">
        <v>44945</v>
      </c>
      <c r="B1220" t="s">
        <v>83</v>
      </c>
      <c r="C1220" t="s">
        <v>8</v>
      </c>
      <c r="D1220" s="4">
        <v>295</v>
      </c>
      <c r="E1220" s="4"/>
      <c r="F1220">
        <v>219</v>
      </c>
      <c r="H1220" t="str">
        <f t="shared" si="19"/>
        <v>2023-01</v>
      </c>
      <c r="I1220" t="str">
        <f>_xlfn.XLOOKUP(Table1[[#This Row],[Customer_ID]],Customers!$A$2:$A$30,Customers!$C$2:$C$30,"Not found")</f>
        <v>Mixed</v>
      </c>
    </row>
    <row r="1221" spans="1:9">
      <c r="A1221" s="9">
        <v>44945</v>
      </c>
      <c r="B1221" t="s">
        <v>83</v>
      </c>
      <c r="C1221" t="s">
        <v>8</v>
      </c>
      <c r="D1221" s="4">
        <v>14</v>
      </c>
      <c r="E1221" s="4"/>
      <c r="F1221">
        <v>219</v>
      </c>
      <c r="H1221" t="str">
        <f t="shared" si="19"/>
        <v>2023-01</v>
      </c>
      <c r="I1221" t="str">
        <f>_xlfn.XLOOKUP(Table1[[#This Row],[Customer_ID]],Customers!$A$2:$A$30,Customers!$C$2:$C$30,"Not found")</f>
        <v>Mixed</v>
      </c>
    </row>
    <row r="1222" spans="1:9">
      <c r="A1222" s="9">
        <v>44956</v>
      </c>
      <c r="B1222" t="s">
        <v>83</v>
      </c>
      <c r="C1222" t="s">
        <v>8</v>
      </c>
      <c r="D1222" s="4">
        <v>189</v>
      </c>
      <c r="E1222" s="4"/>
      <c r="F1222">
        <v>219</v>
      </c>
      <c r="H1222" t="str">
        <f t="shared" si="19"/>
        <v>2023-01</v>
      </c>
      <c r="I1222" t="str">
        <f>_xlfn.XLOOKUP(Table1[[#This Row],[Customer_ID]],Customers!$A$2:$A$30,Customers!$C$2:$C$30,"Not found")</f>
        <v>Mixed</v>
      </c>
    </row>
    <row r="1223" spans="1:9">
      <c r="A1223" s="9">
        <v>44956</v>
      </c>
      <c r="B1223" t="s">
        <v>83</v>
      </c>
      <c r="C1223" t="s">
        <v>22</v>
      </c>
      <c r="D1223" s="4">
        <v>-10</v>
      </c>
      <c r="E1223" s="4">
        <v>1691</v>
      </c>
      <c r="F1223">
        <v>219</v>
      </c>
      <c r="G1223" t="s">
        <v>236</v>
      </c>
      <c r="H1223" t="str">
        <f t="shared" si="19"/>
        <v>2023-01</v>
      </c>
      <c r="I1223" t="str">
        <f>_xlfn.XLOOKUP(Table1[[#This Row],[Customer_ID]],Customers!$A$2:$A$30,Customers!$C$2:$C$30,"Not found")</f>
        <v>Mixed</v>
      </c>
    </row>
    <row r="1224" spans="1:9">
      <c r="A1224" s="9">
        <v>44965</v>
      </c>
      <c r="B1224" t="s">
        <v>83</v>
      </c>
      <c r="C1224" t="s">
        <v>8</v>
      </c>
      <c r="D1224" s="4">
        <v>118</v>
      </c>
      <c r="E1224" s="4"/>
      <c r="F1224">
        <v>219</v>
      </c>
      <c r="H1224" t="str">
        <f t="shared" si="19"/>
        <v>2023-02</v>
      </c>
      <c r="I1224" t="str">
        <f>_xlfn.XLOOKUP(Table1[[#This Row],[Customer_ID]],Customers!$A$2:$A$30,Customers!$C$2:$C$30,"Not found")</f>
        <v>Mixed</v>
      </c>
    </row>
    <row r="1225" spans="1:9">
      <c r="A1225" s="9">
        <v>44965</v>
      </c>
      <c r="B1225" t="s">
        <v>83</v>
      </c>
      <c r="C1225" t="s">
        <v>8</v>
      </c>
      <c r="D1225" s="4">
        <v>60</v>
      </c>
      <c r="E1225" s="4">
        <v>1869</v>
      </c>
      <c r="F1225">
        <v>219</v>
      </c>
      <c r="G1225" t="s">
        <v>237</v>
      </c>
      <c r="H1225" t="str">
        <f t="shared" si="19"/>
        <v>2023-02</v>
      </c>
      <c r="I1225" t="str">
        <f>_xlfn.XLOOKUP(Table1[[#This Row],[Customer_ID]],Customers!$A$2:$A$30,Customers!$C$2:$C$30,"Not found")</f>
        <v>Mixed</v>
      </c>
    </row>
    <row r="1226" spans="1:9">
      <c r="A1226" s="9"/>
      <c r="B1226" t="s">
        <v>83</v>
      </c>
      <c r="C1226" t="s">
        <v>14</v>
      </c>
      <c r="D1226" s="4">
        <v>1700</v>
      </c>
      <c r="E1226" s="4">
        <v>169</v>
      </c>
      <c r="F1226">
        <v>219</v>
      </c>
      <c r="G1226" t="s">
        <v>238</v>
      </c>
      <c r="H1226" t="str">
        <f t="shared" si="19"/>
        <v/>
      </c>
      <c r="I1226" t="str">
        <f>_xlfn.XLOOKUP(Table1[[#This Row],[Customer_ID]],Customers!$A$2:$A$30,Customers!$C$2:$C$30,"Not found")</f>
        <v>Mixed</v>
      </c>
    </row>
    <row r="1227" spans="1:9">
      <c r="A1227" s="9">
        <v>44967</v>
      </c>
      <c r="B1227" t="s">
        <v>83</v>
      </c>
      <c r="C1227" t="s">
        <v>8</v>
      </c>
      <c r="D1227" s="4">
        <v>1135</v>
      </c>
      <c r="E1227" s="4"/>
      <c r="F1227">
        <v>219</v>
      </c>
      <c r="H1227" t="str">
        <f t="shared" si="19"/>
        <v>2023-02</v>
      </c>
      <c r="I1227" t="str">
        <f>_xlfn.XLOOKUP(Table1[[#This Row],[Customer_ID]],Customers!$A$2:$A$30,Customers!$C$2:$C$30,"Not found")</f>
        <v>Mixed</v>
      </c>
    </row>
    <row r="1228" spans="1:9">
      <c r="A1228" s="9">
        <v>44968</v>
      </c>
      <c r="B1228" t="s">
        <v>83</v>
      </c>
      <c r="C1228" t="s">
        <v>8</v>
      </c>
      <c r="D1228" s="4">
        <v>190</v>
      </c>
      <c r="E1228" s="4"/>
      <c r="F1228">
        <v>219</v>
      </c>
      <c r="H1228" t="str">
        <f t="shared" si="19"/>
        <v>2023-02</v>
      </c>
      <c r="I1228" t="str">
        <f>_xlfn.XLOOKUP(Table1[[#This Row],[Customer_ID]],Customers!$A$2:$A$30,Customers!$C$2:$C$30,"Not found")</f>
        <v>Mixed</v>
      </c>
    </row>
    <row r="1229" spans="1:9">
      <c r="A1229" s="9">
        <v>44973</v>
      </c>
      <c r="B1229" t="s">
        <v>83</v>
      </c>
      <c r="C1229" t="s">
        <v>8</v>
      </c>
      <c r="D1229" s="4">
        <v>28</v>
      </c>
      <c r="E1229" s="4"/>
      <c r="F1229">
        <v>219</v>
      </c>
      <c r="H1229" t="str">
        <f t="shared" si="19"/>
        <v>2023-02</v>
      </c>
      <c r="I1229" t="str">
        <f>_xlfn.XLOOKUP(Table1[[#This Row],[Customer_ID]],Customers!$A$2:$A$30,Customers!$C$2:$C$30,"Not found")</f>
        <v>Mixed</v>
      </c>
    </row>
    <row r="1230" spans="1:9">
      <c r="A1230" s="9">
        <v>44981</v>
      </c>
      <c r="B1230" t="s">
        <v>83</v>
      </c>
      <c r="C1230" t="s">
        <v>8</v>
      </c>
      <c r="D1230" s="4">
        <v>66</v>
      </c>
      <c r="E1230" s="4">
        <v>1588</v>
      </c>
      <c r="F1230">
        <v>219</v>
      </c>
      <c r="G1230" t="s">
        <v>239</v>
      </c>
      <c r="H1230" t="str">
        <f t="shared" si="19"/>
        <v>2023-02</v>
      </c>
      <c r="I1230" t="str">
        <f>_xlfn.XLOOKUP(Table1[[#This Row],[Customer_ID]],Customers!$A$2:$A$30,Customers!$C$2:$C$30,"Not found")</f>
        <v>Mixed</v>
      </c>
    </row>
    <row r="1231" spans="1:9">
      <c r="A1231" s="9"/>
      <c r="B1231" t="s">
        <v>83</v>
      </c>
      <c r="C1231" t="s">
        <v>14</v>
      </c>
      <c r="D1231" s="4">
        <v>1500</v>
      </c>
      <c r="E1231" s="4">
        <v>88</v>
      </c>
      <c r="F1231">
        <v>219</v>
      </c>
      <c r="G1231" t="s">
        <v>240</v>
      </c>
      <c r="H1231" t="str">
        <f t="shared" si="19"/>
        <v/>
      </c>
      <c r="I1231" t="str">
        <f>_xlfn.XLOOKUP(Table1[[#This Row],[Customer_ID]],Customers!$A$2:$A$30,Customers!$C$2:$C$30,"Not found")</f>
        <v>Mixed</v>
      </c>
    </row>
    <row r="1232" spans="1:9">
      <c r="A1232" s="9">
        <v>44998</v>
      </c>
      <c r="B1232" t="s">
        <v>83</v>
      </c>
      <c r="C1232" t="s">
        <v>8</v>
      </c>
      <c r="D1232" s="4">
        <v>864</v>
      </c>
      <c r="E1232" s="4"/>
      <c r="F1232">
        <v>219</v>
      </c>
      <c r="H1232" t="str">
        <f t="shared" si="19"/>
        <v>2023-03</v>
      </c>
      <c r="I1232" t="str">
        <f>_xlfn.XLOOKUP(Table1[[#This Row],[Customer_ID]],Customers!$A$2:$A$30,Customers!$C$2:$C$30,"Not found")</f>
        <v>Mixed</v>
      </c>
    </row>
    <row r="1233" spans="1:9">
      <c r="A1233" s="9">
        <v>44998</v>
      </c>
      <c r="B1233" t="s">
        <v>83</v>
      </c>
      <c r="C1233" t="s">
        <v>8</v>
      </c>
      <c r="D1233" s="4">
        <v>37</v>
      </c>
      <c r="E1233" s="4"/>
      <c r="F1233">
        <v>219</v>
      </c>
      <c r="G1233" t="s">
        <v>204</v>
      </c>
      <c r="H1233" t="str">
        <f t="shared" si="19"/>
        <v>2023-03</v>
      </c>
      <c r="I1233" t="str">
        <f>_xlfn.XLOOKUP(Table1[[#This Row],[Customer_ID]],Customers!$A$2:$A$30,Customers!$C$2:$C$30,"Not found")</f>
        <v>Mixed</v>
      </c>
    </row>
    <row r="1234" spans="1:9">
      <c r="A1234" s="9">
        <v>45011</v>
      </c>
      <c r="B1234" t="s">
        <v>83</v>
      </c>
      <c r="C1234" t="s">
        <v>8</v>
      </c>
      <c r="D1234" s="4">
        <v>300</v>
      </c>
      <c r="E1234" s="4"/>
      <c r="F1234">
        <v>219</v>
      </c>
      <c r="H1234" t="str">
        <f t="shared" si="19"/>
        <v>2023-03</v>
      </c>
      <c r="I1234" t="str">
        <f>_xlfn.XLOOKUP(Table1[[#This Row],[Customer_ID]],Customers!$A$2:$A$30,Customers!$C$2:$C$30,"Not found")</f>
        <v>Mixed</v>
      </c>
    </row>
    <row r="1235" spans="1:9">
      <c r="A1235" s="9">
        <v>45013</v>
      </c>
      <c r="B1235" t="s">
        <v>83</v>
      </c>
      <c r="C1235" t="s">
        <v>8</v>
      </c>
      <c r="D1235" s="4">
        <v>192</v>
      </c>
      <c r="E1235" s="4"/>
      <c r="F1235">
        <v>219</v>
      </c>
      <c r="H1235" t="str">
        <f t="shared" si="19"/>
        <v>2023-03</v>
      </c>
      <c r="I1235" t="str">
        <f>_xlfn.XLOOKUP(Table1[[#This Row],[Customer_ID]],Customers!$A$2:$A$30,Customers!$C$2:$C$30,"Not found")</f>
        <v>Mixed</v>
      </c>
    </row>
    <row r="1236" spans="1:9">
      <c r="A1236" s="9">
        <v>45020</v>
      </c>
      <c r="B1236" t="s">
        <v>83</v>
      </c>
      <c r="C1236" t="s">
        <v>8</v>
      </c>
      <c r="D1236" s="4">
        <v>110</v>
      </c>
      <c r="E1236" s="4">
        <v>1591</v>
      </c>
      <c r="F1236">
        <v>219</v>
      </c>
      <c r="G1236" t="s">
        <v>241</v>
      </c>
      <c r="H1236" t="str">
        <f t="shared" si="19"/>
        <v>2023-04</v>
      </c>
      <c r="I1236" t="str">
        <f>_xlfn.XLOOKUP(Table1[[#This Row],[Customer_ID]],Customers!$A$2:$A$30,Customers!$C$2:$C$30,"Not found")</f>
        <v>Mixed</v>
      </c>
    </row>
    <row r="1237" spans="1:9">
      <c r="A1237" s="9"/>
      <c r="B1237" t="s">
        <v>83</v>
      </c>
      <c r="C1237" t="s">
        <v>14</v>
      </c>
      <c r="D1237" s="4">
        <v>1500</v>
      </c>
      <c r="E1237" s="4">
        <v>91</v>
      </c>
      <c r="F1237">
        <v>219</v>
      </c>
      <c r="G1237" t="s">
        <v>242</v>
      </c>
      <c r="H1237" t="str">
        <f t="shared" si="19"/>
        <v/>
      </c>
      <c r="I1237" t="str">
        <f>_xlfn.XLOOKUP(Table1[[#This Row],[Customer_ID]],Customers!$A$2:$A$30,Customers!$C$2:$C$30,"Not found")</f>
        <v>Mixed</v>
      </c>
    </row>
    <row r="1238" spans="1:9">
      <c r="A1238" s="9">
        <v>45026</v>
      </c>
      <c r="B1238" t="s">
        <v>83</v>
      </c>
      <c r="C1238" t="s">
        <v>8</v>
      </c>
      <c r="D1238" s="4">
        <v>940</v>
      </c>
      <c r="E1238" s="4"/>
      <c r="F1238">
        <v>219</v>
      </c>
      <c r="H1238" t="str">
        <f t="shared" si="19"/>
        <v>2023-04</v>
      </c>
      <c r="I1238" t="str">
        <f>_xlfn.XLOOKUP(Table1[[#This Row],[Customer_ID]],Customers!$A$2:$A$30,Customers!$C$2:$C$30,"Not found")</f>
        <v>Mixed</v>
      </c>
    </row>
    <row r="1239" spans="1:9">
      <c r="A1239" s="9">
        <v>45027</v>
      </c>
      <c r="B1239" t="s">
        <v>83</v>
      </c>
      <c r="C1239" t="s">
        <v>8</v>
      </c>
      <c r="D1239" s="4">
        <v>90</v>
      </c>
      <c r="E1239" s="4"/>
      <c r="F1239">
        <v>219</v>
      </c>
      <c r="H1239" t="str">
        <f t="shared" si="19"/>
        <v>2023-04</v>
      </c>
      <c r="I1239" t="str">
        <f>_xlfn.XLOOKUP(Table1[[#This Row],[Customer_ID]],Customers!$A$2:$A$30,Customers!$C$2:$C$30,"Not found")</f>
        <v>Mixed</v>
      </c>
    </row>
    <row r="1240" spans="1:9">
      <c r="A1240" s="9">
        <v>45027</v>
      </c>
      <c r="B1240" t="s">
        <v>83</v>
      </c>
      <c r="C1240" t="s">
        <v>8</v>
      </c>
      <c r="D1240" s="4">
        <v>70</v>
      </c>
      <c r="E1240" s="4"/>
      <c r="F1240">
        <v>219</v>
      </c>
      <c r="H1240" t="str">
        <f t="shared" si="19"/>
        <v>2023-04</v>
      </c>
      <c r="I1240" t="str">
        <f>_xlfn.XLOOKUP(Table1[[#This Row],[Customer_ID]],Customers!$A$2:$A$30,Customers!$C$2:$C$30,"Not found")</f>
        <v>Mixed</v>
      </c>
    </row>
    <row r="1241" spans="1:9">
      <c r="A1241" s="9">
        <v>45035</v>
      </c>
      <c r="B1241" t="s">
        <v>83</v>
      </c>
      <c r="C1241" t="s">
        <v>8</v>
      </c>
      <c r="D1241" s="4">
        <v>215</v>
      </c>
      <c r="E1241" s="4"/>
      <c r="F1241">
        <v>219</v>
      </c>
      <c r="H1241" t="str">
        <f t="shared" si="19"/>
        <v>2023-04</v>
      </c>
      <c r="I1241" t="str">
        <f>_xlfn.XLOOKUP(Table1[[#This Row],[Customer_ID]],Customers!$A$2:$A$30,Customers!$C$2:$C$30,"Not found")</f>
        <v>Mixed</v>
      </c>
    </row>
    <row r="1242" spans="1:9">
      <c r="A1242" s="9">
        <v>45038</v>
      </c>
      <c r="B1242" t="s">
        <v>83</v>
      </c>
      <c r="C1242" t="s">
        <v>8</v>
      </c>
      <c r="D1242" s="4">
        <v>127</v>
      </c>
      <c r="E1242" s="4"/>
      <c r="F1242">
        <v>219</v>
      </c>
      <c r="H1242" t="str">
        <f t="shared" si="19"/>
        <v>2023-04</v>
      </c>
      <c r="I1242" t="str">
        <f>_xlfn.XLOOKUP(Table1[[#This Row],[Customer_ID]],Customers!$A$2:$A$30,Customers!$C$2:$C$30,"Not found")</f>
        <v>Mixed</v>
      </c>
    </row>
    <row r="1243" spans="1:9">
      <c r="A1243" s="9">
        <v>45043</v>
      </c>
      <c r="B1243" t="s">
        <v>83</v>
      </c>
      <c r="C1243" t="s">
        <v>8</v>
      </c>
      <c r="D1243" s="4">
        <v>110</v>
      </c>
      <c r="E1243" s="4"/>
      <c r="F1243">
        <v>219</v>
      </c>
      <c r="H1243" t="str">
        <f t="shared" si="19"/>
        <v>2023-04</v>
      </c>
      <c r="I1243" t="str">
        <f>_xlfn.XLOOKUP(Table1[[#This Row],[Customer_ID]],Customers!$A$2:$A$30,Customers!$C$2:$C$30,"Not found")</f>
        <v>Mixed</v>
      </c>
    </row>
    <row r="1244" spans="1:9">
      <c r="A1244" s="9">
        <v>45045</v>
      </c>
      <c r="B1244" t="s">
        <v>83</v>
      </c>
      <c r="C1244" t="s">
        <v>8</v>
      </c>
      <c r="D1244" s="4">
        <v>31</v>
      </c>
      <c r="E1244" s="4"/>
      <c r="F1244">
        <v>219</v>
      </c>
      <c r="H1244" t="str">
        <f t="shared" si="19"/>
        <v>2023-04</v>
      </c>
      <c r="I1244" t="str">
        <f>_xlfn.XLOOKUP(Table1[[#This Row],[Customer_ID]],Customers!$A$2:$A$30,Customers!$C$2:$C$30,"Not found")</f>
        <v>Mixed</v>
      </c>
    </row>
    <row r="1245" spans="1:9">
      <c r="A1245" s="9">
        <v>45047</v>
      </c>
      <c r="B1245" t="s">
        <v>83</v>
      </c>
      <c r="C1245" t="s">
        <v>8</v>
      </c>
      <c r="D1245" s="4">
        <v>93</v>
      </c>
      <c r="E1245" s="4"/>
      <c r="F1245">
        <v>219</v>
      </c>
      <c r="H1245" t="str">
        <f t="shared" si="19"/>
        <v>2023-05</v>
      </c>
      <c r="I1245" t="str">
        <f>_xlfn.XLOOKUP(Table1[[#This Row],[Customer_ID]],Customers!$A$2:$A$30,Customers!$C$2:$C$30,"Not found")</f>
        <v>Mixed</v>
      </c>
    </row>
    <row r="1246" spans="1:9">
      <c r="A1246" s="9">
        <v>45049</v>
      </c>
      <c r="B1246" t="s">
        <v>83</v>
      </c>
      <c r="C1246" t="s">
        <v>8</v>
      </c>
      <c r="D1246" s="4">
        <v>150</v>
      </c>
      <c r="E1246" s="4"/>
      <c r="F1246">
        <v>219</v>
      </c>
      <c r="H1246" t="str">
        <f t="shared" si="19"/>
        <v>2023-05</v>
      </c>
      <c r="I1246" t="str">
        <f>_xlfn.XLOOKUP(Table1[[#This Row],[Customer_ID]],Customers!$A$2:$A$30,Customers!$C$2:$C$30,"Not found")</f>
        <v>Mixed</v>
      </c>
    </row>
    <row r="1247" spans="1:9">
      <c r="A1247" s="9">
        <v>45051</v>
      </c>
      <c r="B1247" t="s">
        <v>83</v>
      </c>
      <c r="C1247" t="s">
        <v>8</v>
      </c>
      <c r="D1247" s="4">
        <v>110</v>
      </c>
      <c r="E1247" s="4"/>
      <c r="F1247">
        <v>219</v>
      </c>
      <c r="H1247" t="str">
        <f t="shared" si="19"/>
        <v>2023-05</v>
      </c>
      <c r="I1247" t="str">
        <f>_xlfn.XLOOKUP(Table1[[#This Row],[Customer_ID]],Customers!$A$2:$A$30,Customers!$C$2:$C$30,"Not found")</f>
        <v>Mixed</v>
      </c>
    </row>
    <row r="1248" spans="1:9">
      <c r="A1248" s="9">
        <v>45051</v>
      </c>
      <c r="B1248" t="s">
        <v>83</v>
      </c>
      <c r="C1248" t="s">
        <v>22</v>
      </c>
      <c r="D1248" s="4">
        <v>-60</v>
      </c>
      <c r="E1248" s="4">
        <v>1967</v>
      </c>
      <c r="F1248">
        <v>219</v>
      </c>
      <c r="G1248" t="s">
        <v>243</v>
      </c>
      <c r="H1248" t="str">
        <f t="shared" si="19"/>
        <v>2023-05</v>
      </c>
      <c r="I1248" t="str">
        <f>_xlfn.XLOOKUP(Table1[[#This Row],[Customer_ID]],Customers!$A$2:$A$30,Customers!$C$2:$C$30,"Not found")</f>
        <v>Mixed</v>
      </c>
    </row>
    <row r="1249" spans="1:9">
      <c r="A1249" s="9">
        <v>45051</v>
      </c>
      <c r="B1249" t="s">
        <v>83</v>
      </c>
      <c r="C1249" t="s">
        <v>8</v>
      </c>
      <c r="D1249" s="4">
        <v>50</v>
      </c>
      <c r="E1249" s="4">
        <v>2017</v>
      </c>
      <c r="F1249">
        <v>219</v>
      </c>
      <c r="G1249" t="s">
        <v>244</v>
      </c>
      <c r="H1249" t="str">
        <f t="shared" si="19"/>
        <v>2023-05</v>
      </c>
      <c r="I1249" t="str">
        <f>_xlfn.XLOOKUP(Table1[[#This Row],[Customer_ID]],Customers!$A$2:$A$30,Customers!$C$2:$C$30,"Not found")</f>
        <v>Mixed</v>
      </c>
    </row>
    <row r="1250" spans="1:9">
      <c r="A1250" s="9">
        <v>45058</v>
      </c>
      <c r="B1250" t="s">
        <v>83</v>
      </c>
      <c r="C1250" t="s">
        <v>14</v>
      </c>
      <c r="D1250" s="4">
        <v>1800</v>
      </c>
      <c r="E1250" s="4">
        <v>217</v>
      </c>
      <c r="F1250">
        <v>219</v>
      </c>
      <c r="G1250" t="s">
        <v>245</v>
      </c>
      <c r="H1250" t="str">
        <f t="shared" si="19"/>
        <v>2023-05</v>
      </c>
      <c r="I1250" t="str">
        <f>_xlfn.XLOOKUP(Table1[[#This Row],[Customer_ID]],Customers!$A$2:$A$30,Customers!$C$2:$C$30,"Not found")</f>
        <v>Mixed</v>
      </c>
    </row>
    <row r="1251" spans="1:9">
      <c r="A1251" s="9">
        <v>45058</v>
      </c>
      <c r="B1251" t="s">
        <v>83</v>
      </c>
      <c r="C1251" t="s">
        <v>8</v>
      </c>
      <c r="D1251" s="4">
        <v>1206</v>
      </c>
      <c r="E1251" s="4"/>
      <c r="F1251">
        <v>219</v>
      </c>
      <c r="H1251" t="str">
        <f t="shared" si="19"/>
        <v>2023-05</v>
      </c>
      <c r="I1251" t="str">
        <f>_xlfn.XLOOKUP(Table1[[#This Row],[Customer_ID]],Customers!$A$2:$A$30,Customers!$C$2:$C$30,"Not found")</f>
        <v>Mixed</v>
      </c>
    </row>
    <row r="1252" spans="1:9">
      <c r="A1252" s="9">
        <v>45059</v>
      </c>
      <c r="B1252" t="s">
        <v>83</v>
      </c>
      <c r="C1252" t="s">
        <v>8</v>
      </c>
      <c r="D1252" s="4">
        <v>52</v>
      </c>
      <c r="E1252" s="4"/>
      <c r="F1252">
        <v>219</v>
      </c>
      <c r="H1252" t="str">
        <f t="shared" si="19"/>
        <v>2023-05</v>
      </c>
      <c r="I1252" t="str">
        <f>_xlfn.XLOOKUP(Table1[[#This Row],[Customer_ID]],Customers!$A$2:$A$30,Customers!$C$2:$C$30,"Not found")</f>
        <v>Mixed</v>
      </c>
    </row>
    <row r="1253" spans="1:9">
      <c r="A1253" s="9">
        <v>45078</v>
      </c>
      <c r="B1253" t="s">
        <v>83</v>
      </c>
      <c r="C1253" t="s">
        <v>8</v>
      </c>
      <c r="D1253" s="4">
        <v>91</v>
      </c>
      <c r="E1253" s="4">
        <v>1566</v>
      </c>
      <c r="F1253">
        <v>219</v>
      </c>
      <c r="G1253" t="s">
        <v>246</v>
      </c>
      <c r="H1253" t="str">
        <f t="shared" si="19"/>
        <v>2023-06</v>
      </c>
      <c r="I1253" t="str">
        <f>_xlfn.XLOOKUP(Table1[[#This Row],[Customer_ID]],Customers!$A$2:$A$30,Customers!$C$2:$C$30,"Not found")</f>
        <v>Mixed</v>
      </c>
    </row>
    <row r="1254" spans="1:9">
      <c r="A1254" s="9">
        <v>45078</v>
      </c>
      <c r="B1254" t="s">
        <v>83</v>
      </c>
      <c r="C1254" t="s">
        <v>14</v>
      </c>
      <c r="D1254" s="4">
        <v>1500</v>
      </c>
      <c r="E1254" s="4">
        <v>66</v>
      </c>
      <c r="F1254">
        <v>219</v>
      </c>
      <c r="G1254" t="s">
        <v>247</v>
      </c>
      <c r="H1254" t="str">
        <f t="shared" si="19"/>
        <v>2023-06</v>
      </c>
      <c r="I1254" t="str">
        <f>_xlfn.XLOOKUP(Table1[[#This Row],[Customer_ID]],Customers!$A$2:$A$30,Customers!$C$2:$C$30,"Not found")</f>
        <v>Mixed</v>
      </c>
    </row>
    <row r="1255" spans="1:9">
      <c r="A1255" s="9">
        <v>45084</v>
      </c>
      <c r="B1255" t="s">
        <v>83</v>
      </c>
      <c r="C1255" t="s">
        <v>8</v>
      </c>
      <c r="D1255" s="4">
        <v>10</v>
      </c>
      <c r="E1255" s="4"/>
      <c r="F1255">
        <v>219</v>
      </c>
      <c r="H1255" t="str">
        <f t="shared" si="19"/>
        <v>2023-06</v>
      </c>
      <c r="I1255" t="str">
        <f>_xlfn.XLOOKUP(Table1[[#This Row],[Customer_ID]],Customers!$A$2:$A$30,Customers!$C$2:$C$30,"Not found")</f>
        <v>Mixed</v>
      </c>
    </row>
    <row r="1256" spans="1:9">
      <c r="A1256" s="9">
        <v>44811</v>
      </c>
      <c r="B1256" t="s">
        <v>84</v>
      </c>
      <c r="C1256" t="s">
        <v>28</v>
      </c>
      <c r="D1256" s="4">
        <v>2508</v>
      </c>
      <c r="E1256" s="4">
        <v>2508</v>
      </c>
      <c r="F1256">
        <v>244</v>
      </c>
      <c r="G1256" t="s">
        <v>248</v>
      </c>
      <c r="H1256" t="str">
        <f t="shared" si="19"/>
        <v>2022-09</v>
      </c>
      <c r="I1256" t="str">
        <f>_xlfn.XLOOKUP(Table1[[#This Row],[Customer_ID]],Customers!$A$2:$A$30,Customers!$C$2:$C$30,"Not found")</f>
        <v>Pays full</v>
      </c>
    </row>
    <row r="1257" spans="1:9">
      <c r="A1257" s="9">
        <v>44811</v>
      </c>
      <c r="B1257" t="s">
        <v>84</v>
      </c>
      <c r="C1257" t="s">
        <v>8</v>
      </c>
      <c r="D1257" s="4">
        <v>20</v>
      </c>
      <c r="E1257" s="4"/>
      <c r="F1257">
        <v>244</v>
      </c>
      <c r="H1257" t="str">
        <f t="shared" si="19"/>
        <v>2022-09</v>
      </c>
      <c r="I1257" t="str">
        <f>_xlfn.XLOOKUP(Table1[[#This Row],[Customer_ID]],Customers!$A$2:$A$30,Customers!$C$2:$C$30,"Not found")</f>
        <v>Pays full</v>
      </c>
    </row>
    <row r="1258" spans="1:9">
      <c r="A1258" s="9">
        <v>44813</v>
      </c>
      <c r="B1258" t="s">
        <v>84</v>
      </c>
      <c r="C1258" t="s">
        <v>8</v>
      </c>
      <c r="D1258" s="4">
        <v>252</v>
      </c>
      <c r="E1258" s="4"/>
      <c r="F1258">
        <v>244</v>
      </c>
      <c r="H1258" t="str">
        <f t="shared" si="19"/>
        <v>2022-09</v>
      </c>
      <c r="I1258" t="str">
        <f>_xlfn.XLOOKUP(Table1[[#This Row],[Customer_ID]],Customers!$A$2:$A$30,Customers!$C$2:$C$30,"Not found")</f>
        <v>Pays full</v>
      </c>
    </row>
    <row r="1259" spans="1:9">
      <c r="A1259" s="9">
        <v>44813</v>
      </c>
      <c r="B1259" t="s">
        <v>84</v>
      </c>
      <c r="C1259" t="s">
        <v>8</v>
      </c>
      <c r="D1259" s="4">
        <v>242</v>
      </c>
      <c r="E1259" s="4"/>
      <c r="F1259">
        <v>244</v>
      </c>
      <c r="H1259" t="str">
        <f t="shared" si="19"/>
        <v>2022-09</v>
      </c>
      <c r="I1259" t="str">
        <f>_xlfn.XLOOKUP(Table1[[#This Row],[Customer_ID]],Customers!$A$2:$A$30,Customers!$C$2:$C$30,"Not found")</f>
        <v>Pays full</v>
      </c>
    </row>
    <row r="1260" spans="1:9">
      <c r="A1260" s="9">
        <v>44814</v>
      </c>
      <c r="B1260" t="s">
        <v>84</v>
      </c>
      <c r="C1260" t="s">
        <v>8</v>
      </c>
      <c r="D1260" s="4">
        <v>30</v>
      </c>
      <c r="E1260" s="4"/>
      <c r="F1260">
        <v>244</v>
      </c>
      <c r="H1260" t="str">
        <f t="shared" si="19"/>
        <v>2022-09</v>
      </c>
      <c r="I1260" t="str">
        <f>_xlfn.XLOOKUP(Table1[[#This Row],[Customer_ID]],Customers!$A$2:$A$30,Customers!$C$2:$C$30,"Not found")</f>
        <v>Pays full</v>
      </c>
    </row>
    <row r="1261" spans="1:9">
      <c r="A1261" s="9">
        <v>44815</v>
      </c>
      <c r="B1261" t="s">
        <v>84</v>
      </c>
      <c r="C1261" t="s">
        <v>8</v>
      </c>
      <c r="D1261" s="4">
        <v>50</v>
      </c>
      <c r="E1261" s="4"/>
      <c r="F1261">
        <v>244</v>
      </c>
      <c r="H1261" t="str">
        <f t="shared" si="19"/>
        <v>2022-09</v>
      </c>
      <c r="I1261" t="str">
        <f>_xlfn.XLOOKUP(Table1[[#This Row],[Customer_ID]],Customers!$A$2:$A$30,Customers!$C$2:$C$30,"Not found")</f>
        <v>Pays full</v>
      </c>
    </row>
    <row r="1262" spans="1:9">
      <c r="A1262" s="9">
        <v>44815</v>
      </c>
      <c r="B1262" t="s">
        <v>84</v>
      </c>
      <c r="C1262" t="s">
        <v>8</v>
      </c>
      <c r="D1262" s="4">
        <v>40</v>
      </c>
      <c r="E1262" s="4"/>
      <c r="F1262">
        <v>244</v>
      </c>
      <c r="H1262" t="str">
        <f t="shared" si="19"/>
        <v>2022-09</v>
      </c>
      <c r="I1262" t="str">
        <f>_xlfn.XLOOKUP(Table1[[#This Row],[Customer_ID]],Customers!$A$2:$A$30,Customers!$C$2:$C$30,"Not found")</f>
        <v>Pays full</v>
      </c>
    </row>
    <row r="1263" spans="1:9">
      <c r="A1263" s="9">
        <v>44815</v>
      </c>
      <c r="B1263" t="s">
        <v>84</v>
      </c>
      <c r="C1263" t="s">
        <v>8</v>
      </c>
      <c r="D1263" s="4">
        <v>15</v>
      </c>
      <c r="E1263" s="4">
        <v>3157</v>
      </c>
      <c r="F1263">
        <v>244</v>
      </c>
      <c r="G1263" t="s">
        <v>249</v>
      </c>
      <c r="H1263" t="str">
        <f t="shared" si="19"/>
        <v>2022-09</v>
      </c>
      <c r="I1263" t="str">
        <f>_xlfn.XLOOKUP(Table1[[#This Row],[Customer_ID]],Customers!$A$2:$A$30,Customers!$C$2:$C$30,"Not found")</f>
        <v>Pays full</v>
      </c>
    </row>
    <row r="1264" spans="1:9">
      <c r="A1264" s="9"/>
      <c r="B1264" t="s">
        <v>84</v>
      </c>
      <c r="C1264" t="s">
        <v>14</v>
      </c>
      <c r="D1264" s="4">
        <v>3100</v>
      </c>
      <c r="E1264" s="4">
        <v>57</v>
      </c>
      <c r="F1264">
        <v>244</v>
      </c>
      <c r="G1264" t="s">
        <v>250</v>
      </c>
      <c r="H1264" t="str">
        <f t="shared" si="19"/>
        <v/>
      </c>
      <c r="I1264" t="str">
        <f>_xlfn.XLOOKUP(Table1[[#This Row],[Customer_ID]],Customers!$A$2:$A$30,Customers!$C$2:$C$30,"Not found")</f>
        <v>Pays full</v>
      </c>
    </row>
    <row r="1265" spans="1:9">
      <c r="A1265" s="9"/>
      <c r="B1265" t="s">
        <v>84</v>
      </c>
      <c r="C1265" t="s">
        <v>22</v>
      </c>
      <c r="D1265" s="4">
        <v>-57</v>
      </c>
      <c r="E1265" s="4">
        <v>0</v>
      </c>
      <c r="F1265">
        <v>244</v>
      </c>
      <c r="G1265" t="s">
        <v>251</v>
      </c>
      <c r="H1265" t="str">
        <f t="shared" si="19"/>
        <v/>
      </c>
      <c r="I1265" t="str">
        <f>_xlfn.XLOOKUP(Table1[[#This Row],[Customer_ID]],Customers!$A$2:$A$30,Customers!$C$2:$C$30,"Not found")</f>
        <v>Pays full</v>
      </c>
    </row>
    <row r="1266" spans="1:9">
      <c r="A1266" s="9">
        <v>44817</v>
      </c>
      <c r="B1266" t="s">
        <v>84</v>
      </c>
      <c r="C1266" t="s">
        <v>8</v>
      </c>
      <c r="D1266" s="4">
        <v>15</v>
      </c>
      <c r="E1266" s="4"/>
      <c r="F1266">
        <v>244</v>
      </c>
      <c r="H1266" t="str">
        <f t="shared" si="19"/>
        <v>2022-09</v>
      </c>
      <c r="I1266" t="str">
        <f>_xlfn.XLOOKUP(Table1[[#This Row],[Customer_ID]],Customers!$A$2:$A$30,Customers!$C$2:$C$30,"Not found")</f>
        <v>Pays full</v>
      </c>
    </row>
    <row r="1267" spans="1:9">
      <c r="A1267" s="9">
        <v>44819</v>
      </c>
      <c r="B1267" t="s">
        <v>84</v>
      </c>
      <c r="C1267" t="s">
        <v>8</v>
      </c>
      <c r="D1267" s="4">
        <v>129</v>
      </c>
      <c r="E1267" s="4"/>
      <c r="F1267">
        <v>244</v>
      </c>
      <c r="H1267" t="str">
        <f t="shared" si="19"/>
        <v>2022-09</v>
      </c>
      <c r="I1267" t="str">
        <f>_xlfn.XLOOKUP(Table1[[#This Row],[Customer_ID]],Customers!$A$2:$A$30,Customers!$C$2:$C$30,"Not found")</f>
        <v>Pays full</v>
      </c>
    </row>
    <row r="1268" spans="1:9">
      <c r="A1268" s="9">
        <v>44821</v>
      </c>
      <c r="B1268" t="s">
        <v>84</v>
      </c>
      <c r="C1268" t="s">
        <v>8</v>
      </c>
      <c r="D1268" s="4">
        <v>44</v>
      </c>
      <c r="E1268" s="4"/>
      <c r="F1268">
        <v>244</v>
      </c>
      <c r="H1268" t="str">
        <f t="shared" si="19"/>
        <v>2022-09</v>
      </c>
      <c r="I1268" t="str">
        <f>_xlfn.XLOOKUP(Table1[[#This Row],[Customer_ID]],Customers!$A$2:$A$30,Customers!$C$2:$C$30,"Not found")</f>
        <v>Pays full</v>
      </c>
    </row>
    <row r="1269" spans="1:9">
      <c r="A1269" s="9">
        <v>44821</v>
      </c>
      <c r="B1269" t="s">
        <v>84</v>
      </c>
      <c r="C1269" t="s">
        <v>8</v>
      </c>
      <c r="D1269" s="4">
        <v>20</v>
      </c>
      <c r="E1269" s="4"/>
      <c r="F1269">
        <v>244</v>
      </c>
      <c r="H1269" t="str">
        <f t="shared" si="19"/>
        <v>2022-09</v>
      </c>
      <c r="I1269" t="str">
        <f>_xlfn.XLOOKUP(Table1[[#This Row],[Customer_ID]],Customers!$A$2:$A$30,Customers!$C$2:$C$30,"Not found")</f>
        <v>Pays full</v>
      </c>
    </row>
    <row r="1270" spans="1:9">
      <c r="A1270" s="9">
        <v>44821</v>
      </c>
      <c r="B1270" t="s">
        <v>84</v>
      </c>
      <c r="C1270" t="s">
        <v>8</v>
      </c>
      <c r="D1270" s="4">
        <v>228</v>
      </c>
      <c r="E1270" s="4"/>
      <c r="F1270">
        <v>244</v>
      </c>
      <c r="H1270" t="str">
        <f t="shared" si="19"/>
        <v>2022-09</v>
      </c>
      <c r="I1270" t="str">
        <f>_xlfn.XLOOKUP(Table1[[#This Row],[Customer_ID]],Customers!$A$2:$A$30,Customers!$C$2:$C$30,"Not found")</f>
        <v>Pays full</v>
      </c>
    </row>
    <row r="1271" spans="1:9">
      <c r="A1271" s="9">
        <v>44824</v>
      </c>
      <c r="B1271" t="s">
        <v>84</v>
      </c>
      <c r="C1271" t="s">
        <v>8</v>
      </c>
      <c r="D1271" s="4">
        <v>235</v>
      </c>
      <c r="E1271" s="4"/>
      <c r="F1271">
        <v>244</v>
      </c>
      <c r="H1271" t="str">
        <f t="shared" si="19"/>
        <v>2022-09</v>
      </c>
      <c r="I1271" t="str">
        <f>_xlfn.XLOOKUP(Table1[[#This Row],[Customer_ID]],Customers!$A$2:$A$30,Customers!$C$2:$C$30,"Not found")</f>
        <v>Pays full</v>
      </c>
    </row>
    <row r="1272" spans="1:9">
      <c r="A1272" s="9">
        <v>44825</v>
      </c>
      <c r="B1272" t="s">
        <v>84</v>
      </c>
      <c r="C1272" t="s">
        <v>8</v>
      </c>
      <c r="D1272" s="4">
        <v>60</v>
      </c>
      <c r="E1272" s="4"/>
      <c r="F1272">
        <v>244</v>
      </c>
      <c r="H1272" t="str">
        <f t="shared" si="19"/>
        <v>2022-09</v>
      </c>
      <c r="I1272" t="str">
        <f>_xlfn.XLOOKUP(Table1[[#This Row],[Customer_ID]],Customers!$A$2:$A$30,Customers!$C$2:$C$30,"Not found")</f>
        <v>Pays full</v>
      </c>
    </row>
    <row r="1273" spans="1:9">
      <c r="A1273" s="9">
        <v>44826</v>
      </c>
      <c r="B1273" t="s">
        <v>84</v>
      </c>
      <c r="C1273" t="s">
        <v>8</v>
      </c>
      <c r="D1273" s="4">
        <v>10</v>
      </c>
      <c r="E1273" s="4"/>
      <c r="F1273">
        <v>244</v>
      </c>
      <c r="H1273" t="str">
        <f t="shared" si="19"/>
        <v>2022-09</v>
      </c>
      <c r="I1273" t="str">
        <f>_xlfn.XLOOKUP(Table1[[#This Row],[Customer_ID]],Customers!$A$2:$A$30,Customers!$C$2:$C$30,"Not found")</f>
        <v>Pays full</v>
      </c>
    </row>
    <row r="1274" spans="1:9">
      <c r="A1274" s="9">
        <v>44828</v>
      </c>
      <c r="B1274" t="s">
        <v>84</v>
      </c>
      <c r="C1274" t="s">
        <v>8</v>
      </c>
      <c r="D1274" s="4">
        <v>187</v>
      </c>
      <c r="E1274" s="4"/>
      <c r="F1274">
        <v>244</v>
      </c>
      <c r="H1274" t="str">
        <f t="shared" si="19"/>
        <v>2022-09</v>
      </c>
      <c r="I1274" t="str">
        <f>_xlfn.XLOOKUP(Table1[[#This Row],[Customer_ID]],Customers!$A$2:$A$30,Customers!$C$2:$C$30,"Not found")</f>
        <v>Pays full</v>
      </c>
    </row>
    <row r="1275" spans="1:9">
      <c r="A1275" s="9">
        <v>44830</v>
      </c>
      <c r="B1275" t="s">
        <v>84</v>
      </c>
      <c r="C1275" t="s">
        <v>8</v>
      </c>
      <c r="D1275" s="4">
        <v>65</v>
      </c>
      <c r="E1275" s="4"/>
      <c r="F1275">
        <v>244</v>
      </c>
      <c r="H1275" t="str">
        <f t="shared" si="19"/>
        <v>2022-09</v>
      </c>
      <c r="I1275" t="str">
        <f>_xlfn.XLOOKUP(Table1[[#This Row],[Customer_ID]],Customers!$A$2:$A$30,Customers!$C$2:$C$30,"Not found")</f>
        <v>Pays full</v>
      </c>
    </row>
    <row r="1276" spans="1:9">
      <c r="A1276" s="9">
        <v>44831</v>
      </c>
      <c r="B1276" t="s">
        <v>84</v>
      </c>
      <c r="C1276" t="s">
        <v>8</v>
      </c>
      <c r="D1276" s="4">
        <v>750</v>
      </c>
      <c r="E1276" s="4"/>
      <c r="F1276">
        <v>244</v>
      </c>
      <c r="H1276" t="str">
        <f t="shared" si="19"/>
        <v>2022-09</v>
      </c>
      <c r="I1276" t="str">
        <f>_xlfn.XLOOKUP(Table1[[#This Row],[Customer_ID]],Customers!$A$2:$A$30,Customers!$C$2:$C$30,"Not found")</f>
        <v>Pays full</v>
      </c>
    </row>
    <row r="1277" spans="1:9">
      <c r="A1277" s="9">
        <v>44833</v>
      </c>
      <c r="B1277" t="s">
        <v>84</v>
      </c>
      <c r="C1277" t="s">
        <v>8</v>
      </c>
      <c r="D1277" s="4">
        <v>16</v>
      </c>
      <c r="E1277" s="4"/>
      <c r="F1277">
        <v>244</v>
      </c>
      <c r="H1277" t="str">
        <f t="shared" si="19"/>
        <v>2022-09</v>
      </c>
      <c r="I1277" t="str">
        <f>_xlfn.XLOOKUP(Table1[[#This Row],[Customer_ID]],Customers!$A$2:$A$30,Customers!$C$2:$C$30,"Not found")</f>
        <v>Pays full</v>
      </c>
    </row>
    <row r="1278" spans="1:9">
      <c r="A1278" s="9">
        <v>44834</v>
      </c>
      <c r="B1278" t="s">
        <v>84</v>
      </c>
      <c r="C1278" t="s">
        <v>8</v>
      </c>
      <c r="D1278" s="4">
        <v>149</v>
      </c>
      <c r="E1278" s="4"/>
      <c r="F1278">
        <v>244</v>
      </c>
      <c r="H1278" t="str">
        <f t="shared" si="19"/>
        <v>2022-09</v>
      </c>
      <c r="I1278" t="str">
        <f>_xlfn.XLOOKUP(Table1[[#This Row],[Customer_ID]],Customers!$A$2:$A$30,Customers!$C$2:$C$30,"Not found")</f>
        <v>Pays full</v>
      </c>
    </row>
    <row r="1279" spans="1:9">
      <c r="A1279" s="9">
        <v>44835</v>
      </c>
      <c r="B1279" t="s">
        <v>84</v>
      </c>
      <c r="C1279" t="s">
        <v>8</v>
      </c>
      <c r="D1279" s="4">
        <v>28</v>
      </c>
      <c r="E1279" s="4"/>
      <c r="F1279">
        <v>244</v>
      </c>
      <c r="H1279" t="str">
        <f t="shared" ref="H1279:H1342" si="20">IF(A1279="","",TEXT(A1279,"yyyy-mm"))</f>
        <v>2022-10</v>
      </c>
      <c r="I1279" t="str">
        <f>_xlfn.XLOOKUP(Table1[[#This Row],[Customer_ID]],Customers!$A$2:$A$30,Customers!$C$2:$C$30,"Not found")</f>
        <v>Pays full</v>
      </c>
    </row>
    <row r="1280" spans="1:9">
      <c r="A1280" s="9">
        <v>44836</v>
      </c>
      <c r="B1280" t="s">
        <v>84</v>
      </c>
      <c r="C1280" t="s">
        <v>8</v>
      </c>
      <c r="D1280" s="4">
        <v>54</v>
      </c>
      <c r="E1280" s="4"/>
      <c r="F1280">
        <v>244</v>
      </c>
      <c r="H1280" t="str">
        <f t="shared" si="20"/>
        <v>2022-10</v>
      </c>
      <c r="I1280" t="str">
        <f>_xlfn.XLOOKUP(Table1[[#This Row],[Customer_ID]],Customers!$A$2:$A$30,Customers!$C$2:$C$30,"Not found")</f>
        <v>Pays full</v>
      </c>
    </row>
    <row r="1281" spans="1:9">
      <c r="A1281" s="9">
        <v>44838</v>
      </c>
      <c r="B1281" t="s">
        <v>84</v>
      </c>
      <c r="C1281" t="s">
        <v>8</v>
      </c>
      <c r="D1281" s="4">
        <v>10</v>
      </c>
      <c r="E1281" s="4"/>
      <c r="F1281">
        <v>244</v>
      </c>
      <c r="H1281" t="str">
        <f t="shared" si="20"/>
        <v>2022-10</v>
      </c>
      <c r="I1281" t="str">
        <f>_xlfn.XLOOKUP(Table1[[#This Row],[Customer_ID]],Customers!$A$2:$A$30,Customers!$C$2:$C$30,"Not found")</f>
        <v>Pays full</v>
      </c>
    </row>
    <row r="1282" spans="1:9">
      <c r="A1282" s="9">
        <v>44840</v>
      </c>
      <c r="B1282" t="s">
        <v>84</v>
      </c>
      <c r="C1282" t="s">
        <v>8</v>
      </c>
      <c r="D1282" s="4">
        <v>35</v>
      </c>
      <c r="E1282" s="4"/>
      <c r="F1282">
        <v>244</v>
      </c>
      <c r="H1282" t="str">
        <f t="shared" si="20"/>
        <v>2022-10</v>
      </c>
      <c r="I1282" t="str">
        <f>_xlfn.XLOOKUP(Table1[[#This Row],[Customer_ID]],Customers!$A$2:$A$30,Customers!$C$2:$C$30,"Not found")</f>
        <v>Pays full</v>
      </c>
    </row>
    <row r="1283" spans="1:9">
      <c r="A1283" s="9">
        <v>44841</v>
      </c>
      <c r="B1283" t="s">
        <v>84</v>
      </c>
      <c r="C1283" t="s">
        <v>8</v>
      </c>
      <c r="D1283" s="4">
        <v>137</v>
      </c>
      <c r="E1283" s="4">
        <v>2172</v>
      </c>
      <c r="F1283">
        <v>244</v>
      </c>
      <c r="G1283" t="s">
        <v>252</v>
      </c>
      <c r="H1283" t="str">
        <f t="shared" si="20"/>
        <v>2022-10</v>
      </c>
      <c r="I1283" t="str">
        <f>_xlfn.XLOOKUP(Table1[[#This Row],[Customer_ID]],Customers!$A$2:$A$30,Customers!$C$2:$C$30,"Not found")</f>
        <v>Pays full</v>
      </c>
    </row>
    <row r="1284" spans="1:9">
      <c r="A1284" s="9">
        <v>44841</v>
      </c>
      <c r="B1284" t="s">
        <v>84</v>
      </c>
      <c r="C1284" t="s">
        <v>8</v>
      </c>
      <c r="D1284" s="4">
        <v>8</v>
      </c>
      <c r="E1284" s="4">
        <v>2180</v>
      </c>
      <c r="F1284">
        <v>244</v>
      </c>
      <c r="G1284" t="s">
        <v>253</v>
      </c>
      <c r="H1284" t="str">
        <f t="shared" si="20"/>
        <v>2022-10</v>
      </c>
      <c r="I1284" t="str">
        <f>_xlfn.XLOOKUP(Table1[[#This Row],[Customer_ID]],Customers!$A$2:$A$30,Customers!$C$2:$C$30,"Not found")</f>
        <v>Pays full</v>
      </c>
    </row>
    <row r="1285" spans="1:9">
      <c r="A1285" s="9"/>
      <c r="B1285" t="s">
        <v>84</v>
      </c>
      <c r="C1285" t="s">
        <v>14</v>
      </c>
      <c r="D1285" s="4">
        <v>2180</v>
      </c>
      <c r="E1285" s="4">
        <v>0</v>
      </c>
      <c r="F1285">
        <v>244</v>
      </c>
      <c r="G1285" t="s">
        <v>254</v>
      </c>
      <c r="H1285" t="str">
        <f t="shared" si="20"/>
        <v/>
      </c>
      <c r="I1285" t="str">
        <f>_xlfn.XLOOKUP(Table1[[#This Row],[Customer_ID]],Customers!$A$2:$A$30,Customers!$C$2:$C$30,"Not found")</f>
        <v>Pays full</v>
      </c>
    </row>
    <row r="1286" spans="1:9">
      <c r="A1286" s="9">
        <v>44842</v>
      </c>
      <c r="B1286" t="s">
        <v>84</v>
      </c>
      <c r="C1286" t="s">
        <v>8</v>
      </c>
      <c r="D1286" s="4">
        <v>149</v>
      </c>
      <c r="E1286" s="4"/>
      <c r="F1286">
        <v>244</v>
      </c>
      <c r="H1286" t="str">
        <f t="shared" si="20"/>
        <v>2022-10</v>
      </c>
      <c r="I1286" t="str">
        <f>_xlfn.XLOOKUP(Table1[[#This Row],[Customer_ID]],Customers!$A$2:$A$30,Customers!$C$2:$C$30,"Not found")</f>
        <v>Pays full</v>
      </c>
    </row>
    <row r="1287" spans="1:9">
      <c r="A1287" s="9">
        <v>44846</v>
      </c>
      <c r="B1287" t="s">
        <v>84</v>
      </c>
      <c r="C1287" t="s">
        <v>8</v>
      </c>
      <c r="D1287" s="4">
        <v>304</v>
      </c>
      <c r="E1287" s="4"/>
      <c r="F1287">
        <v>244</v>
      </c>
      <c r="H1287" t="str">
        <f t="shared" si="20"/>
        <v>2022-10</v>
      </c>
      <c r="I1287" t="str">
        <f>_xlfn.XLOOKUP(Table1[[#This Row],[Customer_ID]],Customers!$A$2:$A$30,Customers!$C$2:$C$30,"Not found")</f>
        <v>Pays full</v>
      </c>
    </row>
    <row r="1288" spans="1:9">
      <c r="A1288" s="9">
        <v>44851</v>
      </c>
      <c r="B1288" t="s">
        <v>84</v>
      </c>
      <c r="C1288" t="s">
        <v>8</v>
      </c>
      <c r="D1288" s="4">
        <v>99</v>
      </c>
      <c r="E1288" s="4"/>
      <c r="F1288">
        <v>244</v>
      </c>
      <c r="H1288" t="str">
        <f t="shared" si="20"/>
        <v>2022-10</v>
      </c>
      <c r="I1288" t="str">
        <f>_xlfn.XLOOKUP(Table1[[#This Row],[Customer_ID]],Customers!$A$2:$A$30,Customers!$C$2:$C$30,"Not found")</f>
        <v>Pays full</v>
      </c>
    </row>
    <row r="1289" spans="1:9">
      <c r="A1289" s="9">
        <v>44855</v>
      </c>
      <c r="B1289" t="s">
        <v>84</v>
      </c>
      <c r="C1289" t="s">
        <v>8</v>
      </c>
      <c r="D1289" s="4">
        <v>118</v>
      </c>
      <c r="E1289" s="4"/>
      <c r="F1289">
        <v>244</v>
      </c>
      <c r="H1289" t="str">
        <f t="shared" si="20"/>
        <v>2022-10</v>
      </c>
      <c r="I1289" t="str">
        <f>_xlfn.XLOOKUP(Table1[[#This Row],[Customer_ID]],Customers!$A$2:$A$30,Customers!$C$2:$C$30,"Not found")</f>
        <v>Pays full</v>
      </c>
    </row>
    <row r="1290" spans="1:9">
      <c r="A1290" s="9">
        <v>44857</v>
      </c>
      <c r="B1290" t="s">
        <v>84</v>
      </c>
      <c r="C1290" t="s">
        <v>8</v>
      </c>
      <c r="D1290" s="4">
        <v>40</v>
      </c>
      <c r="E1290" s="4"/>
      <c r="F1290">
        <v>244</v>
      </c>
      <c r="H1290" t="str">
        <f t="shared" si="20"/>
        <v>2022-10</v>
      </c>
      <c r="I1290" t="str">
        <f>_xlfn.XLOOKUP(Table1[[#This Row],[Customer_ID]],Customers!$A$2:$A$30,Customers!$C$2:$C$30,"Not found")</f>
        <v>Pays full</v>
      </c>
    </row>
    <row r="1291" spans="1:9">
      <c r="A1291" s="9">
        <v>44859</v>
      </c>
      <c r="B1291" t="s">
        <v>84</v>
      </c>
      <c r="C1291" t="s">
        <v>8</v>
      </c>
      <c r="D1291" s="4">
        <v>60</v>
      </c>
      <c r="E1291" s="4"/>
      <c r="F1291">
        <v>244</v>
      </c>
      <c r="H1291" t="str">
        <f t="shared" si="20"/>
        <v>2022-10</v>
      </c>
      <c r="I1291" t="str">
        <f>_xlfn.XLOOKUP(Table1[[#This Row],[Customer_ID]],Customers!$A$2:$A$30,Customers!$C$2:$C$30,"Not found")</f>
        <v>Pays full</v>
      </c>
    </row>
    <row r="1292" spans="1:9">
      <c r="A1292" s="9">
        <v>44860</v>
      </c>
      <c r="B1292" t="s">
        <v>84</v>
      </c>
      <c r="C1292" t="s">
        <v>8</v>
      </c>
      <c r="D1292" s="4">
        <v>20</v>
      </c>
      <c r="E1292" s="4"/>
      <c r="F1292">
        <v>244</v>
      </c>
      <c r="H1292" t="str">
        <f t="shared" si="20"/>
        <v>2022-10</v>
      </c>
      <c r="I1292" t="str">
        <f>_xlfn.XLOOKUP(Table1[[#This Row],[Customer_ID]],Customers!$A$2:$A$30,Customers!$C$2:$C$30,"Not found")</f>
        <v>Pays full</v>
      </c>
    </row>
    <row r="1293" spans="1:9">
      <c r="A1293" s="9">
        <v>44860</v>
      </c>
      <c r="B1293" t="s">
        <v>84</v>
      </c>
      <c r="C1293" t="s">
        <v>8</v>
      </c>
      <c r="D1293" s="4">
        <v>68</v>
      </c>
      <c r="E1293" s="4"/>
      <c r="F1293">
        <v>244</v>
      </c>
      <c r="H1293" t="str">
        <f t="shared" si="20"/>
        <v>2022-10</v>
      </c>
      <c r="I1293" t="str">
        <f>_xlfn.XLOOKUP(Table1[[#This Row],[Customer_ID]],Customers!$A$2:$A$30,Customers!$C$2:$C$30,"Not found")</f>
        <v>Pays full</v>
      </c>
    </row>
    <row r="1294" spans="1:9">
      <c r="A1294" s="9">
        <v>44861</v>
      </c>
      <c r="B1294" t="s">
        <v>84</v>
      </c>
      <c r="C1294" t="s">
        <v>8</v>
      </c>
      <c r="D1294" s="4">
        <v>149</v>
      </c>
      <c r="E1294" s="4"/>
      <c r="F1294">
        <v>244</v>
      </c>
      <c r="H1294" t="str">
        <f t="shared" si="20"/>
        <v>2022-10</v>
      </c>
      <c r="I1294" t="str">
        <f>_xlfn.XLOOKUP(Table1[[#This Row],[Customer_ID]],Customers!$A$2:$A$30,Customers!$C$2:$C$30,"Not found")</f>
        <v>Pays full</v>
      </c>
    </row>
    <row r="1295" spans="1:9">
      <c r="A1295" s="9">
        <v>44862</v>
      </c>
      <c r="B1295" t="s">
        <v>84</v>
      </c>
      <c r="C1295" t="s">
        <v>8</v>
      </c>
      <c r="D1295" s="4">
        <v>56</v>
      </c>
      <c r="E1295" s="4"/>
      <c r="F1295">
        <v>244</v>
      </c>
      <c r="H1295" t="str">
        <f t="shared" si="20"/>
        <v>2022-10</v>
      </c>
      <c r="I1295" t="str">
        <f>_xlfn.XLOOKUP(Table1[[#This Row],[Customer_ID]],Customers!$A$2:$A$30,Customers!$C$2:$C$30,"Not found")</f>
        <v>Pays full</v>
      </c>
    </row>
    <row r="1296" spans="1:9">
      <c r="A1296" s="9">
        <v>44864</v>
      </c>
      <c r="B1296" t="s">
        <v>84</v>
      </c>
      <c r="C1296" t="s">
        <v>8</v>
      </c>
      <c r="D1296" s="4">
        <v>100</v>
      </c>
      <c r="E1296" s="4"/>
      <c r="F1296">
        <v>244</v>
      </c>
      <c r="H1296" t="str">
        <f t="shared" si="20"/>
        <v>2022-10</v>
      </c>
      <c r="I1296" t="str">
        <f>_xlfn.XLOOKUP(Table1[[#This Row],[Customer_ID]],Customers!$A$2:$A$30,Customers!$C$2:$C$30,"Not found")</f>
        <v>Pays full</v>
      </c>
    </row>
    <row r="1297" spans="1:9">
      <c r="A1297" s="9">
        <v>44865</v>
      </c>
      <c r="B1297" t="s">
        <v>84</v>
      </c>
      <c r="C1297" t="s">
        <v>8</v>
      </c>
      <c r="D1297" s="4">
        <v>268</v>
      </c>
      <c r="E1297" s="4"/>
      <c r="F1297">
        <v>244</v>
      </c>
      <c r="H1297" t="str">
        <f t="shared" si="20"/>
        <v>2022-10</v>
      </c>
      <c r="I1297" t="str">
        <f>_xlfn.XLOOKUP(Table1[[#This Row],[Customer_ID]],Customers!$A$2:$A$30,Customers!$C$2:$C$30,"Not found")</f>
        <v>Pays full</v>
      </c>
    </row>
    <row r="1298" spans="1:9">
      <c r="A1298" s="9">
        <v>44868</v>
      </c>
      <c r="B1298" t="s">
        <v>84</v>
      </c>
      <c r="C1298" t="s">
        <v>8</v>
      </c>
      <c r="D1298" s="4">
        <v>180</v>
      </c>
      <c r="E1298" s="4"/>
      <c r="F1298">
        <v>244</v>
      </c>
      <c r="H1298" t="str">
        <f t="shared" si="20"/>
        <v>2022-11</v>
      </c>
      <c r="I1298" t="str">
        <f>_xlfn.XLOOKUP(Table1[[#This Row],[Customer_ID]],Customers!$A$2:$A$30,Customers!$C$2:$C$30,"Not found")</f>
        <v>Pays full</v>
      </c>
    </row>
    <row r="1299" spans="1:9">
      <c r="A1299" s="9">
        <v>44873</v>
      </c>
      <c r="B1299" t="s">
        <v>84</v>
      </c>
      <c r="C1299" t="s">
        <v>8</v>
      </c>
      <c r="D1299" s="4">
        <v>55</v>
      </c>
      <c r="E1299" s="4"/>
      <c r="F1299">
        <v>244</v>
      </c>
      <c r="H1299" t="str">
        <f t="shared" si="20"/>
        <v>2022-11</v>
      </c>
      <c r="I1299" t="str">
        <f>_xlfn.XLOOKUP(Table1[[#This Row],[Customer_ID]],Customers!$A$2:$A$30,Customers!$C$2:$C$30,"Not found")</f>
        <v>Pays full</v>
      </c>
    </row>
    <row r="1300" spans="1:9">
      <c r="A1300" s="9">
        <v>44873</v>
      </c>
      <c r="B1300" t="s">
        <v>84</v>
      </c>
      <c r="C1300" t="s">
        <v>8</v>
      </c>
      <c r="D1300" s="4">
        <v>60</v>
      </c>
      <c r="E1300" s="4"/>
      <c r="F1300">
        <v>244</v>
      </c>
      <c r="G1300" t="s">
        <v>255</v>
      </c>
      <c r="H1300" t="str">
        <f t="shared" si="20"/>
        <v>2022-11</v>
      </c>
      <c r="I1300" t="str">
        <f>_xlfn.XLOOKUP(Table1[[#This Row],[Customer_ID]],Customers!$A$2:$A$30,Customers!$C$2:$C$30,"Not found")</f>
        <v>Pays full</v>
      </c>
    </row>
    <row r="1301" spans="1:9">
      <c r="A1301" s="9">
        <v>44873</v>
      </c>
      <c r="B1301" t="s">
        <v>84</v>
      </c>
      <c r="C1301" t="s">
        <v>22</v>
      </c>
      <c r="D1301" s="4">
        <v>-5</v>
      </c>
      <c r="E1301" s="4">
        <v>1721</v>
      </c>
      <c r="F1301">
        <v>244</v>
      </c>
      <c r="G1301" t="s">
        <v>256</v>
      </c>
      <c r="H1301" t="str">
        <f t="shared" si="20"/>
        <v>2022-11</v>
      </c>
      <c r="I1301" t="str">
        <f>_xlfn.XLOOKUP(Table1[[#This Row],[Customer_ID]],Customers!$A$2:$A$30,Customers!$C$2:$C$30,"Not found")</f>
        <v>Pays full</v>
      </c>
    </row>
    <row r="1302" spans="1:9">
      <c r="A1302" s="9">
        <v>44875</v>
      </c>
      <c r="B1302" t="s">
        <v>84</v>
      </c>
      <c r="C1302" t="s">
        <v>8</v>
      </c>
      <c r="D1302" s="4">
        <v>433</v>
      </c>
      <c r="E1302" s="4"/>
      <c r="F1302">
        <v>244</v>
      </c>
      <c r="H1302" t="str">
        <f t="shared" si="20"/>
        <v>2022-11</v>
      </c>
      <c r="I1302" t="str">
        <f>_xlfn.XLOOKUP(Table1[[#This Row],[Customer_ID]],Customers!$A$2:$A$30,Customers!$C$2:$C$30,"Not found")</f>
        <v>Pays full</v>
      </c>
    </row>
    <row r="1303" spans="1:9">
      <c r="A1303" s="9">
        <v>44875</v>
      </c>
      <c r="B1303" t="s">
        <v>84</v>
      </c>
      <c r="C1303" t="s">
        <v>8</v>
      </c>
      <c r="D1303" s="4">
        <v>10</v>
      </c>
      <c r="E1303" s="4">
        <v>2164</v>
      </c>
      <c r="F1303">
        <v>244</v>
      </c>
      <c r="G1303" t="s">
        <v>257</v>
      </c>
      <c r="H1303" t="str">
        <f t="shared" si="20"/>
        <v>2022-11</v>
      </c>
      <c r="I1303" t="str">
        <f>_xlfn.XLOOKUP(Table1[[#This Row],[Customer_ID]],Customers!$A$2:$A$30,Customers!$C$2:$C$30,"Not found")</f>
        <v>Pays full</v>
      </c>
    </row>
    <row r="1304" spans="1:9">
      <c r="A1304" s="9">
        <v>44880</v>
      </c>
      <c r="B1304" t="s">
        <v>84</v>
      </c>
      <c r="C1304" t="s">
        <v>14</v>
      </c>
      <c r="D1304" s="4">
        <v>2160</v>
      </c>
      <c r="E1304" s="4">
        <v>4</v>
      </c>
      <c r="F1304">
        <v>244</v>
      </c>
      <c r="G1304" t="s">
        <v>258</v>
      </c>
      <c r="H1304" t="str">
        <f t="shared" si="20"/>
        <v>2022-11</v>
      </c>
      <c r="I1304" t="str">
        <f>_xlfn.XLOOKUP(Table1[[#This Row],[Customer_ID]],Customers!$A$2:$A$30,Customers!$C$2:$C$30,"Not found")</f>
        <v>Pays full</v>
      </c>
    </row>
    <row r="1305" spans="1:9">
      <c r="A1305" s="9">
        <v>44880</v>
      </c>
      <c r="B1305" t="s">
        <v>84</v>
      </c>
      <c r="C1305" t="s">
        <v>22</v>
      </c>
      <c r="D1305" s="4">
        <v>-4</v>
      </c>
      <c r="E1305" s="4">
        <v>0</v>
      </c>
      <c r="F1305">
        <v>244</v>
      </c>
      <c r="G1305" t="s">
        <v>259</v>
      </c>
      <c r="H1305" t="str">
        <f t="shared" si="20"/>
        <v>2022-11</v>
      </c>
      <c r="I1305" t="str">
        <f>_xlfn.XLOOKUP(Table1[[#This Row],[Customer_ID]],Customers!$A$2:$A$30,Customers!$C$2:$C$30,"Not found")</f>
        <v>Pays full</v>
      </c>
    </row>
    <row r="1306" spans="1:9">
      <c r="A1306" s="9">
        <v>44880</v>
      </c>
      <c r="B1306" t="s">
        <v>84</v>
      </c>
      <c r="C1306" t="s">
        <v>8</v>
      </c>
      <c r="D1306" s="4">
        <v>32</v>
      </c>
      <c r="E1306" s="4"/>
      <c r="F1306">
        <v>244</v>
      </c>
      <c r="H1306" t="str">
        <f t="shared" si="20"/>
        <v>2022-11</v>
      </c>
      <c r="I1306" t="str">
        <f>_xlfn.XLOOKUP(Table1[[#This Row],[Customer_ID]],Customers!$A$2:$A$30,Customers!$C$2:$C$30,"Not found")</f>
        <v>Pays full</v>
      </c>
    </row>
    <row r="1307" spans="1:9">
      <c r="A1307" s="9">
        <v>44881</v>
      </c>
      <c r="B1307" t="s">
        <v>84</v>
      </c>
      <c r="C1307" t="s">
        <v>8</v>
      </c>
      <c r="D1307" s="4">
        <v>153</v>
      </c>
      <c r="E1307" s="4"/>
      <c r="F1307">
        <v>244</v>
      </c>
      <c r="H1307" t="str">
        <f t="shared" si="20"/>
        <v>2022-11</v>
      </c>
      <c r="I1307" t="str">
        <f>_xlfn.XLOOKUP(Table1[[#This Row],[Customer_ID]],Customers!$A$2:$A$30,Customers!$C$2:$C$30,"Not found")</f>
        <v>Pays full</v>
      </c>
    </row>
    <row r="1308" spans="1:9">
      <c r="A1308" s="9">
        <v>44884</v>
      </c>
      <c r="B1308" t="s">
        <v>84</v>
      </c>
      <c r="C1308" t="s">
        <v>8</v>
      </c>
      <c r="D1308" s="4">
        <v>185</v>
      </c>
      <c r="E1308" s="4"/>
      <c r="F1308">
        <v>244</v>
      </c>
      <c r="G1308" t="s">
        <v>260</v>
      </c>
      <c r="H1308" t="str">
        <f t="shared" si="20"/>
        <v>2022-11</v>
      </c>
      <c r="I1308" t="str">
        <f>_xlfn.XLOOKUP(Table1[[#This Row],[Customer_ID]],Customers!$A$2:$A$30,Customers!$C$2:$C$30,"Not found")</f>
        <v>Pays full</v>
      </c>
    </row>
    <row r="1309" spans="1:9">
      <c r="A1309" s="9">
        <v>44890</v>
      </c>
      <c r="B1309" t="s">
        <v>84</v>
      </c>
      <c r="C1309" t="s">
        <v>8</v>
      </c>
      <c r="D1309" s="4">
        <v>240</v>
      </c>
      <c r="E1309" s="4"/>
      <c r="F1309">
        <v>244</v>
      </c>
      <c r="H1309" t="str">
        <f t="shared" si="20"/>
        <v>2022-11</v>
      </c>
      <c r="I1309" t="str">
        <f>_xlfn.XLOOKUP(Table1[[#This Row],[Customer_ID]],Customers!$A$2:$A$30,Customers!$C$2:$C$30,"Not found")</f>
        <v>Pays full</v>
      </c>
    </row>
    <row r="1310" spans="1:9">
      <c r="A1310" s="9">
        <v>44891</v>
      </c>
      <c r="B1310" t="s">
        <v>84</v>
      </c>
      <c r="C1310" t="s">
        <v>8</v>
      </c>
      <c r="D1310" s="4">
        <v>89</v>
      </c>
      <c r="E1310" s="4"/>
      <c r="F1310">
        <v>244</v>
      </c>
      <c r="H1310" t="str">
        <f t="shared" si="20"/>
        <v>2022-11</v>
      </c>
      <c r="I1310" t="str">
        <f>_xlfn.XLOOKUP(Table1[[#This Row],[Customer_ID]],Customers!$A$2:$A$30,Customers!$C$2:$C$30,"Not found")</f>
        <v>Pays full</v>
      </c>
    </row>
    <row r="1311" spans="1:9">
      <c r="A1311" s="9">
        <v>44894</v>
      </c>
      <c r="B1311" t="s">
        <v>84</v>
      </c>
      <c r="C1311" t="s">
        <v>8</v>
      </c>
      <c r="D1311" s="4">
        <v>115</v>
      </c>
      <c r="E1311" s="4">
        <v>814</v>
      </c>
      <c r="F1311">
        <v>244</v>
      </c>
      <c r="G1311" t="s">
        <v>261</v>
      </c>
      <c r="H1311" t="str">
        <f t="shared" si="20"/>
        <v>2022-11</v>
      </c>
      <c r="I1311" t="str">
        <f>_xlfn.XLOOKUP(Table1[[#This Row],[Customer_ID]],Customers!$A$2:$A$30,Customers!$C$2:$C$30,"Not found")</f>
        <v>Pays full</v>
      </c>
    </row>
    <row r="1312" spans="1:9">
      <c r="A1312" s="9">
        <v>44908</v>
      </c>
      <c r="B1312" t="s">
        <v>84</v>
      </c>
      <c r="C1312" t="s">
        <v>14</v>
      </c>
      <c r="D1312" s="4">
        <v>814</v>
      </c>
      <c r="E1312" s="4">
        <v>0</v>
      </c>
      <c r="F1312">
        <v>244</v>
      </c>
      <c r="G1312" t="s">
        <v>262</v>
      </c>
      <c r="H1312" t="str">
        <f t="shared" si="20"/>
        <v>2022-12</v>
      </c>
      <c r="I1312" t="str">
        <f>_xlfn.XLOOKUP(Table1[[#This Row],[Customer_ID]],Customers!$A$2:$A$30,Customers!$C$2:$C$30,"Not found")</f>
        <v>Pays full</v>
      </c>
    </row>
    <row r="1313" spans="1:9">
      <c r="A1313" s="9">
        <v>44909</v>
      </c>
      <c r="B1313" t="s">
        <v>84</v>
      </c>
      <c r="C1313" t="s">
        <v>8</v>
      </c>
      <c r="D1313" s="4">
        <v>283</v>
      </c>
      <c r="E1313" s="4"/>
      <c r="F1313">
        <v>244</v>
      </c>
      <c r="H1313" t="str">
        <f t="shared" si="20"/>
        <v>2022-12</v>
      </c>
      <c r="I1313" t="str">
        <f>_xlfn.XLOOKUP(Table1[[#This Row],[Customer_ID]],Customers!$A$2:$A$30,Customers!$C$2:$C$30,"Not found")</f>
        <v>Pays full</v>
      </c>
    </row>
    <row r="1314" spans="1:9">
      <c r="A1314" s="9">
        <v>44913</v>
      </c>
      <c r="B1314" t="s">
        <v>84</v>
      </c>
      <c r="C1314" t="s">
        <v>8</v>
      </c>
      <c r="D1314" s="4">
        <v>52</v>
      </c>
      <c r="E1314" s="4"/>
      <c r="F1314">
        <v>244</v>
      </c>
      <c r="H1314" t="str">
        <f t="shared" si="20"/>
        <v>2022-12</v>
      </c>
      <c r="I1314" t="str">
        <f>_xlfn.XLOOKUP(Table1[[#This Row],[Customer_ID]],Customers!$A$2:$A$30,Customers!$C$2:$C$30,"Not found")</f>
        <v>Pays full</v>
      </c>
    </row>
    <row r="1315" spans="1:9">
      <c r="A1315" s="9">
        <v>44915</v>
      </c>
      <c r="B1315" t="s">
        <v>84</v>
      </c>
      <c r="C1315" t="s">
        <v>8</v>
      </c>
      <c r="D1315" s="4">
        <v>180</v>
      </c>
      <c r="E1315" s="4"/>
      <c r="F1315">
        <v>244</v>
      </c>
      <c r="H1315" t="str">
        <f t="shared" si="20"/>
        <v>2022-12</v>
      </c>
      <c r="I1315" t="str">
        <f>_xlfn.XLOOKUP(Table1[[#This Row],[Customer_ID]],Customers!$A$2:$A$30,Customers!$C$2:$C$30,"Not found")</f>
        <v>Pays full</v>
      </c>
    </row>
    <row r="1316" spans="1:9">
      <c r="A1316" s="9">
        <v>44918</v>
      </c>
      <c r="B1316" t="s">
        <v>84</v>
      </c>
      <c r="C1316" t="s">
        <v>8</v>
      </c>
      <c r="D1316" s="4">
        <v>57</v>
      </c>
      <c r="E1316" s="4"/>
      <c r="F1316">
        <v>244</v>
      </c>
      <c r="H1316" t="str">
        <f t="shared" si="20"/>
        <v>2022-12</v>
      </c>
      <c r="I1316" t="str">
        <f>_xlfn.XLOOKUP(Table1[[#This Row],[Customer_ID]],Customers!$A$2:$A$30,Customers!$C$2:$C$30,"Not found")</f>
        <v>Pays full</v>
      </c>
    </row>
    <row r="1317" spans="1:9">
      <c r="A1317" s="9">
        <v>44920</v>
      </c>
      <c r="B1317" t="s">
        <v>84</v>
      </c>
      <c r="C1317" t="s">
        <v>8</v>
      </c>
      <c r="D1317" s="4">
        <v>142</v>
      </c>
      <c r="E1317" s="4"/>
      <c r="F1317">
        <v>244</v>
      </c>
      <c r="H1317" t="str">
        <f t="shared" si="20"/>
        <v>2022-12</v>
      </c>
      <c r="I1317" t="str">
        <f>_xlfn.XLOOKUP(Table1[[#This Row],[Customer_ID]],Customers!$A$2:$A$30,Customers!$C$2:$C$30,"Not found")</f>
        <v>Pays full</v>
      </c>
    </row>
    <row r="1318" spans="1:9">
      <c r="A1318" s="9">
        <v>44922</v>
      </c>
      <c r="B1318" t="s">
        <v>84</v>
      </c>
      <c r="C1318" t="s">
        <v>8</v>
      </c>
      <c r="D1318" s="4">
        <v>25</v>
      </c>
      <c r="E1318" s="4"/>
      <c r="F1318">
        <v>244</v>
      </c>
      <c r="H1318" t="str">
        <f t="shared" si="20"/>
        <v>2022-12</v>
      </c>
      <c r="I1318" t="str">
        <f>_xlfn.XLOOKUP(Table1[[#This Row],[Customer_ID]],Customers!$A$2:$A$30,Customers!$C$2:$C$30,"Not found")</f>
        <v>Pays full</v>
      </c>
    </row>
    <row r="1319" spans="1:9">
      <c r="A1319" s="9">
        <v>44925</v>
      </c>
      <c r="B1319" t="s">
        <v>84</v>
      </c>
      <c r="C1319" t="s">
        <v>8</v>
      </c>
      <c r="D1319" s="4">
        <v>519</v>
      </c>
      <c r="E1319" s="4"/>
      <c r="F1319">
        <v>244</v>
      </c>
      <c r="H1319" t="str">
        <f t="shared" si="20"/>
        <v>2022-12</v>
      </c>
      <c r="I1319" t="str">
        <f>_xlfn.XLOOKUP(Table1[[#This Row],[Customer_ID]],Customers!$A$2:$A$30,Customers!$C$2:$C$30,"Not found")</f>
        <v>Pays full</v>
      </c>
    </row>
    <row r="1320" spans="1:9">
      <c r="A1320" s="9">
        <v>44927</v>
      </c>
      <c r="B1320" t="s">
        <v>84</v>
      </c>
      <c r="C1320" t="s">
        <v>8</v>
      </c>
      <c r="D1320" s="4">
        <v>175</v>
      </c>
      <c r="E1320" s="4"/>
      <c r="F1320">
        <v>244</v>
      </c>
      <c r="H1320" t="str">
        <f t="shared" si="20"/>
        <v>2023-01</v>
      </c>
      <c r="I1320" t="str">
        <f>_xlfn.XLOOKUP(Table1[[#This Row],[Customer_ID]],Customers!$A$2:$A$30,Customers!$C$2:$C$30,"Not found")</f>
        <v>Pays full</v>
      </c>
    </row>
    <row r="1321" spans="1:9">
      <c r="A1321" s="9">
        <v>44933</v>
      </c>
      <c r="B1321" t="s">
        <v>84</v>
      </c>
      <c r="C1321" t="s">
        <v>8</v>
      </c>
      <c r="D1321" s="4">
        <v>60</v>
      </c>
      <c r="E1321" s="4">
        <v>1493</v>
      </c>
      <c r="F1321">
        <v>244</v>
      </c>
      <c r="G1321" t="s">
        <v>263</v>
      </c>
      <c r="H1321" t="str">
        <f t="shared" si="20"/>
        <v>2023-01</v>
      </c>
      <c r="I1321" t="str">
        <f>_xlfn.XLOOKUP(Table1[[#This Row],[Customer_ID]],Customers!$A$2:$A$30,Customers!$C$2:$C$30,"Not found")</f>
        <v>Pays full</v>
      </c>
    </row>
    <row r="1322" spans="1:9">
      <c r="A1322" s="9">
        <v>44937</v>
      </c>
      <c r="B1322" t="s">
        <v>84</v>
      </c>
      <c r="C1322" t="s">
        <v>8</v>
      </c>
      <c r="D1322" s="4">
        <v>56</v>
      </c>
      <c r="E1322" s="4">
        <v>1549</v>
      </c>
      <c r="F1322">
        <v>244</v>
      </c>
      <c r="G1322" t="s">
        <v>264</v>
      </c>
      <c r="H1322" t="str">
        <f t="shared" si="20"/>
        <v>2023-01</v>
      </c>
      <c r="I1322" t="str">
        <f>_xlfn.XLOOKUP(Table1[[#This Row],[Customer_ID]],Customers!$A$2:$A$30,Customers!$C$2:$C$30,"Not found")</f>
        <v>Pays full</v>
      </c>
    </row>
    <row r="1323" spans="1:9">
      <c r="A1323" s="9">
        <v>44938</v>
      </c>
      <c r="B1323" t="s">
        <v>84</v>
      </c>
      <c r="C1323" t="s">
        <v>14</v>
      </c>
      <c r="D1323" s="4">
        <v>1000</v>
      </c>
      <c r="E1323" s="4">
        <v>549</v>
      </c>
      <c r="F1323">
        <v>244</v>
      </c>
      <c r="G1323" t="s">
        <v>265</v>
      </c>
      <c r="H1323" t="str">
        <f t="shared" si="20"/>
        <v>2023-01</v>
      </c>
      <c r="I1323" t="str">
        <f>_xlfn.XLOOKUP(Table1[[#This Row],[Customer_ID]],Customers!$A$2:$A$30,Customers!$C$2:$C$30,"Not found")</f>
        <v>Pays full</v>
      </c>
    </row>
    <row r="1324" spans="1:9">
      <c r="A1324" s="9">
        <v>44938</v>
      </c>
      <c r="B1324" t="s">
        <v>84</v>
      </c>
      <c r="C1324" t="s">
        <v>14</v>
      </c>
      <c r="D1324" s="4">
        <v>549</v>
      </c>
      <c r="E1324" s="4">
        <v>0</v>
      </c>
      <c r="F1324">
        <v>244</v>
      </c>
      <c r="G1324" t="s">
        <v>266</v>
      </c>
      <c r="H1324" t="str">
        <f t="shared" si="20"/>
        <v>2023-01</v>
      </c>
      <c r="I1324" t="str">
        <f>_xlfn.XLOOKUP(Table1[[#This Row],[Customer_ID]],Customers!$A$2:$A$30,Customers!$C$2:$C$30,"Not found")</f>
        <v>Pays full</v>
      </c>
    </row>
    <row r="1325" spans="1:9">
      <c r="A1325" s="9">
        <v>44944</v>
      </c>
      <c r="B1325" t="s">
        <v>84</v>
      </c>
      <c r="C1325" t="s">
        <v>8</v>
      </c>
      <c r="D1325" s="4">
        <v>297</v>
      </c>
      <c r="E1325" s="4"/>
      <c r="F1325">
        <v>244</v>
      </c>
      <c r="H1325" t="str">
        <f t="shared" si="20"/>
        <v>2023-01</v>
      </c>
      <c r="I1325" t="str">
        <f>_xlfn.XLOOKUP(Table1[[#This Row],[Customer_ID]],Customers!$A$2:$A$30,Customers!$C$2:$C$30,"Not found")</f>
        <v>Pays full</v>
      </c>
    </row>
    <row r="1326" spans="1:9">
      <c r="A1326" s="9">
        <v>44944</v>
      </c>
      <c r="B1326" t="s">
        <v>84</v>
      </c>
      <c r="C1326" t="s">
        <v>8</v>
      </c>
      <c r="D1326" s="4">
        <v>86</v>
      </c>
      <c r="E1326" s="4"/>
      <c r="F1326">
        <v>244</v>
      </c>
      <c r="H1326" t="str">
        <f t="shared" si="20"/>
        <v>2023-01</v>
      </c>
      <c r="I1326" t="str">
        <f>_xlfn.XLOOKUP(Table1[[#This Row],[Customer_ID]],Customers!$A$2:$A$30,Customers!$C$2:$C$30,"Not found")</f>
        <v>Pays full</v>
      </c>
    </row>
    <row r="1327" spans="1:9">
      <c r="A1327" s="9">
        <v>44948</v>
      </c>
      <c r="B1327" t="s">
        <v>84</v>
      </c>
      <c r="C1327" t="s">
        <v>8</v>
      </c>
      <c r="D1327" s="4">
        <v>169</v>
      </c>
      <c r="E1327" s="4"/>
      <c r="F1327">
        <v>244</v>
      </c>
      <c r="H1327" t="str">
        <f t="shared" si="20"/>
        <v>2023-01</v>
      </c>
      <c r="I1327" t="str">
        <f>_xlfn.XLOOKUP(Table1[[#This Row],[Customer_ID]],Customers!$A$2:$A$30,Customers!$C$2:$C$30,"Not found")</f>
        <v>Pays full</v>
      </c>
    </row>
    <row r="1328" spans="1:9">
      <c r="A1328" s="9">
        <v>44948</v>
      </c>
      <c r="B1328" t="s">
        <v>84</v>
      </c>
      <c r="C1328" t="s">
        <v>8</v>
      </c>
      <c r="D1328" s="4">
        <v>104</v>
      </c>
      <c r="E1328" s="4"/>
      <c r="F1328">
        <v>244</v>
      </c>
      <c r="H1328" t="str">
        <f t="shared" si="20"/>
        <v>2023-01</v>
      </c>
      <c r="I1328" t="str">
        <f>_xlfn.XLOOKUP(Table1[[#This Row],[Customer_ID]],Customers!$A$2:$A$30,Customers!$C$2:$C$30,"Not found")</f>
        <v>Pays full</v>
      </c>
    </row>
    <row r="1329" spans="1:9">
      <c r="A1329" s="9">
        <v>44950</v>
      </c>
      <c r="B1329" t="s">
        <v>84</v>
      </c>
      <c r="C1329" t="s">
        <v>8</v>
      </c>
      <c r="D1329" s="4">
        <v>172</v>
      </c>
      <c r="E1329" s="4"/>
      <c r="F1329">
        <v>244</v>
      </c>
      <c r="H1329" t="str">
        <f t="shared" si="20"/>
        <v>2023-01</v>
      </c>
      <c r="I1329" t="str">
        <f>_xlfn.XLOOKUP(Table1[[#This Row],[Customer_ID]],Customers!$A$2:$A$30,Customers!$C$2:$C$30,"Not found")</f>
        <v>Pays full</v>
      </c>
    </row>
    <row r="1330" spans="1:9">
      <c r="A1330" s="9">
        <v>44952</v>
      </c>
      <c r="B1330" t="s">
        <v>84</v>
      </c>
      <c r="C1330" t="s">
        <v>8</v>
      </c>
      <c r="D1330" s="4">
        <v>71</v>
      </c>
      <c r="E1330" s="4"/>
      <c r="F1330">
        <v>244</v>
      </c>
      <c r="G1330" t="s">
        <v>267</v>
      </c>
      <c r="H1330" t="str">
        <f t="shared" si="20"/>
        <v>2023-01</v>
      </c>
      <c r="I1330" t="str">
        <f>_xlfn.XLOOKUP(Table1[[#This Row],[Customer_ID]],Customers!$A$2:$A$30,Customers!$C$2:$C$30,"Not found")</f>
        <v>Pays full</v>
      </c>
    </row>
    <row r="1331" spans="1:9">
      <c r="A1331" s="9">
        <v>44952</v>
      </c>
      <c r="B1331" t="s">
        <v>84</v>
      </c>
      <c r="C1331" t="s">
        <v>8</v>
      </c>
      <c r="D1331" s="4">
        <v>495</v>
      </c>
      <c r="E1331" s="4"/>
      <c r="F1331">
        <v>244</v>
      </c>
      <c r="H1331" t="str">
        <f t="shared" si="20"/>
        <v>2023-01</v>
      </c>
      <c r="I1331" t="str">
        <f>_xlfn.XLOOKUP(Table1[[#This Row],[Customer_ID]],Customers!$A$2:$A$30,Customers!$C$2:$C$30,"Not found")</f>
        <v>Pays full</v>
      </c>
    </row>
    <row r="1332" spans="1:9">
      <c r="A1332" s="9">
        <v>44955</v>
      </c>
      <c r="B1332" t="s">
        <v>84</v>
      </c>
      <c r="C1332" t="s">
        <v>8</v>
      </c>
      <c r="D1332" s="4">
        <v>166</v>
      </c>
      <c r="E1332" s="4"/>
      <c r="F1332">
        <v>244</v>
      </c>
      <c r="H1332" t="str">
        <f t="shared" si="20"/>
        <v>2023-01</v>
      </c>
      <c r="I1332" t="str">
        <f>_xlfn.XLOOKUP(Table1[[#This Row],[Customer_ID]],Customers!$A$2:$A$30,Customers!$C$2:$C$30,"Not found")</f>
        <v>Pays full</v>
      </c>
    </row>
    <row r="1333" spans="1:9">
      <c r="A1333" s="9">
        <v>44958</v>
      </c>
      <c r="B1333" t="s">
        <v>84</v>
      </c>
      <c r="C1333" t="s">
        <v>8</v>
      </c>
      <c r="D1333" s="4">
        <v>115</v>
      </c>
      <c r="E1333" s="4"/>
      <c r="F1333">
        <v>244</v>
      </c>
      <c r="H1333" t="str">
        <f t="shared" si="20"/>
        <v>2023-02</v>
      </c>
      <c r="I1333" t="str">
        <f>_xlfn.XLOOKUP(Table1[[#This Row],[Customer_ID]],Customers!$A$2:$A$30,Customers!$C$2:$C$30,"Not found")</f>
        <v>Pays full</v>
      </c>
    </row>
    <row r="1334" spans="1:9">
      <c r="A1334" s="9">
        <v>44960</v>
      </c>
      <c r="B1334" t="s">
        <v>84</v>
      </c>
      <c r="C1334" t="s">
        <v>8</v>
      </c>
      <c r="D1334" s="4">
        <v>81</v>
      </c>
      <c r="E1334" s="4"/>
      <c r="F1334">
        <v>244</v>
      </c>
      <c r="H1334" t="str">
        <f t="shared" si="20"/>
        <v>2023-02</v>
      </c>
      <c r="I1334" t="str">
        <f>_xlfn.XLOOKUP(Table1[[#This Row],[Customer_ID]],Customers!$A$2:$A$30,Customers!$C$2:$C$30,"Not found")</f>
        <v>Pays full</v>
      </c>
    </row>
    <row r="1335" spans="1:9">
      <c r="A1335" s="9">
        <v>44960</v>
      </c>
      <c r="B1335" t="s">
        <v>84</v>
      </c>
      <c r="C1335" t="s">
        <v>22</v>
      </c>
      <c r="D1335" s="4">
        <v>-50</v>
      </c>
      <c r="E1335" s="4">
        <v>1706</v>
      </c>
      <c r="F1335">
        <v>244</v>
      </c>
      <c r="G1335" t="s">
        <v>268</v>
      </c>
      <c r="H1335" t="str">
        <f t="shared" si="20"/>
        <v>2023-02</v>
      </c>
      <c r="I1335" t="str">
        <f>_xlfn.XLOOKUP(Table1[[#This Row],[Customer_ID]],Customers!$A$2:$A$30,Customers!$C$2:$C$30,"Not found")</f>
        <v>Pays full</v>
      </c>
    </row>
    <row r="1336" spans="1:9">
      <c r="A1336" s="9"/>
      <c r="B1336" t="s">
        <v>84</v>
      </c>
      <c r="C1336" t="s">
        <v>14</v>
      </c>
      <c r="D1336" s="4">
        <v>1706</v>
      </c>
      <c r="E1336" s="4">
        <v>0</v>
      </c>
      <c r="F1336">
        <v>244</v>
      </c>
      <c r="G1336" t="s">
        <v>269</v>
      </c>
      <c r="H1336" t="str">
        <f t="shared" si="20"/>
        <v/>
      </c>
      <c r="I1336" t="str">
        <f>_xlfn.XLOOKUP(Table1[[#This Row],[Customer_ID]],Customers!$A$2:$A$30,Customers!$C$2:$C$30,"Not found")</f>
        <v>Pays full</v>
      </c>
    </row>
    <row r="1337" spans="1:9">
      <c r="A1337" s="9">
        <v>44968</v>
      </c>
      <c r="B1337" t="s">
        <v>84</v>
      </c>
      <c r="C1337" t="s">
        <v>8</v>
      </c>
      <c r="D1337" s="4">
        <v>242</v>
      </c>
      <c r="E1337" s="4"/>
      <c r="F1337">
        <v>244</v>
      </c>
      <c r="H1337" t="str">
        <f t="shared" si="20"/>
        <v>2023-02</v>
      </c>
      <c r="I1337" t="str">
        <f>_xlfn.XLOOKUP(Table1[[#This Row],[Customer_ID]],Customers!$A$2:$A$30,Customers!$C$2:$C$30,"Not found")</f>
        <v>Pays full</v>
      </c>
    </row>
    <row r="1338" spans="1:9">
      <c r="A1338" s="9">
        <v>44975</v>
      </c>
      <c r="B1338" t="s">
        <v>84</v>
      </c>
      <c r="C1338" t="s">
        <v>8</v>
      </c>
      <c r="D1338" s="4">
        <v>173</v>
      </c>
      <c r="E1338" s="4"/>
      <c r="F1338">
        <v>244</v>
      </c>
      <c r="G1338" t="s">
        <v>270</v>
      </c>
      <c r="H1338" t="str">
        <f t="shared" si="20"/>
        <v>2023-02</v>
      </c>
      <c r="I1338" t="str">
        <f>_xlfn.XLOOKUP(Table1[[#This Row],[Customer_ID]],Customers!$A$2:$A$30,Customers!$C$2:$C$30,"Not found")</f>
        <v>Pays full</v>
      </c>
    </row>
    <row r="1339" spans="1:9">
      <c r="A1339" s="9">
        <v>44976</v>
      </c>
      <c r="B1339" t="s">
        <v>84</v>
      </c>
      <c r="C1339" t="s">
        <v>8</v>
      </c>
      <c r="D1339" s="4">
        <v>45</v>
      </c>
      <c r="E1339" s="4"/>
      <c r="F1339">
        <v>244</v>
      </c>
      <c r="H1339" t="str">
        <f t="shared" si="20"/>
        <v>2023-02</v>
      </c>
      <c r="I1339" t="str">
        <f>_xlfn.XLOOKUP(Table1[[#This Row],[Customer_ID]],Customers!$A$2:$A$30,Customers!$C$2:$C$30,"Not found")</f>
        <v>Pays full</v>
      </c>
    </row>
    <row r="1340" spans="1:9">
      <c r="A1340" s="9">
        <v>44978</v>
      </c>
      <c r="B1340" t="s">
        <v>84</v>
      </c>
      <c r="C1340" t="s">
        <v>8</v>
      </c>
      <c r="D1340" s="4">
        <v>48</v>
      </c>
      <c r="E1340" s="4"/>
      <c r="F1340">
        <v>244</v>
      </c>
      <c r="H1340" t="str">
        <f t="shared" si="20"/>
        <v>2023-02</v>
      </c>
      <c r="I1340" t="str">
        <f>_xlfn.XLOOKUP(Table1[[#This Row],[Customer_ID]],Customers!$A$2:$A$30,Customers!$C$2:$C$30,"Not found")</f>
        <v>Pays full</v>
      </c>
    </row>
    <row r="1341" spans="1:9">
      <c r="A1341" s="9">
        <v>44983</v>
      </c>
      <c r="B1341" t="s">
        <v>84</v>
      </c>
      <c r="C1341" t="s">
        <v>8</v>
      </c>
      <c r="D1341" s="4">
        <v>96</v>
      </c>
      <c r="E1341" s="4"/>
      <c r="F1341">
        <v>244</v>
      </c>
      <c r="H1341" t="str">
        <f t="shared" si="20"/>
        <v>2023-02</v>
      </c>
      <c r="I1341" t="str">
        <f>_xlfn.XLOOKUP(Table1[[#This Row],[Customer_ID]],Customers!$A$2:$A$30,Customers!$C$2:$C$30,"Not found")</f>
        <v>Pays full</v>
      </c>
    </row>
    <row r="1342" spans="1:9">
      <c r="A1342" s="9">
        <v>44983</v>
      </c>
      <c r="B1342" t="s">
        <v>84</v>
      </c>
      <c r="C1342" t="s">
        <v>8</v>
      </c>
      <c r="D1342" s="4">
        <v>180</v>
      </c>
      <c r="E1342" s="4"/>
      <c r="F1342">
        <v>244</v>
      </c>
      <c r="H1342" t="str">
        <f t="shared" si="20"/>
        <v>2023-02</v>
      </c>
      <c r="I1342" t="str">
        <f>_xlfn.XLOOKUP(Table1[[#This Row],[Customer_ID]],Customers!$A$2:$A$30,Customers!$C$2:$C$30,"Not found")</f>
        <v>Pays full</v>
      </c>
    </row>
    <row r="1343" spans="1:9">
      <c r="A1343" s="9">
        <v>44990</v>
      </c>
      <c r="B1343" t="s">
        <v>84</v>
      </c>
      <c r="C1343" t="s">
        <v>8</v>
      </c>
      <c r="D1343" s="4">
        <v>198</v>
      </c>
      <c r="E1343" s="4"/>
      <c r="F1343">
        <v>244</v>
      </c>
      <c r="H1343" t="str">
        <f t="shared" ref="H1343:H1406" si="21">IF(A1343="","",TEXT(A1343,"yyyy-mm"))</f>
        <v>2023-03</v>
      </c>
      <c r="I1343" t="str">
        <f>_xlfn.XLOOKUP(Table1[[#This Row],[Customer_ID]],Customers!$A$2:$A$30,Customers!$C$2:$C$30,"Not found")</f>
        <v>Pays full</v>
      </c>
    </row>
    <row r="1344" spans="1:9">
      <c r="A1344" s="9">
        <v>44990</v>
      </c>
      <c r="B1344" t="s">
        <v>84</v>
      </c>
      <c r="C1344" t="s">
        <v>8</v>
      </c>
      <c r="D1344" s="4">
        <v>10</v>
      </c>
      <c r="E1344" s="4"/>
      <c r="F1344">
        <v>244</v>
      </c>
      <c r="G1344" t="s">
        <v>117</v>
      </c>
      <c r="H1344" t="str">
        <f t="shared" si="21"/>
        <v>2023-03</v>
      </c>
      <c r="I1344" t="str">
        <f>_xlfn.XLOOKUP(Table1[[#This Row],[Customer_ID]],Customers!$A$2:$A$30,Customers!$C$2:$C$30,"Not found")</f>
        <v>Pays full</v>
      </c>
    </row>
    <row r="1345" spans="1:9">
      <c r="A1345" s="9">
        <v>44990</v>
      </c>
      <c r="B1345" t="s">
        <v>84</v>
      </c>
      <c r="C1345" t="s">
        <v>8</v>
      </c>
      <c r="D1345" s="4">
        <v>120</v>
      </c>
      <c r="E1345" s="4"/>
      <c r="F1345">
        <v>244</v>
      </c>
      <c r="H1345" t="str">
        <f t="shared" si="21"/>
        <v>2023-03</v>
      </c>
      <c r="I1345" t="str">
        <f>_xlfn.XLOOKUP(Table1[[#This Row],[Customer_ID]],Customers!$A$2:$A$30,Customers!$C$2:$C$30,"Not found")</f>
        <v>Pays full</v>
      </c>
    </row>
    <row r="1346" spans="1:9">
      <c r="A1346" s="9">
        <v>44990</v>
      </c>
      <c r="B1346" t="s">
        <v>84</v>
      </c>
      <c r="C1346" t="s">
        <v>8</v>
      </c>
      <c r="D1346" s="4">
        <v>20</v>
      </c>
      <c r="E1346" s="4"/>
      <c r="F1346">
        <v>244</v>
      </c>
      <c r="H1346" t="str">
        <f t="shared" si="21"/>
        <v>2023-03</v>
      </c>
      <c r="I1346" t="str">
        <f>_xlfn.XLOOKUP(Table1[[#This Row],[Customer_ID]],Customers!$A$2:$A$30,Customers!$C$2:$C$30,"Not found")</f>
        <v>Pays full</v>
      </c>
    </row>
    <row r="1347" spans="1:9">
      <c r="A1347" s="9">
        <v>44993</v>
      </c>
      <c r="B1347" t="s">
        <v>84</v>
      </c>
      <c r="C1347" t="s">
        <v>8</v>
      </c>
      <c r="D1347" s="4">
        <v>34</v>
      </c>
      <c r="E1347" s="4">
        <v>1166</v>
      </c>
      <c r="F1347">
        <v>244</v>
      </c>
      <c r="G1347" t="s">
        <v>271</v>
      </c>
      <c r="H1347" t="str">
        <f t="shared" si="21"/>
        <v>2023-03</v>
      </c>
      <c r="I1347" t="str">
        <f>_xlfn.XLOOKUP(Table1[[#This Row],[Customer_ID]],Customers!$A$2:$A$30,Customers!$C$2:$C$30,"Not found")</f>
        <v>Pays full</v>
      </c>
    </row>
    <row r="1348" spans="1:9">
      <c r="A1348" s="9">
        <v>44996</v>
      </c>
      <c r="B1348" t="s">
        <v>84</v>
      </c>
      <c r="C1348" t="s">
        <v>14</v>
      </c>
      <c r="D1348" s="4">
        <v>1166</v>
      </c>
      <c r="E1348" s="4">
        <v>0</v>
      </c>
      <c r="F1348">
        <v>244</v>
      </c>
      <c r="G1348" t="s">
        <v>272</v>
      </c>
      <c r="H1348" t="str">
        <f t="shared" si="21"/>
        <v>2023-03</v>
      </c>
      <c r="I1348" t="str">
        <f>_xlfn.XLOOKUP(Table1[[#This Row],[Customer_ID]],Customers!$A$2:$A$30,Customers!$C$2:$C$30,"Not found")</f>
        <v>Pays full</v>
      </c>
    </row>
    <row r="1349" spans="1:9">
      <c r="A1349" s="9">
        <v>44996</v>
      </c>
      <c r="B1349" t="s">
        <v>84</v>
      </c>
      <c r="C1349" t="s">
        <v>8</v>
      </c>
      <c r="D1349" s="4">
        <v>127</v>
      </c>
      <c r="E1349" s="4"/>
      <c r="F1349">
        <v>245</v>
      </c>
      <c r="G1349" t="s">
        <v>273</v>
      </c>
      <c r="H1349" t="str">
        <f t="shared" si="21"/>
        <v>2023-03</v>
      </c>
      <c r="I1349" t="str">
        <f>_xlfn.XLOOKUP(Table1[[#This Row],[Customer_ID]],Customers!$A$2:$A$30,Customers!$C$2:$C$30,"Not found")</f>
        <v>Pays full</v>
      </c>
    </row>
    <row r="1350" spans="1:9">
      <c r="A1350" s="9">
        <v>44998</v>
      </c>
      <c r="B1350" t="s">
        <v>84</v>
      </c>
      <c r="C1350" t="s">
        <v>8</v>
      </c>
      <c r="D1350" s="4">
        <v>73</v>
      </c>
      <c r="E1350" s="4"/>
      <c r="F1350">
        <v>245</v>
      </c>
      <c r="H1350" t="str">
        <f t="shared" si="21"/>
        <v>2023-03</v>
      </c>
      <c r="I1350" t="str">
        <f>_xlfn.XLOOKUP(Table1[[#This Row],[Customer_ID]],Customers!$A$2:$A$30,Customers!$C$2:$C$30,"Not found")</f>
        <v>Pays full</v>
      </c>
    </row>
    <row r="1351" spans="1:9">
      <c r="A1351" s="9">
        <v>45004</v>
      </c>
      <c r="B1351" t="s">
        <v>84</v>
      </c>
      <c r="C1351" t="s">
        <v>8</v>
      </c>
      <c r="D1351" s="4">
        <v>143</v>
      </c>
      <c r="E1351" s="4"/>
      <c r="F1351">
        <v>245</v>
      </c>
      <c r="H1351" t="str">
        <f t="shared" si="21"/>
        <v>2023-03</v>
      </c>
      <c r="I1351" t="str">
        <f>_xlfn.XLOOKUP(Table1[[#This Row],[Customer_ID]],Customers!$A$2:$A$30,Customers!$C$2:$C$30,"Not found")</f>
        <v>Pays full</v>
      </c>
    </row>
    <row r="1352" spans="1:9">
      <c r="A1352" s="9">
        <v>45005</v>
      </c>
      <c r="B1352" t="s">
        <v>84</v>
      </c>
      <c r="C1352" t="s">
        <v>8</v>
      </c>
      <c r="D1352" s="4">
        <v>67</v>
      </c>
      <c r="E1352" s="4"/>
      <c r="F1352">
        <v>245</v>
      </c>
      <c r="H1352" t="str">
        <f t="shared" si="21"/>
        <v>2023-03</v>
      </c>
      <c r="I1352" t="str">
        <f>_xlfn.XLOOKUP(Table1[[#This Row],[Customer_ID]],Customers!$A$2:$A$30,Customers!$C$2:$C$30,"Not found")</f>
        <v>Pays full</v>
      </c>
    </row>
    <row r="1353" spans="1:9">
      <c r="A1353" s="9">
        <v>45011</v>
      </c>
      <c r="B1353" t="s">
        <v>84</v>
      </c>
      <c r="C1353" t="s">
        <v>8</v>
      </c>
      <c r="D1353" s="4">
        <v>55</v>
      </c>
      <c r="E1353" s="4"/>
      <c r="F1353">
        <v>245</v>
      </c>
      <c r="H1353" t="str">
        <f t="shared" si="21"/>
        <v>2023-03</v>
      </c>
      <c r="I1353" t="str">
        <f>_xlfn.XLOOKUP(Table1[[#This Row],[Customer_ID]],Customers!$A$2:$A$30,Customers!$C$2:$C$30,"Not found")</f>
        <v>Pays full</v>
      </c>
    </row>
    <row r="1354" spans="1:9">
      <c r="A1354" s="9">
        <v>45012</v>
      </c>
      <c r="B1354" t="s">
        <v>84</v>
      </c>
      <c r="C1354" t="s">
        <v>8</v>
      </c>
      <c r="D1354" s="4">
        <v>201</v>
      </c>
      <c r="E1354" s="4"/>
      <c r="F1354">
        <v>245</v>
      </c>
      <c r="H1354" t="str">
        <f t="shared" si="21"/>
        <v>2023-03</v>
      </c>
      <c r="I1354" t="str">
        <f>_xlfn.XLOOKUP(Table1[[#This Row],[Customer_ID]],Customers!$A$2:$A$30,Customers!$C$2:$C$30,"Not found")</f>
        <v>Pays full</v>
      </c>
    </row>
    <row r="1355" spans="1:9">
      <c r="A1355" s="9">
        <v>45013</v>
      </c>
      <c r="B1355" t="s">
        <v>84</v>
      </c>
      <c r="C1355" t="s">
        <v>8</v>
      </c>
      <c r="D1355" s="4">
        <v>29</v>
      </c>
      <c r="E1355" s="4"/>
      <c r="F1355">
        <v>245</v>
      </c>
      <c r="H1355" t="str">
        <f t="shared" si="21"/>
        <v>2023-03</v>
      </c>
      <c r="I1355" t="str">
        <f>_xlfn.XLOOKUP(Table1[[#This Row],[Customer_ID]],Customers!$A$2:$A$30,Customers!$C$2:$C$30,"Not found")</f>
        <v>Pays full</v>
      </c>
    </row>
    <row r="1356" spans="1:9">
      <c r="A1356" s="9">
        <v>45016</v>
      </c>
      <c r="B1356" t="s">
        <v>84</v>
      </c>
      <c r="C1356" t="s">
        <v>8</v>
      </c>
      <c r="D1356" s="4">
        <v>116</v>
      </c>
      <c r="E1356" s="4"/>
      <c r="F1356">
        <v>245</v>
      </c>
      <c r="H1356" t="str">
        <f t="shared" si="21"/>
        <v>2023-03</v>
      </c>
      <c r="I1356" t="str">
        <f>_xlfn.XLOOKUP(Table1[[#This Row],[Customer_ID]],Customers!$A$2:$A$30,Customers!$C$2:$C$30,"Not found")</f>
        <v>Pays full</v>
      </c>
    </row>
    <row r="1357" spans="1:9">
      <c r="A1357" s="9">
        <v>45018</v>
      </c>
      <c r="B1357" t="s">
        <v>84</v>
      </c>
      <c r="C1357" t="s">
        <v>8</v>
      </c>
      <c r="D1357" s="4">
        <v>270</v>
      </c>
      <c r="E1357" s="4"/>
      <c r="F1357">
        <v>245</v>
      </c>
      <c r="G1357" t="s">
        <v>274</v>
      </c>
      <c r="H1357" t="str">
        <f t="shared" si="21"/>
        <v>2023-04</v>
      </c>
      <c r="I1357" t="str">
        <f>_xlfn.XLOOKUP(Table1[[#This Row],[Customer_ID]],Customers!$A$2:$A$30,Customers!$C$2:$C$30,"Not found")</f>
        <v>Pays full</v>
      </c>
    </row>
    <row r="1358" spans="1:9">
      <c r="A1358" s="9">
        <v>45020</v>
      </c>
      <c r="B1358" t="s">
        <v>84</v>
      </c>
      <c r="C1358" t="s">
        <v>8</v>
      </c>
      <c r="D1358" s="4">
        <v>121</v>
      </c>
      <c r="E1358" s="4"/>
      <c r="F1358">
        <v>245</v>
      </c>
      <c r="H1358" t="str">
        <f t="shared" si="21"/>
        <v>2023-04</v>
      </c>
      <c r="I1358" t="str">
        <f>_xlfn.XLOOKUP(Table1[[#This Row],[Customer_ID]],Customers!$A$2:$A$30,Customers!$C$2:$C$30,"Not found")</f>
        <v>Pays full</v>
      </c>
    </row>
    <row r="1359" spans="1:9">
      <c r="A1359" s="9">
        <v>45020</v>
      </c>
      <c r="B1359" t="s">
        <v>84</v>
      </c>
      <c r="C1359" t="s">
        <v>8</v>
      </c>
      <c r="D1359" s="4">
        <v>44</v>
      </c>
      <c r="E1359" s="4"/>
      <c r="F1359">
        <v>245</v>
      </c>
      <c r="H1359" t="str">
        <f t="shared" si="21"/>
        <v>2023-04</v>
      </c>
      <c r="I1359" t="str">
        <f>_xlfn.XLOOKUP(Table1[[#This Row],[Customer_ID]],Customers!$A$2:$A$30,Customers!$C$2:$C$30,"Not found")</f>
        <v>Pays full</v>
      </c>
    </row>
    <row r="1360" spans="1:9">
      <c r="A1360" s="10">
        <v>45020</v>
      </c>
      <c r="B1360" s="7" t="s">
        <v>84</v>
      </c>
      <c r="C1360" s="7" t="s">
        <v>22</v>
      </c>
      <c r="D1360" s="8">
        <v>105</v>
      </c>
      <c r="E1360" s="8">
        <v>1351</v>
      </c>
      <c r="F1360" s="7">
        <v>245</v>
      </c>
      <c r="G1360" s="7" t="s">
        <v>275</v>
      </c>
      <c r="H1360" t="str">
        <f t="shared" si="21"/>
        <v>2023-04</v>
      </c>
      <c r="I1360" t="str">
        <f>_xlfn.XLOOKUP(Table1[[#This Row],[Customer_ID]],Customers!$A$2:$A$30,Customers!$C$2:$C$30,"Not found")</f>
        <v>Pays full</v>
      </c>
    </row>
    <row r="1361" spans="1:9">
      <c r="A1361" s="9">
        <v>45021</v>
      </c>
      <c r="B1361" t="s">
        <v>84</v>
      </c>
      <c r="C1361" t="s">
        <v>8</v>
      </c>
      <c r="D1361" s="4">
        <v>32</v>
      </c>
      <c r="E1361" s="4"/>
      <c r="F1361">
        <v>245</v>
      </c>
      <c r="H1361" t="str">
        <f t="shared" si="21"/>
        <v>2023-04</v>
      </c>
      <c r="I1361" t="str">
        <f>_xlfn.XLOOKUP(Table1[[#This Row],[Customer_ID]],Customers!$A$2:$A$30,Customers!$C$2:$C$30,"Not found")</f>
        <v>Pays full</v>
      </c>
    </row>
    <row r="1362" spans="1:9">
      <c r="A1362" s="9">
        <v>45022</v>
      </c>
      <c r="B1362" t="s">
        <v>84</v>
      </c>
      <c r="C1362" t="s">
        <v>8</v>
      </c>
      <c r="D1362" s="4">
        <v>24</v>
      </c>
      <c r="E1362" s="4"/>
      <c r="F1362">
        <v>245</v>
      </c>
      <c r="H1362" t="str">
        <f t="shared" si="21"/>
        <v>2023-04</v>
      </c>
      <c r="I1362" t="str">
        <f>_xlfn.XLOOKUP(Table1[[#This Row],[Customer_ID]],Customers!$A$2:$A$30,Customers!$C$2:$C$30,"Not found")</f>
        <v>Pays full</v>
      </c>
    </row>
    <row r="1363" spans="1:9">
      <c r="A1363" s="9">
        <v>45024</v>
      </c>
      <c r="B1363" t="s">
        <v>84</v>
      </c>
      <c r="C1363" t="s">
        <v>8</v>
      </c>
      <c r="D1363" s="4">
        <v>80</v>
      </c>
      <c r="E1363" s="4"/>
      <c r="F1363">
        <v>245</v>
      </c>
      <c r="H1363" t="str">
        <f t="shared" si="21"/>
        <v>2023-04</v>
      </c>
      <c r="I1363" t="str">
        <f>_xlfn.XLOOKUP(Table1[[#This Row],[Customer_ID]],Customers!$A$2:$A$30,Customers!$C$2:$C$30,"Not found")</f>
        <v>Pays full</v>
      </c>
    </row>
    <row r="1364" spans="1:9">
      <c r="A1364" s="9">
        <v>45025</v>
      </c>
      <c r="B1364" t="s">
        <v>84</v>
      </c>
      <c r="C1364" t="s">
        <v>8</v>
      </c>
      <c r="D1364" s="4">
        <v>211</v>
      </c>
      <c r="E1364" s="4"/>
      <c r="F1364">
        <v>245</v>
      </c>
      <c r="H1364" t="str">
        <f t="shared" si="21"/>
        <v>2023-04</v>
      </c>
      <c r="I1364" t="str">
        <f>_xlfn.XLOOKUP(Table1[[#This Row],[Customer_ID]],Customers!$A$2:$A$30,Customers!$C$2:$C$30,"Not found")</f>
        <v>Pays full</v>
      </c>
    </row>
    <row r="1365" spans="1:9">
      <c r="A1365" s="9">
        <v>45025</v>
      </c>
      <c r="B1365" t="s">
        <v>84</v>
      </c>
      <c r="C1365" t="s">
        <v>8</v>
      </c>
      <c r="D1365" s="4">
        <v>148</v>
      </c>
      <c r="E1365" s="4"/>
      <c r="F1365">
        <v>245</v>
      </c>
      <c r="H1365" t="str">
        <f t="shared" si="21"/>
        <v>2023-04</v>
      </c>
      <c r="I1365" t="str">
        <f>_xlfn.XLOOKUP(Table1[[#This Row],[Customer_ID]],Customers!$A$2:$A$30,Customers!$C$2:$C$30,"Not found")</f>
        <v>Pays full</v>
      </c>
    </row>
    <row r="1366" spans="1:9">
      <c r="A1366" s="9">
        <v>45025</v>
      </c>
      <c r="B1366" t="s">
        <v>84</v>
      </c>
      <c r="C1366" t="s">
        <v>8</v>
      </c>
      <c r="D1366" s="4">
        <v>50</v>
      </c>
      <c r="E1366" s="4">
        <v>1896</v>
      </c>
      <c r="F1366">
        <v>245</v>
      </c>
      <c r="G1366" t="s">
        <v>276</v>
      </c>
      <c r="H1366" t="str">
        <f t="shared" si="21"/>
        <v>2023-04</v>
      </c>
      <c r="I1366" t="str">
        <f>_xlfn.XLOOKUP(Table1[[#This Row],[Customer_ID]],Customers!$A$2:$A$30,Customers!$C$2:$C$30,"Not found")</f>
        <v>Pays full</v>
      </c>
    </row>
    <row r="1367" spans="1:9">
      <c r="A1367" s="9"/>
      <c r="B1367" t="s">
        <v>84</v>
      </c>
      <c r="C1367" t="s">
        <v>14</v>
      </c>
      <c r="D1367" s="4">
        <v>1896</v>
      </c>
      <c r="E1367" s="4">
        <v>0</v>
      </c>
      <c r="F1367">
        <v>245</v>
      </c>
      <c r="G1367" t="s">
        <v>277</v>
      </c>
      <c r="H1367" t="str">
        <f t="shared" si="21"/>
        <v/>
      </c>
      <c r="I1367" t="str">
        <f>_xlfn.XLOOKUP(Table1[[#This Row],[Customer_ID]],Customers!$A$2:$A$30,Customers!$C$2:$C$30,"Not found")</f>
        <v>Pays full</v>
      </c>
    </row>
    <row r="1368" spans="1:9">
      <c r="A1368" s="9">
        <v>45361</v>
      </c>
      <c r="B1368" t="s">
        <v>85</v>
      </c>
      <c r="C1368" t="s">
        <v>28</v>
      </c>
      <c r="D1368" s="4">
        <v>1705</v>
      </c>
      <c r="E1368" s="4">
        <v>1705</v>
      </c>
      <c r="F1368">
        <v>238</v>
      </c>
      <c r="G1368" t="s">
        <v>278</v>
      </c>
      <c r="H1368" t="str">
        <f t="shared" si="21"/>
        <v>2024-03</v>
      </c>
      <c r="I1368" t="str">
        <f>_xlfn.XLOOKUP(Table1[[#This Row],[Customer_ID]],Customers!$A$2:$A$30,Customers!$C$2:$C$30,"Not found")</f>
        <v>Carries forward</v>
      </c>
    </row>
    <row r="1369" spans="1:9">
      <c r="A1369" s="9"/>
      <c r="B1369" t="s">
        <v>85</v>
      </c>
      <c r="C1369" t="s">
        <v>14</v>
      </c>
      <c r="D1369" s="4">
        <v>1000</v>
      </c>
      <c r="E1369" s="4">
        <v>705</v>
      </c>
      <c r="F1369">
        <v>238</v>
      </c>
      <c r="G1369" t="s">
        <v>279</v>
      </c>
      <c r="H1369" t="str">
        <f t="shared" si="21"/>
        <v/>
      </c>
      <c r="I1369" t="str">
        <f>_xlfn.XLOOKUP(Table1[[#This Row],[Customer_ID]],Customers!$A$2:$A$30,Customers!$C$2:$C$30,"Not found")</f>
        <v>Carries forward</v>
      </c>
    </row>
    <row r="1370" spans="1:9">
      <c r="A1370" s="9">
        <v>45361</v>
      </c>
      <c r="B1370" t="s">
        <v>85</v>
      </c>
      <c r="C1370" t="s">
        <v>8</v>
      </c>
      <c r="D1370" s="4">
        <v>20</v>
      </c>
      <c r="E1370" s="4"/>
      <c r="F1370">
        <v>238</v>
      </c>
      <c r="H1370" t="str">
        <f t="shared" si="21"/>
        <v>2024-03</v>
      </c>
      <c r="I1370" t="str">
        <f>_xlfn.XLOOKUP(Table1[[#This Row],[Customer_ID]],Customers!$A$2:$A$30,Customers!$C$2:$C$30,"Not found")</f>
        <v>Carries forward</v>
      </c>
    </row>
    <row r="1371" spans="1:9">
      <c r="A1371" s="9">
        <v>45362</v>
      </c>
      <c r="B1371" t="s">
        <v>85</v>
      </c>
      <c r="C1371" t="s">
        <v>8</v>
      </c>
      <c r="D1371" s="4">
        <v>30</v>
      </c>
      <c r="E1371" s="4"/>
      <c r="F1371">
        <v>238</v>
      </c>
      <c r="H1371" t="str">
        <f t="shared" si="21"/>
        <v>2024-03</v>
      </c>
      <c r="I1371" t="str">
        <f>_xlfn.XLOOKUP(Table1[[#This Row],[Customer_ID]],Customers!$A$2:$A$30,Customers!$C$2:$C$30,"Not found")</f>
        <v>Carries forward</v>
      </c>
    </row>
    <row r="1372" spans="1:9">
      <c r="A1372" s="9">
        <v>45363</v>
      </c>
      <c r="B1372" t="s">
        <v>85</v>
      </c>
      <c r="C1372" t="s">
        <v>8</v>
      </c>
      <c r="D1372" s="4">
        <v>30</v>
      </c>
      <c r="E1372" s="4">
        <v>785</v>
      </c>
      <c r="F1372">
        <v>238</v>
      </c>
      <c r="G1372" t="s">
        <v>280</v>
      </c>
      <c r="H1372" t="str">
        <f t="shared" si="21"/>
        <v>2024-03</v>
      </c>
      <c r="I1372" t="str">
        <f>_xlfn.XLOOKUP(Table1[[#This Row],[Customer_ID]],Customers!$A$2:$A$30,Customers!$C$2:$C$30,"Not found")</f>
        <v>Carries forward</v>
      </c>
    </row>
    <row r="1373" spans="1:9">
      <c r="A1373" s="9">
        <v>45393</v>
      </c>
      <c r="B1373" t="s">
        <v>85</v>
      </c>
      <c r="C1373" t="s">
        <v>8</v>
      </c>
      <c r="D1373" s="4">
        <v>10</v>
      </c>
      <c r="E1373" s="4"/>
      <c r="F1373">
        <v>238</v>
      </c>
      <c r="H1373" t="str">
        <f t="shared" si="21"/>
        <v>2024-04</v>
      </c>
      <c r="I1373" t="str">
        <f>_xlfn.XLOOKUP(Table1[[#This Row],[Customer_ID]],Customers!$A$2:$A$30,Customers!$C$2:$C$30,"Not found")</f>
        <v>Carries forward</v>
      </c>
    </row>
    <row r="1374" spans="1:9">
      <c r="A1374" s="9">
        <v>45394</v>
      </c>
      <c r="B1374" t="s">
        <v>85</v>
      </c>
      <c r="C1374" t="s">
        <v>8</v>
      </c>
      <c r="D1374" s="4">
        <v>20</v>
      </c>
      <c r="E1374" s="4"/>
      <c r="F1374">
        <v>238</v>
      </c>
      <c r="H1374" t="str">
        <f t="shared" si="21"/>
        <v>2024-04</v>
      </c>
      <c r="I1374" t="str">
        <f>_xlfn.XLOOKUP(Table1[[#This Row],[Customer_ID]],Customers!$A$2:$A$30,Customers!$C$2:$C$30,"Not found")</f>
        <v>Carries forward</v>
      </c>
    </row>
    <row r="1375" spans="1:9">
      <c r="A1375" s="9">
        <v>45396</v>
      </c>
      <c r="B1375" t="s">
        <v>85</v>
      </c>
      <c r="C1375" t="s">
        <v>8</v>
      </c>
      <c r="D1375" s="4">
        <v>10</v>
      </c>
      <c r="E1375" s="4"/>
      <c r="F1375">
        <v>238</v>
      </c>
      <c r="G1375" t="s">
        <v>281</v>
      </c>
      <c r="H1375" t="str">
        <f t="shared" si="21"/>
        <v>2024-04</v>
      </c>
      <c r="I1375" t="str">
        <f>_xlfn.XLOOKUP(Table1[[#This Row],[Customer_ID]],Customers!$A$2:$A$30,Customers!$C$2:$C$30,"Not found")</f>
        <v>Carries forward</v>
      </c>
    </row>
    <row r="1376" spans="1:9">
      <c r="A1376" s="9">
        <v>45399</v>
      </c>
      <c r="B1376" t="s">
        <v>85</v>
      </c>
      <c r="C1376" t="s">
        <v>8</v>
      </c>
      <c r="D1376" s="4">
        <v>22</v>
      </c>
      <c r="E1376" s="4"/>
      <c r="F1376">
        <v>238</v>
      </c>
      <c r="H1376" t="str">
        <f t="shared" si="21"/>
        <v>2024-04</v>
      </c>
      <c r="I1376" t="str">
        <f>_xlfn.XLOOKUP(Table1[[#This Row],[Customer_ID]],Customers!$A$2:$A$30,Customers!$C$2:$C$30,"Not found")</f>
        <v>Carries forward</v>
      </c>
    </row>
    <row r="1377" spans="1:9">
      <c r="A1377" s="9">
        <v>45400</v>
      </c>
      <c r="B1377" t="s">
        <v>85</v>
      </c>
      <c r="C1377" t="s">
        <v>8</v>
      </c>
      <c r="D1377" s="4">
        <v>10</v>
      </c>
      <c r="E1377" s="4"/>
      <c r="F1377">
        <v>238</v>
      </c>
      <c r="H1377" t="str">
        <f t="shared" si="21"/>
        <v>2024-04</v>
      </c>
      <c r="I1377" t="str">
        <f>_xlfn.XLOOKUP(Table1[[#This Row],[Customer_ID]],Customers!$A$2:$A$30,Customers!$C$2:$C$30,"Not found")</f>
        <v>Carries forward</v>
      </c>
    </row>
    <row r="1378" spans="1:9">
      <c r="A1378" s="9">
        <v>45402</v>
      </c>
      <c r="B1378" t="s">
        <v>85</v>
      </c>
      <c r="C1378" t="s">
        <v>8</v>
      </c>
      <c r="D1378" s="4">
        <v>27</v>
      </c>
      <c r="E1378" s="4"/>
      <c r="F1378">
        <v>238</v>
      </c>
      <c r="H1378" t="str">
        <f t="shared" si="21"/>
        <v>2024-04</v>
      </c>
      <c r="I1378" t="str">
        <f>_xlfn.XLOOKUP(Table1[[#This Row],[Customer_ID]],Customers!$A$2:$A$30,Customers!$C$2:$C$30,"Not found")</f>
        <v>Carries forward</v>
      </c>
    </row>
    <row r="1379" spans="1:9">
      <c r="A1379" s="9">
        <v>45403</v>
      </c>
      <c r="B1379" t="s">
        <v>85</v>
      </c>
      <c r="C1379" t="s">
        <v>8</v>
      </c>
      <c r="D1379" s="4">
        <v>20</v>
      </c>
      <c r="E1379" s="4"/>
      <c r="F1379">
        <v>238</v>
      </c>
      <c r="H1379" t="str">
        <f t="shared" si="21"/>
        <v>2024-04</v>
      </c>
      <c r="I1379" t="str">
        <f>_xlfn.XLOOKUP(Table1[[#This Row],[Customer_ID]],Customers!$A$2:$A$30,Customers!$C$2:$C$30,"Not found")</f>
        <v>Carries forward</v>
      </c>
    </row>
    <row r="1380" spans="1:9">
      <c r="A1380" s="9">
        <v>45404</v>
      </c>
      <c r="B1380" t="s">
        <v>85</v>
      </c>
      <c r="C1380" t="s">
        <v>8</v>
      </c>
      <c r="D1380" s="4">
        <v>20</v>
      </c>
      <c r="E1380" s="4"/>
      <c r="F1380">
        <v>238</v>
      </c>
      <c r="H1380" t="str">
        <f t="shared" si="21"/>
        <v>2024-04</v>
      </c>
      <c r="I1380" t="str">
        <f>_xlfn.XLOOKUP(Table1[[#This Row],[Customer_ID]],Customers!$A$2:$A$30,Customers!$C$2:$C$30,"Not found")</f>
        <v>Carries forward</v>
      </c>
    </row>
    <row r="1381" spans="1:9">
      <c r="A1381" s="9">
        <v>45405</v>
      </c>
      <c r="B1381" t="s">
        <v>85</v>
      </c>
      <c r="C1381" t="s">
        <v>8</v>
      </c>
      <c r="D1381" s="4">
        <v>20</v>
      </c>
      <c r="E1381" s="4"/>
      <c r="F1381">
        <v>238</v>
      </c>
      <c r="H1381" t="str">
        <f t="shared" si="21"/>
        <v>2024-04</v>
      </c>
      <c r="I1381" t="str">
        <f>_xlfn.XLOOKUP(Table1[[#This Row],[Customer_ID]],Customers!$A$2:$A$30,Customers!$C$2:$C$30,"Not found")</f>
        <v>Carries forward</v>
      </c>
    </row>
    <row r="1382" spans="1:9">
      <c r="A1382" s="9">
        <v>45406</v>
      </c>
      <c r="B1382" t="s">
        <v>85</v>
      </c>
      <c r="C1382" t="s">
        <v>8</v>
      </c>
      <c r="D1382" s="4">
        <v>20</v>
      </c>
      <c r="E1382" s="4"/>
      <c r="F1382">
        <v>238</v>
      </c>
      <c r="H1382" t="str">
        <f t="shared" si="21"/>
        <v>2024-04</v>
      </c>
      <c r="I1382" t="str">
        <f>_xlfn.XLOOKUP(Table1[[#This Row],[Customer_ID]],Customers!$A$2:$A$30,Customers!$C$2:$C$30,"Not found")</f>
        <v>Carries forward</v>
      </c>
    </row>
    <row r="1383" spans="1:9">
      <c r="A1383" s="9">
        <v>45410</v>
      </c>
      <c r="B1383" t="s">
        <v>85</v>
      </c>
      <c r="C1383" t="s">
        <v>8</v>
      </c>
      <c r="D1383" s="4">
        <v>20</v>
      </c>
      <c r="E1383" s="4"/>
      <c r="F1383">
        <v>238</v>
      </c>
      <c r="H1383" t="str">
        <f t="shared" si="21"/>
        <v>2024-04</v>
      </c>
      <c r="I1383" t="str">
        <f>_xlfn.XLOOKUP(Table1[[#This Row],[Customer_ID]],Customers!$A$2:$A$30,Customers!$C$2:$C$30,"Not found")</f>
        <v>Carries forward</v>
      </c>
    </row>
    <row r="1384" spans="1:9">
      <c r="A1384" s="9">
        <v>45412</v>
      </c>
      <c r="B1384" t="s">
        <v>85</v>
      </c>
      <c r="C1384" t="s">
        <v>8</v>
      </c>
      <c r="D1384" s="4">
        <v>10</v>
      </c>
      <c r="E1384" s="4"/>
      <c r="F1384">
        <v>238</v>
      </c>
      <c r="H1384" t="str">
        <f t="shared" si="21"/>
        <v>2024-04</v>
      </c>
      <c r="I1384" t="str">
        <f>_xlfn.XLOOKUP(Table1[[#This Row],[Customer_ID]],Customers!$A$2:$A$30,Customers!$C$2:$C$30,"Not found")</f>
        <v>Carries forward</v>
      </c>
    </row>
    <row r="1385" spans="1:9">
      <c r="A1385" s="9">
        <v>45413</v>
      </c>
      <c r="B1385" t="s">
        <v>85</v>
      </c>
      <c r="C1385" t="s">
        <v>8</v>
      </c>
      <c r="D1385" s="4">
        <v>44</v>
      </c>
      <c r="E1385" s="4"/>
      <c r="F1385">
        <v>238</v>
      </c>
      <c r="H1385" t="str">
        <f t="shared" si="21"/>
        <v>2024-05</v>
      </c>
      <c r="I1385" t="str">
        <f>_xlfn.XLOOKUP(Table1[[#This Row],[Customer_ID]],Customers!$A$2:$A$30,Customers!$C$2:$C$30,"Not found")</f>
        <v>Carries forward</v>
      </c>
    </row>
    <row r="1386" spans="1:9">
      <c r="A1386" s="9">
        <v>45414</v>
      </c>
      <c r="B1386" t="s">
        <v>85</v>
      </c>
      <c r="C1386" t="s">
        <v>8</v>
      </c>
      <c r="D1386" s="4">
        <v>20</v>
      </c>
      <c r="E1386" s="4"/>
      <c r="F1386">
        <v>238</v>
      </c>
      <c r="H1386" t="str">
        <f t="shared" si="21"/>
        <v>2024-05</v>
      </c>
      <c r="I1386" t="str">
        <f>_xlfn.XLOOKUP(Table1[[#This Row],[Customer_ID]],Customers!$A$2:$A$30,Customers!$C$2:$C$30,"Not found")</f>
        <v>Carries forward</v>
      </c>
    </row>
    <row r="1387" spans="1:9">
      <c r="A1387" s="9">
        <v>45415</v>
      </c>
      <c r="B1387" t="s">
        <v>85</v>
      </c>
      <c r="C1387" t="s">
        <v>8</v>
      </c>
      <c r="D1387" s="4">
        <v>42</v>
      </c>
      <c r="E1387" s="4"/>
      <c r="F1387">
        <v>238</v>
      </c>
      <c r="H1387" t="str">
        <f t="shared" si="21"/>
        <v>2024-05</v>
      </c>
      <c r="I1387" t="str">
        <f>_xlfn.XLOOKUP(Table1[[#This Row],[Customer_ID]],Customers!$A$2:$A$30,Customers!$C$2:$C$30,"Not found")</f>
        <v>Carries forward</v>
      </c>
    </row>
    <row r="1388" spans="1:9">
      <c r="A1388" s="9">
        <v>45416</v>
      </c>
      <c r="B1388" t="s">
        <v>85</v>
      </c>
      <c r="C1388" t="s">
        <v>8</v>
      </c>
      <c r="D1388" s="4">
        <v>20</v>
      </c>
      <c r="E1388" s="4"/>
      <c r="F1388">
        <v>238</v>
      </c>
      <c r="H1388" t="str">
        <f t="shared" si="21"/>
        <v>2024-05</v>
      </c>
      <c r="I1388" t="str">
        <f>_xlfn.XLOOKUP(Table1[[#This Row],[Customer_ID]],Customers!$A$2:$A$30,Customers!$C$2:$C$30,"Not found")</f>
        <v>Carries forward</v>
      </c>
    </row>
    <row r="1389" spans="1:9">
      <c r="A1389" s="9">
        <v>45416</v>
      </c>
      <c r="B1389" t="s">
        <v>85</v>
      </c>
      <c r="C1389" t="s">
        <v>8</v>
      </c>
      <c r="D1389" s="4">
        <v>20</v>
      </c>
      <c r="E1389" s="4"/>
      <c r="F1389">
        <v>238</v>
      </c>
      <c r="H1389" t="str">
        <f t="shared" si="21"/>
        <v>2024-05</v>
      </c>
      <c r="I1389" t="str">
        <f>_xlfn.XLOOKUP(Table1[[#This Row],[Customer_ID]],Customers!$A$2:$A$30,Customers!$C$2:$C$30,"Not found")</f>
        <v>Carries forward</v>
      </c>
    </row>
    <row r="1390" spans="1:9">
      <c r="A1390" s="9">
        <v>45416</v>
      </c>
      <c r="B1390" t="s">
        <v>85</v>
      </c>
      <c r="C1390" t="s">
        <v>8</v>
      </c>
      <c r="D1390" s="4">
        <v>50</v>
      </c>
      <c r="E1390" s="4"/>
      <c r="F1390">
        <v>238</v>
      </c>
      <c r="G1390" t="s">
        <v>204</v>
      </c>
      <c r="H1390" t="str">
        <f t="shared" si="21"/>
        <v>2024-05</v>
      </c>
      <c r="I1390" t="str">
        <f>_xlfn.XLOOKUP(Table1[[#This Row],[Customer_ID]],Customers!$A$2:$A$30,Customers!$C$2:$C$30,"Not found")</f>
        <v>Carries forward</v>
      </c>
    </row>
    <row r="1391" spans="1:9">
      <c r="A1391" s="9">
        <v>45417</v>
      </c>
      <c r="B1391" t="s">
        <v>85</v>
      </c>
      <c r="C1391" t="s">
        <v>8</v>
      </c>
      <c r="D1391" s="4">
        <v>20</v>
      </c>
      <c r="E1391" s="4"/>
      <c r="F1391">
        <v>238</v>
      </c>
      <c r="H1391" t="str">
        <f t="shared" si="21"/>
        <v>2024-05</v>
      </c>
      <c r="I1391" t="str">
        <f>_xlfn.XLOOKUP(Table1[[#This Row],[Customer_ID]],Customers!$A$2:$A$30,Customers!$C$2:$C$30,"Not found")</f>
        <v>Carries forward</v>
      </c>
    </row>
    <row r="1392" spans="1:9">
      <c r="A1392" s="9">
        <v>45418</v>
      </c>
      <c r="B1392" t="s">
        <v>85</v>
      </c>
      <c r="C1392" t="s">
        <v>8</v>
      </c>
      <c r="D1392" s="4">
        <v>20</v>
      </c>
      <c r="E1392" s="4"/>
      <c r="F1392">
        <v>238</v>
      </c>
      <c r="H1392" t="str">
        <f t="shared" si="21"/>
        <v>2024-05</v>
      </c>
      <c r="I1392" t="str">
        <f>_xlfn.XLOOKUP(Table1[[#This Row],[Customer_ID]],Customers!$A$2:$A$30,Customers!$C$2:$C$30,"Not found")</f>
        <v>Carries forward</v>
      </c>
    </row>
    <row r="1393" spans="1:9">
      <c r="A1393" s="9">
        <v>45419</v>
      </c>
      <c r="B1393" t="s">
        <v>85</v>
      </c>
      <c r="C1393" t="s">
        <v>8</v>
      </c>
      <c r="D1393" s="4">
        <v>20</v>
      </c>
      <c r="E1393" s="4"/>
      <c r="F1393">
        <v>238</v>
      </c>
      <c r="H1393" t="str">
        <f t="shared" si="21"/>
        <v>2024-05</v>
      </c>
      <c r="I1393" t="str">
        <f>_xlfn.XLOOKUP(Table1[[#This Row],[Customer_ID]],Customers!$A$2:$A$30,Customers!$C$2:$C$30,"Not found")</f>
        <v>Carries forward</v>
      </c>
    </row>
    <row r="1394" spans="1:9">
      <c r="A1394" s="9">
        <v>45420</v>
      </c>
      <c r="B1394" t="s">
        <v>85</v>
      </c>
      <c r="C1394" t="s">
        <v>8</v>
      </c>
      <c r="D1394" s="4">
        <v>20</v>
      </c>
      <c r="E1394" s="4"/>
      <c r="F1394">
        <v>238</v>
      </c>
      <c r="H1394" t="str">
        <f t="shared" si="21"/>
        <v>2024-05</v>
      </c>
      <c r="I1394" t="str">
        <f>_xlfn.XLOOKUP(Table1[[#This Row],[Customer_ID]],Customers!$A$2:$A$30,Customers!$C$2:$C$30,"Not found")</f>
        <v>Carries forward</v>
      </c>
    </row>
    <row r="1395" spans="1:9">
      <c r="A1395" s="9">
        <v>45421</v>
      </c>
      <c r="B1395" t="s">
        <v>85</v>
      </c>
      <c r="C1395" t="s">
        <v>8</v>
      </c>
      <c r="D1395" s="4">
        <v>30</v>
      </c>
      <c r="E1395" s="4">
        <v>1300</v>
      </c>
      <c r="F1395">
        <v>238</v>
      </c>
      <c r="G1395" t="s">
        <v>282</v>
      </c>
      <c r="H1395" t="str">
        <f t="shared" si="21"/>
        <v>2024-05</v>
      </c>
      <c r="I1395" t="str">
        <f>_xlfn.XLOOKUP(Table1[[#This Row],[Customer_ID]],Customers!$A$2:$A$30,Customers!$C$2:$C$30,"Not found")</f>
        <v>Carries forward</v>
      </c>
    </row>
    <row r="1396" spans="1:9">
      <c r="A1396" s="9">
        <v>45422</v>
      </c>
      <c r="B1396" t="s">
        <v>85</v>
      </c>
      <c r="C1396" t="s">
        <v>8</v>
      </c>
      <c r="D1396" s="4">
        <v>20</v>
      </c>
      <c r="E1396" s="4"/>
      <c r="F1396">
        <v>238</v>
      </c>
      <c r="H1396" t="str">
        <f t="shared" si="21"/>
        <v>2024-05</v>
      </c>
      <c r="I1396" t="str">
        <f>_xlfn.XLOOKUP(Table1[[#This Row],[Customer_ID]],Customers!$A$2:$A$30,Customers!$C$2:$C$30,"Not found")</f>
        <v>Carries forward</v>
      </c>
    </row>
    <row r="1397" spans="1:9">
      <c r="A1397" s="9">
        <v>45423</v>
      </c>
      <c r="B1397" t="s">
        <v>85</v>
      </c>
      <c r="C1397" t="s">
        <v>8</v>
      </c>
      <c r="D1397" s="4">
        <v>30</v>
      </c>
      <c r="E1397" s="4"/>
      <c r="F1397">
        <v>238</v>
      </c>
      <c r="H1397" t="str">
        <f t="shared" si="21"/>
        <v>2024-05</v>
      </c>
      <c r="I1397" t="str">
        <f>_xlfn.XLOOKUP(Table1[[#This Row],[Customer_ID]],Customers!$A$2:$A$30,Customers!$C$2:$C$30,"Not found")</f>
        <v>Carries forward</v>
      </c>
    </row>
    <row r="1398" spans="1:9">
      <c r="A1398" s="9">
        <v>45424</v>
      </c>
      <c r="B1398" t="s">
        <v>85</v>
      </c>
      <c r="C1398" t="s">
        <v>8</v>
      </c>
      <c r="D1398" s="4">
        <v>20</v>
      </c>
      <c r="E1398" s="4"/>
      <c r="F1398">
        <v>238</v>
      </c>
      <c r="H1398" t="str">
        <f t="shared" si="21"/>
        <v>2024-05</v>
      </c>
      <c r="I1398" t="str">
        <f>_xlfn.XLOOKUP(Table1[[#This Row],[Customer_ID]],Customers!$A$2:$A$30,Customers!$C$2:$C$30,"Not found")</f>
        <v>Carries forward</v>
      </c>
    </row>
    <row r="1399" spans="1:9">
      <c r="A1399" s="9">
        <v>45425</v>
      </c>
      <c r="B1399" t="s">
        <v>85</v>
      </c>
      <c r="C1399" t="s">
        <v>8</v>
      </c>
      <c r="D1399" s="4">
        <v>20</v>
      </c>
      <c r="E1399" s="4"/>
      <c r="F1399">
        <v>238</v>
      </c>
      <c r="H1399" t="str">
        <f t="shared" si="21"/>
        <v>2024-05</v>
      </c>
      <c r="I1399" t="str">
        <f>_xlfn.XLOOKUP(Table1[[#This Row],[Customer_ID]],Customers!$A$2:$A$30,Customers!$C$2:$C$30,"Not found")</f>
        <v>Carries forward</v>
      </c>
    </row>
    <row r="1400" spans="1:9">
      <c r="A1400" s="9">
        <v>45426</v>
      </c>
      <c r="B1400" t="s">
        <v>85</v>
      </c>
      <c r="C1400" t="s">
        <v>8</v>
      </c>
      <c r="D1400" s="4">
        <v>20</v>
      </c>
      <c r="E1400" s="4"/>
      <c r="F1400">
        <v>238</v>
      </c>
      <c r="H1400" t="str">
        <f t="shared" si="21"/>
        <v>2024-05</v>
      </c>
      <c r="I1400" t="str">
        <f>_xlfn.XLOOKUP(Table1[[#This Row],[Customer_ID]],Customers!$A$2:$A$30,Customers!$C$2:$C$30,"Not found")</f>
        <v>Carries forward</v>
      </c>
    </row>
    <row r="1401" spans="1:9">
      <c r="A1401" s="9">
        <v>45426</v>
      </c>
      <c r="B1401" t="s">
        <v>85</v>
      </c>
      <c r="C1401" t="s">
        <v>8</v>
      </c>
      <c r="D1401" s="4">
        <v>20</v>
      </c>
      <c r="E1401" s="4"/>
      <c r="F1401">
        <v>238</v>
      </c>
      <c r="H1401" t="str">
        <f t="shared" si="21"/>
        <v>2024-05</v>
      </c>
      <c r="I1401" t="str">
        <f>_xlfn.XLOOKUP(Table1[[#This Row],[Customer_ID]],Customers!$A$2:$A$30,Customers!$C$2:$C$30,"Not found")</f>
        <v>Carries forward</v>
      </c>
    </row>
    <row r="1402" spans="1:9">
      <c r="A1402" s="9">
        <v>45428</v>
      </c>
      <c r="B1402" t="s">
        <v>85</v>
      </c>
      <c r="C1402" t="s">
        <v>8</v>
      </c>
      <c r="D1402" s="4">
        <v>30</v>
      </c>
      <c r="E1402" s="4"/>
      <c r="F1402">
        <v>238</v>
      </c>
      <c r="H1402" t="str">
        <f t="shared" si="21"/>
        <v>2024-05</v>
      </c>
      <c r="I1402" t="str">
        <f>_xlfn.XLOOKUP(Table1[[#This Row],[Customer_ID]],Customers!$A$2:$A$30,Customers!$C$2:$C$30,"Not found")</f>
        <v>Carries forward</v>
      </c>
    </row>
    <row r="1403" spans="1:9">
      <c r="A1403" s="9">
        <v>45429</v>
      </c>
      <c r="B1403" t="s">
        <v>85</v>
      </c>
      <c r="C1403" t="s">
        <v>8</v>
      </c>
      <c r="D1403" s="4">
        <v>20</v>
      </c>
      <c r="E1403" s="4"/>
      <c r="F1403">
        <v>238</v>
      </c>
      <c r="H1403" t="str">
        <f t="shared" si="21"/>
        <v>2024-05</v>
      </c>
      <c r="I1403" t="str">
        <f>_xlfn.XLOOKUP(Table1[[#This Row],[Customer_ID]],Customers!$A$2:$A$30,Customers!$C$2:$C$30,"Not found")</f>
        <v>Carries forward</v>
      </c>
    </row>
    <row r="1404" spans="1:9">
      <c r="A1404" s="9">
        <v>45429</v>
      </c>
      <c r="B1404" t="s">
        <v>85</v>
      </c>
      <c r="C1404" t="s">
        <v>8</v>
      </c>
      <c r="D1404" s="4">
        <v>20</v>
      </c>
      <c r="E1404" s="4"/>
      <c r="F1404">
        <v>238</v>
      </c>
      <c r="H1404" t="str">
        <f t="shared" si="21"/>
        <v>2024-05</v>
      </c>
      <c r="I1404" t="str">
        <f>_xlfn.XLOOKUP(Table1[[#This Row],[Customer_ID]],Customers!$A$2:$A$30,Customers!$C$2:$C$30,"Not found")</f>
        <v>Carries forward</v>
      </c>
    </row>
    <row r="1405" spans="1:9">
      <c r="A1405" s="9">
        <v>45432</v>
      </c>
      <c r="B1405" t="s">
        <v>85</v>
      </c>
      <c r="C1405" t="s">
        <v>8</v>
      </c>
      <c r="D1405" s="4">
        <v>15</v>
      </c>
      <c r="E1405" s="4"/>
      <c r="F1405">
        <v>238</v>
      </c>
      <c r="H1405" t="str">
        <f t="shared" si="21"/>
        <v>2024-05</v>
      </c>
      <c r="I1405" t="str">
        <f>_xlfn.XLOOKUP(Table1[[#This Row],[Customer_ID]],Customers!$A$2:$A$30,Customers!$C$2:$C$30,"Not found")</f>
        <v>Carries forward</v>
      </c>
    </row>
    <row r="1406" spans="1:9">
      <c r="A1406" s="9">
        <v>45433</v>
      </c>
      <c r="B1406" t="s">
        <v>85</v>
      </c>
      <c r="C1406" t="s">
        <v>8</v>
      </c>
      <c r="D1406" s="4">
        <v>12</v>
      </c>
      <c r="E1406" s="4"/>
      <c r="F1406">
        <v>238</v>
      </c>
      <c r="H1406" t="str">
        <f t="shared" si="21"/>
        <v>2024-05</v>
      </c>
      <c r="I1406" t="str">
        <f>_xlfn.XLOOKUP(Table1[[#This Row],[Customer_ID]],Customers!$A$2:$A$30,Customers!$C$2:$C$30,"Not found")</f>
        <v>Carries forward</v>
      </c>
    </row>
    <row r="1407" spans="1:9">
      <c r="A1407" s="9">
        <v>45433</v>
      </c>
      <c r="B1407" t="s">
        <v>85</v>
      </c>
      <c r="C1407" t="s">
        <v>8</v>
      </c>
      <c r="D1407" s="4">
        <v>20</v>
      </c>
      <c r="E1407" s="4"/>
      <c r="F1407">
        <v>238</v>
      </c>
      <c r="H1407" t="str">
        <f t="shared" ref="H1407:H1470" si="22">IF(A1407="","",TEXT(A1407,"yyyy-mm"))</f>
        <v>2024-05</v>
      </c>
      <c r="I1407" t="str">
        <f>_xlfn.XLOOKUP(Table1[[#This Row],[Customer_ID]],Customers!$A$2:$A$30,Customers!$C$2:$C$30,"Not found")</f>
        <v>Carries forward</v>
      </c>
    </row>
    <row r="1408" spans="1:9">
      <c r="A1408" s="9">
        <v>45434</v>
      </c>
      <c r="B1408" t="s">
        <v>85</v>
      </c>
      <c r="C1408" t="s">
        <v>8</v>
      </c>
      <c r="D1408" s="4">
        <v>30</v>
      </c>
      <c r="E1408" s="4"/>
      <c r="F1408">
        <v>238</v>
      </c>
      <c r="H1408" t="str">
        <f t="shared" si="22"/>
        <v>2024-05</v>
      </c>
      <c r="I1408" t="str">
        <f>_xlfn.XLOOKUP(Table1[[#This Row],[Customer_ID]],Customers!$A$2:$A$30,Customers!$C$2:$C$30,"Not found")</f>
        <v>Carries forward</v>
      </c>
    </row>
    <row r="1409" spans="1:9">
      <c r="A1409" s="9">
        <v>45435</v>
      </c>
      <c r="B1409" t="s">
        <v>85</v>
      </c>
      <c r="C1409" t="s">
        <v>8</v>
      </c>
      <c r="D1409" s="4">
        <v>44</v>
      </c>
      <c r="E1409" s="4"/>
      <c r="F1409">
        <v>238</v>
      </c>
      <c r="H1409" t="str">
        <f t="shared" si="22"/>
        <v>2024-05</v>
      </c>
      <c r="I1409" t="str">
        <f>_xlfn.XLOOKUP(Table1[[#This Row],[Customer_ID]],Customers!$A$2:$A$30,Customers!$C$2:$C$30,"Not found")</f>
        <v>Carries forward</v>
      </c>
    </row>
    <row r="1410" spans="1:9">
      <c r="A1410" s="9">
        <v>45436</v>
      </c>
      <c r="B1410" t="s">
        <v>85</v>
      </c>
      <c r="C1410" t="s">
        <v>8</v>
      </c>
      <c r="D1410" s="4">
        <v>25</v>
      </c>
      <c r="E1410" s="4"/>
      <c r="F1410">
        <v>238</v>
      </c>
      <c r="H1410" t="str">
        <f t="shared" si="22"/>
        <v>2024-05</v>
      </c>
      <c r="I1410" t="str">
        <f>_xlfn.XLOOKUP(Table1[[#This Row],[Customer_ID]],Customers!$A$2:$A$30,Customers!$C$2:$C$30,"Not found")</f>
        <v>Carries forward</v>
      </c>
    </row>
    <row r="1411" spans="1:9">
      <c r="A1411" s="9">
        <v>45437</v>
      </c>
      <c r="B1411" t="s">
        <v>85</v>
      </c>
      <c r="C1411" t="s">
        <v>8</v>
      </c>
      <c r="D1411" s="4">
        <v>20</v>
      </c>
      <c r="E1411" s="4"/>
      <c r="F1411">
        <v>238</v>
      </c>
      <c r="H1411" t="str">
        <f t="shared" si="22"/>
        <v>2024-05</v>
      </c>
      <c r="I1411" t="str">
        <f>_xlfn.XLOOKUP(Table1[[#This Row],[Customer_ID]],Customers!$A$2:$A$30,Customers!$C$2:$C$30,"Not found")</f>
        <v>Carries forward</v>
      </c>
    </row>
    <row r="1412" spans="1:9">
      <c r="A1412" s="9">
        <v>45438</v>
      </c>
      <c r="B1412" t="s">
        <v>85</v>
      </c>
      <c r="C1412" t="s">
        <v>8</v>
      </c>
      <c r="D1412" s="4">
        <v>20</v>
      </c>
      <c r="E1412" s="4"/>
      <c r="F1412">
        <v>238</v>
      </c>
      <c r="H1412" t="str">
        <f t="shared" si="22"/>
        <v>2024-05</v>
      </c>
      <c r="I1412" t="str">
        <f>_xlfn.XLOOKUP(Table1[[#This Row],[Customer_ID]],Customers!$A$2:$A$30,Customers!$C$2:$C$30,"Not found")</f>
        <v>Carries forward</v>
      </c>
    </row>
    <row r="1413" spans="1:9">
      <c r="A1413" s="9">
        <v>45439</v>
      </c>
      <c r="B1413" t="s">
        <v>85</v>
      </c>
      <c r="C1413" t="s">
        <v>8</v>
      </c>
      <c r="D1413" s="4">
        <v>20</v>
      </c>
      <c r="E1413" s="4"/>
      <c r="F1413">
        <v>238</v>
      </c>
      <c r="H1413" t="str">
        <f t="shared" si="22"/>
        <v>2024-05</v>
      </c>
      <c r="I1413" t="str">
        <f>_xlfn.XLOOKUP(Table1[[#This Row],[Customer_ID]],Customers!$A$2:$A$30,Customers!$C$2:$C$30,"Not found")</f>
        <v>Carries forward</v>
      </c>
    </row>
    <row r="1414" spans="1:9">
      <c r="A1414" s="9">
        <v>45440</v>
      </c>
      <c r="B1414" t="s">
        <v>85</v>
      </c>
      <c r="C1414" t="s">
        <v>8</v>
      </c>
      <c r="D1414" s="4">
        <v>20</v>
      </c>
      <c r="E1414" s="4"/>
      <c r="F1414">
        <v>238</v>
      </c>
      <c r="H1414" t="str">
        <f t="shared" si="22"/>
        <v>2024-05</v>
      </c>
      <c r="I1414" t="str">
        <f>_xlfn.XLOOKUP(Table1[[#This Row],[Customer_ID]],Customers!$A$2:$A$30,Customers!$C$2:$C$30,"Not found")</f>
        <v>Carries forward</v>
      </c>
    </row>
    <row r="1415" spans="1:9">
      <c r="A1415" s="9">
        <v>45441</v>
      </c>
      <c r="B1415" t="s">
        <v>85</v>
      </c>
      <c r="C1415" t="s">
        <v>8</v>
      </c>
      <c r="D1415" s="4">
        <v>20</v>
      </c>
      <c r="E1415" s="4"/>
      <c r="F1415">
        <v>238</v>
      </c>
      <c r="H1415" t="str">
        <f t="shared" si="22"/>
        <v>2024-05</v>
      </c>
      <c r="I1415" t="str">
        <f>_xlfn.XLOOKUP(Table1[[#This Row],[Customer_ID]],Customers!$A$2:$A$30,Customers!$C$2:$C$30,"Not found")</f>
        <v>Carries forward</v>
      </c>
    </row>
    <row r="1416" spans="1:9">
      <c r="A1416" s="9">
        <v>45442</v>
      </c>
      <c r="B1416" t="s">
        <v>85</v>
      </c>
      <c r="C1416" t="s">
        <v>8</v>
      </c>
      <c r="D1416" s="4">
        <v>30</v>
      </c>
      <c r="E1416" s="4"/>
      <c r="F1416">
        <v>238</v>
      </c>
      <c r="H1416" t="str">
        <f t="shared" si="22"/>
        <v>2024-05</v>
      </c>
      <c r="I1416" t="str">
        <f>_xlfn.XLOOKUP(Table1[[#This Row],[Customer_ID]],Customers!$A$2:$A$30,Customers!$C$2:$C$30,"Not found")</f>
        <v>Carries forward</v>
      </c>
    </row>
    <row r="1417" spans="1:9">
      <c r="A1417" s="9">
        <v>45443</v>
      </c>
      <c r="B1417" t="s">
        <v>85</v>
      </c>
      <c r="C1417" t="s">
        <v>8</v>
      </c>
      <c r="D1417" s="4">
        <v>20</v>
      </c>
      <c r="E1417" s="4"/>
      <c r="F1417">
        <v>238</v>
      </c>
      <c r="H1417" t="str">
        <f t="shared" si="22"/>
        <v>2024-05</v>
      </c>
      <c r="I1417" t="str">
        <f>_xlfn.XLOOKUP(Table1[[#This Row],[Customer_ID]],Customers!$A$2:$A$30,Customers!$C$2:$C$30,"Not found")</f>
        <v>Carries forward</v>
      </c>
    </row>
    <row r="1418" spans="1:9">
      <c r="A1418" s="9">
        <v>45444</v>
      </c>
      <c r="B1418" t="s">
        <v>85</v>
      </c>
      <c r="C1418" t="s">
        <v>8</v>
      </c>
      <c r="D1418" s="4">
        <v>30</v>
      </c>
      <c r="E1418" s="4"/>
      <c r="F1418">
        <v>238</v>
      </c>
      <c r="H1418" t="str">
        <f t="shared" si="22"/>
        <v>2024-06</v>
      </c>
      <c r="I1418" t="str">
        <f>_xlfn.XLOOKUP(Table1[[#This Row],[Customer_ID]],Customers!$A$2:$A$30,Customers!$C$2:$C$30,"Not found")</f>
        <v>Carries forward</v>
      </c>
    </row>
    <row r="1419" spans="1:9">
      <c r="A1419" s="9">
        <v>45445</v>
      </c>
      <c r="B1419" t="s">
        <v>85</v>
      </c>
      <c r="C1419" t="s">
        <v>8</v>
      </c>
      <c r="D1419" s="4">
        <v>20</v>
      </c>
      <c r="E1419" s="4"/>
      <c r="F1419">
        <v>238</v>
      </c>
      <c r="H1419" t="str">
        <f t="shared" si="22"/>
        <v>2024-06</v>
      </c>
      <c r="I1419" t="str">
        <f>_xlfn.XLOOKUP(Table1[[#This Row],[Customer_ID]],Customers!$A$2:$A$30,Customers!$C$2:$C$30,"Not found")</f>
        <v>Carries forward</v>
      </c>
    </row>
    <row r="1420" spans="1:9">
      <c r="A1420" s="9">
        <v>45447</v>
      </c>
      <c r="B1420" t="s">
        <v>85</v>
      </c>
      <c r="C1420" t="s">
        <v>8</v>
      </c>
      <c r="D1420" s="4">
        <v>40</v>
      </c>
      <c r="E1420" s="4"/>
      <c r="F1420">
        <v>238</v>
      </c>
      <c r="H1420" t="str">
        <f t="shared" si="22"/>
        <v>2024-06</v>
      </c>
      <c r="I1420" t="str">
        <f>_xlfn.XLOOKUP(Table1[[#This Row],[Customer_ID]],Customers!$A$2:$A$30,Customers!$C$2:$C$30,"Not found")</f>
        <v>Carries forward</v>
      </c>
    </row>
    <row r="1421" spans="1:9">
      <c r="A1421" s="9">
        <v>45449</v>
      </c>
      <c r="B1421" t="s">
        <v>85</v>
      </c>
      <c r="C1421" t="s">
        <v>8</v>
      </c>
      <c r="D1421" s="4">
        <v>20</v>
      </c>
      <c r="E1421" s="4"/>
      <c r="F1421">
        <v>238</v>
      </c>
      <c r="H1421" t="str">
        <f t="shared" si="22"/>
        <v>2024-06</v>
      </c>
      <c r="I1421" t="str">
        <f>_xlfn.XLOOKUP(Table1[[#This Row],[Customer_ID]],Customers!$A$2:$A$30,Customers!$C$2:$C$30,"Not found")</f>
        <v>Carries forward</v>
      </c>
    </row>
    <row r="1422" spans="1:9">
      <c r="A1422" s="9">
        <v>45449</v>
      </c>
      <c r="B1422" t="s">
        <v>85</v>
      </c>
      <c r="C1422" t="s">
        <v>8</v>
      </c>
      <c r="D1422" s="4">
        <v>20</v>
      </c>
      <c r="E1422" s="4"/>
      <c r="F1422">
        <v>238</v>
      </c>
      <c r="H1422" t="str">
        <f t="shared" si="22"/>
        <v>2024-06</v>
      </c>
      <c r="I1422" t="str">
        <f>_xlfn.XLOOKUP(Table1[[#This Row],[Customer_ID]],Customers!$A$2:$A$30,Customers!$C$2:$C$30,"Not found")</f>
        <v>Carries forward</v>
      </c>
    </row>
    <row r="1423" spans="1:9">
      <c r="A1423" s="9">
        <v>45450</v>
      </c>
      <c r="B1423" t="s">
        <v>85</v>
      </c>
      <c r="C1423" t="s">
        <v>8</v>
      </c>
      <c r="D1423" s="4">
        <v>30</v>
      </c>
      <c r="E1423" s="4">
        <v>1956</v>
      </c>
      <c r="F1423">
        <v>238</v>
      </c>
      <c r="G1423" t="s">
        <v>283</v>
      </c>
      <c r="H1423" t="str">
        <f t="shared" si="22"/>
        <v>2024-06</v>
      </c>
      <c r="I1423" t="str">
        <f>_xlfn.XLOOKUP(Table1[[#This Row],[Customer_ID]],Customers!$A$2:$A$30,Customers!$C$2:$C$30,"Not found")</f>
        <v>Carries forward</v>
      </c>
    </row>
    <row r="1424" spans="1:9">
      <c r="A1424" s="9">
        <v>45450</v>
      </c>
      <c r="B1424" t="s">
        <v>85</v>
      </c>
      <c r="C1424" t="s">
        <v>14</v>
      </c>
      <c r="D1424" s="4">
        <v>1500</v>
      </c>
      <c r="E1424" s="4">
        <v>456</v>
      </c>
      <c r="F1424">
        <v>238</v>
      </c>
      <c r="G1424" t="s">
        <v>284</v>
      </c>
      <c r="H1424" t="str">
        <f t="shared" si="22"/>
        <v>2024-06</v>
      </c>
      <c r="I1424" t="str">
        <f>_xlfn.XLOOKUP(Table1[[#This Row],[Customer_ID]],Customers!$A$2:$A$30,Customers!$C$2:$C$30,"Not found")</f>
        <v>Carries forward</v>
      </c>
    </row>
    <row r="1425" spans="1:9">
      <c r="A1425" s="9">
        <v>45451</v>
      </c>
      <c r="B1425" t="s">
        <v>85</v>
      </c>
      <c r="C1425" t="s">
        <v>8</v>
      </c>
      <c r="D1425" s="4">
        <v>54</v>
      </c>
      <c r="E1425" s="4"/>
      <c r="F1425">
        <v>238</v>
      </c>
      <c r="H1425" t="str">
        <f t="shared" si="22"/>
        <v>2024-06</v>
      </c>
      <c r="I1425" t="str">
        <f>_xlfn.XLOOKUP(Table1[[#This Row],[Customer_ID]],Customers!$A$2:$A$30,Customers!$C$2:$C$30,"Not found")</f>
        <v>Carries forward</v>
      </c>
    </row>
    <row r="1426" spans="1:9">
      <c r="A1426" s="9">
        <v>45451</v>
      </c>
      <c r="B1426" t="s">
        <v>85</v>
      </c>
      <c r="C1426" t="s">
        <v>8</v>
      </c>
      <c r="D1426" s="4">
        <v>20</v>
      </c>
      <c r="E1426" s="4"/>
      <c r="F1426">
        <v>238</v>
      </c>
      <c r="H1426" t="str">
        <f t="shared" si="22"/>
        <v>2024-06</v>
      </c>
      <c r="I1426" t="str">
        <f>_xlfn.XLOOKUP(Table1[[#This Row],[Customer_ID]],Customers!$A$2:$A$30,Customers!$C$2:$C$30,"Not found")</f>
        <v>Carries forward</v>
      </c>
    </row>
    <row r="1427" spans="1:9">
      <c r="A1427" s="9">
        <v>45452</v>
      </c>
      <c r="B1427" t="s">
        <v>85</v>
      </c>
      <c r="C1427" t="s">
        <v>8</v>
      </c>
      <c r="D1427" s="4">
        <v>20</v>
      </c>
      <c r="E1427" s="4"/>
      <c r="F1427">
        <v>238</v>
      </c>
      <c r="H1427" t="str">
        <f t="shared" si="22"/>
        <v>2024-06</v>
      </c>
      <c r="I1427" t="str">
        <f>_xlfn.XLOOKUP(Table1[[#This Row],[Customer_ID]],Customers!$A$2:$A$30,Customers!$C$2:$C$30,"Not found")</f>
        <v>Carries forward</v>
      </c>
    </row>
    <row r="1428" spans="1:9">
      <c r="A1428" s="9">
        <v>45452</v>
      </c>
      <c r="B1428" t="s">
        <v>85</v>
      </c>
      <c r="C1428" t="s">
        <v>8</v>
      </c>
      <c r="D1428" s="4">
        <v>40</v>
      </c>
      <c r="E1428" s="4"/>
      <c r="F1428">
        <v>238</v>
      </c>
      <c r="H1428" t="str">
        <f t="shared" si="22"/>
        <v>2024-06</v>
      </c>
      <c r="I1428" t="str">
        <f>_xlfn.XLOOKUP(Table1[[#This Row],[Customer_ID]],Customers!$A$2:$A$30,Customers!$C$2:$C$30,"Not found")</f>
        <v>Carries forward</v>
      </c>
    </row>
    <row r="1429" spans="1:9">
      <c r="A1429" s="9">
        <v>45454</v>
      </c>
      <c r="B1429" t="s">
        <v>85</v>
      </c>
      <c r="C1429" t="s">
        <v>8</v>
      </c>
      <c r="D1429" s="4">
        <v>100</v>
      </c>
      <c r="E1429" s="4"/>
      <c r="F1429">
        <v>238</v>
      </c>
      <c r="H1429" t="str">
        <f t="shared" si="22"/>
        <v>2024-06</v>
      </c>
      <c r="I1429" t="str">
        <f>_xlfn.XLOOKUP(Table1[[#This Row],[Customer_ID]],Customers!$A$2:$A$30,Customers!$C$2:$C$30,"Not found")</f>
        <v>Carries forward</v>
      </c>
    </row>
    <row r="1430" spans="1:9">
      <c r="A1430" s="9">
        <v>45455</v>
      </c>
      <c r="B1430" t="s">
        <v>85</v>
      </c>
      <c r="C1430" t="s">
        <v>8</v>
      </c>
      <c r="D1430" s="4">
        <v>20</v>
      </c>
      <c r="E1430" s="4"/>
      <c r="F1430">
        <v>238</v>
      </c>
      <c r="H1430" t="str">
        <f t="shared" si="22"/>
        <v>2024-06</v>
      </c>
      <c r="I1430" t="str">
        <f>_xlfn.XLOOKUP(Table1[[#This Row],[Customer_ID]],Customers!$A$2:$A$30,Customers!$C$2:$C$30,"Not found")</f>
        <v>Carries forward</v>
      </c>
    </row>
    <row r="1431" spans="1:9">
      <c r="A1431" s="9">
        <v>45456</v>
      </c>
      <c r="B1431" t="s">
        <v>85</v>
      </c>
      <c r="C1431" t="s">
        <v>8</v>
      </c>
      <c r="D1431" s="4">
        <v>30</v>
      </c>
      <c r="E1431" s="4"/>
      <c r="F1431">
        <v>238</v>
      </c>
      <c r="H1431" t="str">
        <f t="shared" si="22"/>
        <v>2024-06</v>
      </c>
      <c r="I1431" t="str">
        <f>_xlfn.XLOOKUP(Table1[[#This Row],[Customer_ID]],Customers!$A$2:$A$30,Customers!$C$2:$C$30,"Not found")</f>
        <v>Carries forward</v>
      </c>
    </row>
    <row r="1432" spans="1:9">
      <c r="A1432" s="9">
        <v>45458</v>
      </c>
      <c r="B1432" t="s">
        <v>85</v>
      </c>
      <c r="C1432" t="s">
        <v>8</v>
      </c>
      <c r="D1432" s="4">
        <v>20</v>
      </c>
      <c r="E1432" s="4"/>
      <c r="F1432">
        <v>238</v>
      </c>
      <c r="H1432" t="str">
        <f t="shared" si="22"/>
        <v>2024-06</v>
      </c>
      <c r="I1432" t="str">
        <f>_xlfn.XLOOKUP(Table1[[#This Row],[Customer_ID]],Customers!$A$2:$A$30,Customers!$C$2:$C$30,"Not found")</f>
        <v>Carries forward</v>
      </c>
    </row>
    <row r="1433" spans="1:9">
      <c r="A1433" s="9">
        <v>45458</v>
      </c>
      <c r="B1433" t="s">
        <v>85</v>
      </c>
      <c r="C1433" t="s">
        <v>8</v>
      </c>
      <c r="D1433" s="4">
        <v>10</v>
      </c>
      <c r="E1433" s="4"/>
      <c r="F1433">
        <v>238</v>
      </c>
      <c r="H1433" t="str">
        <f t="shared" si="22"/>
        <v>2024-06</v>
      </c>
      <c r="I1433" t="str">
        <f>_xlfn.XLOOKUP(Table1[[#This Row],[Customer_ID]],Customers!$A$2:$A$30,Customers!$C$2:$C$30,"Not found")</f>
        <v>Carries forward</v>
      </c>
    </row>
    <row r="1434" spans="1:9">
      <c r="A1434" s="9">
        <v>45459</v>
      </c>
      <c r="B1434" t="s">
        <v>85</v>
      </c>
      <c r="C1434" t="s">
        <v>8</v>
      </c>
      <c r="D1434" s="4">
        <v>50</v>
      </c>
      <c r="E1434" s="4"/>
      <c r="F1434">
        <v>238</v>
      </c>
      <c r="H1434" t="str">
        <f t="shared" si="22"/>
        <v>2024-06</v>
      </c>
      <c r="I1434" t="str">
        <f>_xlfn.XLOOKUP(Table1[[#This Row],[Customer_ID]],Customers!$A$2:$A$30,Customers!$C$2:$C$30,"Not found")</f>
        <v>Carries forward</v>
      </c>
    </row>
    <row r="1435" spans="1:9">
      <c r="A1435" s="9">
        <v>45460</v>
      </c>
      <c r="B1435" t="s">
        <v>85</v>
      </c>
      <c r="C1435" t="s">
        <v>8</v>
      </c>
      <c r="D1435" s="4">
        <v>40</v>
      </c>
      <c r="E1435" s="4"/>
      <c r="F1435">
        <v>238</v>
      </c>
      <c r="H1435" t="str">
        <f t="shared" si="22"/>
        <v>2024-06</v>
      </c>
      <c r="I1435" t="str">
        <f>_xlfn.XLOOKUP(Table1[[#This Row],[Customer_ID]],Customers!$A$2:$A$30,Customers!$C$2:$C$30,"Not found")</f>
        <v>Carries forward</v>
      </c>
    </row>
    <row r="1436" spans="1:9">
      <c r="A1436" s="9">
        <v>45461</v>
      </c>
      <c r="B1436" t="s">
        <v>85</v>
      </c>
      <c r="C1436" t="s">
        <v>8</v>
      </c>
      <c r="D1436" s="4">
        <v>20</v>
      </c>
      <c r="E1436" s="4"/>
      <c r="F1436">
        <v>238</v>
      </c>
      <c r="H1436" t="str">
        <f t="shared" si="22"/>
        <v>2024-06</v>
      </c>
      <c r="I1436" t="str">
        <f>_xlfn.XLOOKUP(Table1[[#This Row],[Customer_ID]],Customers!$A$2:$A$30,Customers!$C$2:$C$30,"Not found")</f>
        <v>Carries forward</v>
      </c>
    </row>
    <row r="1437" spans="1:9">
      <c r="A1437" s="9">
        <v>45461</v>
      </c>
      <c r="B1437" t="s">
        <v>85</v>
      </c>
      <c r="C1437" t="s">
        <v>8</v>
      </c>
      <c r="D1437" s="4">
        <v>20</v>
      </c>
      <c r="E1437" s="4"/>
      <c r="F1437">
        <v>238</v>
      </c>
      <c r="H1437" t="str">
        <f t="shared" si="22"/>
        <v>2024-06</v>
      </c>
      <c r="I1437" t="str">
        <f>_xlfn.XLOOKUP(Table1[[#This Row],[Customer_ID]],Customers!$A$2:$A$30,Customers!$C$2:$C$30,"Not found")</f>
        <v>Carries forward</v>
      </c>
    </row>
    <row r="1438" spans="1:9">
      <c r="A1438" s="9">
        <v>45462</v>
      </c>
      <c r="B1438" t="s">
        <v>85</v>
      </c>
      <c r="C1438" t="s">
        <v>8</v>
      </c>
      <c r="D1438" s="4">
        <v>20</v>
      </c>
      <c r="E1438" s="4"/>
      <c r="F1438">
        <v>238</v>
      </c>
      <c r="H1438" t="str">
        <f t="shared" si="22"/>
        <v>2024-06</v>
      </c>
      <c r="I1438" t="str">
        <f>_xlfn.XLOOKUP(Table1[[#This Row],[Customer_ID]],Customers!$A$2:$A$30,Customers!$C$2:$C$30,"Not found")</f>
        <v>Carries forward</v>
      </c>
    </row>
    <row r="1439" spans="1:9">
      <c r="A1439" s="9">
        <v>45464</v>
      </c>
      <c r="B1439" t="s">
        <v>85</v>
      </c>
      <c r="C1439" t="s">
        <v>8</v>
      </c>
      <c r="D1439" s="4">
        <v>30</v>
      </c>
      <c r="E1439" s="4"/>
      <c r="F1439">
        <v>238</v>
      </c>
      <c r="H1439" t="str">
        <f t="shared" si="22"/>
        <v>2024-06</v>
      </c>
      <c r="I1439" t="str">
        <f>_xlfn.XLOOKUP(Table1[[#This Row],[Customer_ID]],Customers!$A$2:$A$30,Customers!$C$2:$C$30,"Not found")</f>
        <v>Carries forward</v>
      </c>
    </row>
    <row r="1440" spans="1:9">
      <c r="A1440" s="9">
        <v>45464</v>
      </c>
      <c r="B1440" t="s">
        <v>85</v>
      </c>
      <c r="C1440" t="s">
        <v>8</v>
      </c>
      <c r="D1440" s="4">
        <v>20</v>
      </c>
      <c r="E1440" s="4"/>
      <c r="F1440">
        <v>238</v>
      </c>
      <c r="H1440" t="str">
        <f t="shared" si="22"/>
        <v>2024-06</v>
      </c>
      <c r="I1440" t="str">
        <f>_xlfn.XLOOKUP(Table1[[#This Row],[Customer_ID]],Customers!$A$2:$A$30,Customers!$C$2:$C$30,"Not found")</f>
        <v>Carries forward</v>
      </c>
    </row>
    <row r="1441" spans="1:9">
      <c r="A1441" s="9">
        <v>45465</v>
      </c>
      <c r="B1441" t="s">
        <v>85</v>
      </c>
      <c r="C1441" t="s">
        <v>8</v>
      </c>
      <c r="D1441" s="4">
        <v>20</v>
      </c>
      <c r="E1441" s="4"/>
      <c r="F1441">
        <v>238</v>
      </c>
      <c r="H1441" t="str">
        <f t="shared" si="22"/>
        <v>2024-06</v>
      </c>
      <c r="I1441" t="str">
        <f>_xlfn.XLOOKUP(Table1[[#This Row],[Customer_ID]],Customers!$A$2:$A$30,Customers!$C$2:$C$30,"Not found")</f>
        <v>Carries forward</v>
      </c>
    </row>
    <row r="1442" spans="1:9">
      <c r="A1442" s="9">
        <v>45467</v>
      </c>
      <c r="B1442" t="s">
        <v>85</v>
      </c>
      <c r="C1442" t="s">
        <v>8</v>
      </c>
      <c r="D1442" s="4">
        <v>20</v>
      </c>
      <c r="E1442" s="4"/>
      <c r="F1442">
        <v>238</v>
      </c>
      <c r="H1442" t="str">
        <f t="shared" si="22"/>
        <v>2024-06</v>
      </c>
      <c r="I1442" t="str">
        <f>_xlfn.XLOOKUP(Table1[[#This Row],[Customer_ID]],Customers!$A$2:$A$30,Customers!$C$2:$C$30,"Not found")</f>
        <v>Carries forward</v>
      </c>
    </row>
    <row r="1443" spans="1:9">
      <c r="A1443" s="9">
        <v>45468</v>
      </c>
      <c r="B1443" t="s">
        <v>85</v>
      </c>
      <c r="C1443" t="s">
        <v>8</v>
      </c>
      <c r="D1443" s="4">
        <v>30</v>
      </c>
      <c r="E1443" s="4"/>
      <c r="F1443">
        <v>238</v>
      </c>
      <c r="H1443" t="str">
        <f t="shared" si="22"/>
        <v>2024-06</v>
      </c>
      <c r="I1443" t="str">
        <f>_xlfn.XLOOKUP(Table1[[#This Row],[Customer_ID]],Customers!$A$2:$A$30,Customers!$C$2:$C$30,"Not found")</f>
        <v>Carries forward</v>
      </c>
    </row>
    <row r="1444" spans="1:9">
      <c r="A1444" s="9">
        <v>45469</v>
      </c>
      <c r="B1444" t="s">
        <v>85</v>
      </c>
      <c r="C1444" t="s">
        <v>8</v>
      </c>
      <c r="D1444" s="4">
        <v>10</v>
      </c>
      <c r="E1444" s="4"/>
      <c r="F1444">
        <v>238</v>
      </c>
      <c r="H1444" t="str">
        <f t="shared" si="22"/>
        <v>2024-06</v>
      </c>
      <c r="I1444" t="str">
        <f>_xlfn.XLOOKUP(Table1[[#This Row],[Customer_ID]],Customers!$A$2:$A$30,Customers!$C$2:$C$30,"Not found")</f>
        <v>Carries forward</v>
      </c>
    </row>
    <row r="1445" spans="1:9">
      <c r="A1445" s="9">
        <v>45470</v>
      </c>
      <c r="B1445" t="s">
        <v>85</v>
      </c>
      <c r="C1445" t="s">
        <v>8</v>
      </c>
      <c r="D1445" s="4">
        <v>30</v>
      </c>
      <c r="E1445" s="4"/>
      <c r="F1445">
        <v>238</v>
      </c>
      <c r="H1445" t="str">
        <f t="shared" si="22"/>
        <v>2024-06</v>
      </c>
      <c r="I1445" t="str">
        <f>_xlfn.XLOOKUP(Table1[[#This Row],[Customer_ID]],Customers!$A$2:$A$30,Customers!$C$2:$C$30,"Not found")</f>
        <v>Carries forward</v>
      </c>
    </row>
    <row r="1446" spans="1:9">
      <c r="A1446" s="9">
        <v>45471</v>
      </c>
      <c r="B1446" t="s">
        <v>85</v>
      </c>
      <c r="C1446" t="s">
        <v>8</v>
      </c>
      <c r="D1446" s="4">
        <v>30</v>
      </c>
      <c r="E1446" s="4"/>
      <c r="F1446">
        <v>238</v>
      </c>
      <c r="H1446" t="str">
        <f t="shared" si="22"/>
        <v>2024-06</v>
      </c>
      <c r="I1446" t="str">
        <f>_xlfn.XLOOKUP(Table1[[#This Row],[Customer_ID]],Customers!$A$2:$A$30,Customers!$C$2:$C$30,"Not found")</f>
        <v>Carries forward</v>
      </c>
    </row>
    <row r="1447" spans="1:9">
      <c r="A1447" s="9">
        <v>45471</v>
      </c>
      <c r="B1447" t="s">
        <v>85</v>
      </c>
      <c r="C1447" t="s">
        <v>8</v>
      </c>
      <c r="D1447" s="4">
        <v>20</v>
      </c>
      <c r="E1447" s="4"/>
      <c r="F1447">
        <v>238</v>
      </c>
      <c r="H1447" t="str">
        <f t="shared" si="22"/>
        <v>2024-06</v>
      </c>
      <c r="I1447" t="str">
        <f>_xlfn.XLOOKUP(Table1[[#This Row],[Customer_ID]],Customers!$A$2:$A$30,Customers!$C$2:$C$30,"Not found")</f>
        <v>Carries forward</v>
      </c>
    </row>
    <row r="1448" spans="1:9">
      <c r="A1448" s="9">
        <v>45475</v>
      </c>
      <c r="B1448" t="s">
        <v>85</v>
      </c>
      <c r="C1448" t="s">
        <v>8</v>
      </c>
      <c r="D1448" s="4">
        <v>20</v>
      </c>
      <c r="E1448" s="4"/>
      <c r="F1448">
        <v>238</v>
      </c>
      <c r="H1448" t="str">
        <f t="shared" si="22"/>
        <v>2024-07</v>
      </c>
      <c r="I1448" t="str">
        <f>_xlfn.XLOOKUP(Table1[[#This Row],[Customer_ID]],Customers!$A$2:$A$30,Customers!$C$2:$C$30,"Not found")</f>
        <v>Carries forward</v>
      </c>
    </row>
    <row r="1449" spans="1:9">
      <c r="A1449" s="9">
        <v>45476</v>
      </c>
      <c r="B1449" t="s">
        <v>85</v>
      </c>
      <c r="C1449" t="s">
        <v>8</v>
      </c>
      <c r="D1449" s="4">
        <v>20</v>
      </c>
      <c r="E1449" s="4"/>
      <c r="F1449">
        <v>238</v>
      </c>
      <c r="G1449" t="s">
        <v>285</v>
      </c>
      <c r="H1449" t="str">
        <f t="shared" si="22"/>
        <v>2024-07</v>
      </c>
      <c r="I1449" t="str">
        <f>_xlfn.XLOOKUP(Table1[[#This Row],[Customer_ID]],Customers!$A$2:$A$30,Customers!$C$2:$C$30,"Not found")</f>
        <v>Carries forward</v>
      </c>
    </row>
    <row r="1450" spans="1:9">
      <c r="A1450" s="9">
        <v>45352</v>
      </c>
      <c r="B1450" t="s">
        <v>86</v>
      </c>
      <c r="C1450" t="s">
        <v>28</v>
      </c>
      <c r="D1450" s="4">
        <v>2918</v>
      </c>
      <c r="E1450" s="4">
        <v>2918</v>
      </c>
      <c r="F1450">
        <v>236</v>
      </c>
      <c r="G1450" t="s">
        <v>286</v>
      </c>
      <c r="H1450" t="str">
        <f t="shared" si="22"/>
        <v>2024-03</v>
      </c>
      <c r="I1450" t="str">
        <f>_xlfn.XLOOKUP(Table1[[#This Row],[Customer_ID]],Customers!$A$2:$A$30,Customers!$C$2:$C$30,"Not found")</f>
        <v>Carries forward</v>
      </c>
    </row>
    <row r="1451" spans="1:9">
      <c r="A1451" s="9">
        <v>45352</v>
      </c>
      <c r="B1451" t="s">
        <v>86</v>
      </c>
      <c r="C1451" t="s">
        <v>8</v>
      </c>
      <c r="D1451" s="4">
        <v>71</v>
      </c>
      <c r="E1451" s="4"/>
      <c r="F1451">
        <v>236</v>
      </c>
      <c r="H1451" t="str">
        <f t="shared" si="22"/>
        <v>2024-03</v>
      </c>
      <c r="I1451" t="str">
        <f>_xlfn.XLOOKUP(Table1[[#This Row],[Customer_ID]],Customers!$A$2:$A$30,Customers!$C$2:$C$30,"Not found")</f>
        <v>Carries forward</v>
      </c>
    </row>
    <row r="1452" spans="1:9">
      <c r="A1452" s="9">
        <v>45352</v>
      </c>
      <c r="B1452" t="s">
        <v>86</v>
      </c>
      <c r="C1452" t="s">
        <v>8</v>
      </c>
      <c r="D1452" s="4">
        <v>210</v>
      </c>
      <c r="E1452" s="4"/>
      <c r="F1452">
        <v>236</v>
      </c>
      <c r="H1452" t="str">
        <f t="shared" si="22"/>
        <v>2024-03</v>
      </c>
      <c r="I1452" t="str">
        <f>_xlfn.XLOOKUP(Table1[[#This Row],[Customer_ID]],Customers!$A$2:$A$30,Customers!$C$2:$C$30,"Not found")</f>
        <v>Carries forward</v>
      </c>
    </row>
    <row r="1453" spans="1:9">
      <c r="A1453" s="9">
        <v>45353</v>
      </c>
      <c r="B1453" t="s">
        <v>86</v>
      </c>
      <c r="C1453" t="s">
        <v>8</v>
      </c>
      <c r="D1453" s="4">
        <v>11</v>
      </c>
      <c r="E1453" s="4"/>
      <c r="F1453">
        <v>236</v>
      </c>
      <c r="H1453" t="str">
        <f t="shared" si="22"/>
        <v>2024-03</v>
      </c>
      <c r="I1453" t="str">
        <f>_xlfn.XLOOKUP(Table1[[#This Row],[Customer_ID]],Customers!$A$2:$A$30,Customers!$C$2:$C$30,"Not found")</f>
        <v>Carries forward</v>
      </c>
    </row>
    <row r="1454" spans="1:9">
      <c r="A1454" s="9">
        <v>45355</v>
      </c>
      <c r="B1454" t="s">
        <v>86</v>
      </c>
      <c r="C1454" t="s">
        <v>8</v>
      </c>
      <c r="D1454" s="4">
        <v>265</v>
      </c>
      <c r="E1454" s="4"/>
      <c r="F1454">
        <v>236</v>
      </c>
      <c r="H1454" t="str">
        <f t="shared" si="22"/>
        <v>2024-03</v>
      </c>
      <c r="I1454" t="str">
        <f>_xlfn.XLOOKUP(Table1[[#This Row],[Customer_ID]],Customers!$A$2:$A$30,Customers!$C$2:$C$30,"Not found")</f>
        <v>Carries forward</v>
      </c>
    </row>
    <row r="1455" spans="1:9">
      <c r="A1455" s="9">
        <v>45355</v>
      </c>
      <c r="B1455" t="s">
        <v>86</v>
      </c>
      <c r="C1455" t="s">
        <v>8</v>
      </c>
      <c r="D1455" s="4">
        <v>47</v>
      </c>
      <c r="E1455" s="4"/>
      <c r="F1455">
        <v>236</v>
      </c>
      <c r="H1455" t="str">
        <f t="shared" si="22"/>
        <v>2024-03</v>
      </c>
      <c r="I1455" t="str">
        <f>_xlfn.XLOOKUP(Table1[[#This Row],[Customer_ID]],Customers!$A$2:$A$30,Customers!$C$2:$C$30,"Not found")</f>
        <v>Carries forward</v>
      </c>
    </row>
    <row r="1456" spans="1:9">
      <c r="A1456" s="9">
        <v>45355</v>
      </c>
      <c r="B1456" t="s">
        <v>86</v>
      </c>
      <c r="C1456" t="s">
        <v>8</v>
      </c>
      <c r="D1456" s="4">
        <v>133</v>
      </c>
      <c r="E1456" s="4"/>
      <c r="F1456">
        <v>236</v>
      </c>
      <c r="H1456" t="str">
        <f t="shared" si="22"/>
        <v>2024-03</v>
      </c>
      <c r="I1456" t="str">
        <f>_xlfn.XLOOKUP(Table1[[#This Row],[Customer_ID]],Customers!$A$2:$A$30,Customers!$C$2:$C$30,"Not found")</f>
        <v>Carries forward</v>
      </c>
    </row>
    <row r="1457" spans="1:9">
      <c r="A1457" s="9">
        <v>45355</v>
      </c>
      <c r="B1457" t="s">
        <v>86</v>
      </c>
      <c r="C1457" t="s">
        <v>8</v>
      </c>
      <c r="D1457" s="4">
        <v>96</v>
      </c>
      <c r="E1457" s="4"/>
      <c r="F1457">
        <v>236</v>
      </c>
      <c r="H1457" t="str">
        <f t="shared" si="22"/>
        <v>2024-03</v>
      </c>
      <c r="I1457" t="str">
        <f>_xlfn.XLOOKUP(Table1[[#This Row],[Customer_ID]],Customers!$A$2:$A$30,Customers!$C$2:$C$30,"Not found")</f>
        <v>Carries forward</v>
      </c>
    </row>
    <row r="1458" spans="1:9">
      <c r="A1458" s="9">
        <v>45355</v>
      </c>
      <c r="B1458" t="s">
        <v>86</v>
      </c>
      <c r="C1458" t="s">
        <v>8</v>
      </c>
      <c r="D1458" s="4">
        <v>45</v>
      </c>
      <c r="E1458" s="4"/>
      <c r="F1458">
        <v>236</v>
      </c>
      <c r="H1458" t="str">
        <f t="shared" si="22"/>
        <v>2024-03</v>
      </c>
      <c r="I1458" t="str">
        <f>_xlfn.XLOOKUP(Table1[[#This Row],[Customer_ID]],Customers!$A$2:$A$30,Customers!$C$2:$C$30,"Not found")</f>
        <v>Carries forward</v>
      </c>
    </row>
    <row r="1459" spans="1:9">
      <c r="A1459" s="9">
        <v>45355</v>
      </c>
      <c r="B1459" t="s">
        <v>86</v>
      </c>
      <c r="C1459" t="s">
        <v>8</v>
      </c>
      <c r="D1459" s="4">
        <v>346</v>
      </c>
      <c r="E1459" s="4"/>
      <c r="F1459">
        <v>236</v>
      </c>
      <c r="H1459" t="str">
        <f t="shared" si="22"/>
        <v>2024-03</v>
      </c>
      <c r="I1459" t="str">
        <f>_xlfn.XLOOKUP(Table1[[#This Row],[Customer_ID]],Customers!$A$2:$A$30,Customers!$C$2:$C$30,"Not found")</f>
        <v>Carries forward</v>
      </c>
    </row>
    <row r="1460" spans="1:9">
      <c r="A1460" s="9">
        <v>45355</v>
      </c>
      <c r="B1460" t="s">
        <v>86</v>
      </c>
      <c r="C1460" t="s">
        <v>8</v>
      </c>
      <c r="D1460" s="4">
        <v>37</v>
      </c>
      <c r="E1460" s="4"/>
      <c r="F1460">
        <v>236</v>
      </c>
      <c r="H1460" t="str">
        <f t="shared" si="22"/>
        <v>2024-03</v>
      </c>
      <c r="I1460" t="str">
        <f>_xlfn.XLOOKUP(Table1[[#This Row],[Customer_ID]],Customers!$A$2:$A$30,Customers!$C$2:$C$30,"Not found")</f>
        <v>Carries forward</v>
      </c>
    </row>
    <row r="1461" spans="1:9">
      <c r="A1461" s="9">
        <v>45355</v>
      </c>
      <c r="B1461" t="s">
        <v>86</v>
      </c>
      <c r="C1461" t="s">
        <v>8</v>
      </c>
      <c r="D1461" s="4">
        <v>1740</v>
      </c>
      <c r="E1461" s="4"/>
      <c r="F1461">
        <v>236</v>
      </c>
      <c r="H1461" t="str">
        <f t="shared" si="22"/>
        <v>2024-03</v>
      </c>
      <c r="I1461" t="str">
        <f>_xlfn.XLOOKUP(Table1[[#This Row],[Customer_ID]],Customers!$A$2:$A$30,Customers!$C$2:$C$30,"Not found")</f>
        <v>Carries forward</v>
      </c>
    </row>
    <row r="1462" spans="1:9">
      <c r="A1462" s="9">
        <v>45356</v>
      </c>
      <c r="B1462" t="s">
        <v>86</v>
      </c>
      <c r="C1462" t="s">
        <v>8</v>
      </c>
      <c r="D1462" s="4">
        <v>150</v>
      </c>
      <c r="E1462" s="4"/>
      <c r="F1462">
        <v>236</v>
      </c>
      <c r="G1462" t="s">
        <v>287</v>
      </c>
      <c r="H1462" t="str">
        <f t="shared" si="22"/>
        <v>2024-03</v>
      </c>
      <c r="I1462" t="str">
        <f>_xlfn.XLOOKUP(Table1[[#This Row],[Customer_ID]],Customers!$A$2:$A$30,Customers!$C$2:$C$30,"Not found")</f>
        <v>Carries forward</v>
      </c>
    </row>
    <row r="1463" spans="1:9">
      <c r="A1463" s="9">
        <v>45356</v>
      </c>
      <c r="B1463" t="s">
        <v>86</v>
      </c>
      <c r="C1463" t="s">
        <v>8</v>
      </c>
      <c r="D1463" s="4">
        <v>62</v>
      </c>
      <c r="E1463" s="4"/>
      <c r="F1463">
        <v>236</v>
      </c>
      <c r="H1463" t="str">
        <f t="shared" si="22"/>
        <v>2024-03</v>
      </c>
      <c r="I1463" t="str">
        <f>_xlfn.XLOOKUP(Table1[[#This Row],[Customer_ID]],Customers!$A$2:$A$30,Customers!$C$2:$C$30,"Not found")</f>
        <v>Carries forward</v>
      </c>
    </row>
    <row r="1464" spans="1:9">
      <c r="A1464" s="9">
        <v>45356</v>
      </c>
      <c r="B1464" t="s">
        <v>86</v>
      </c>
      <c r="C1464" t="s">
        <v>8</v>
      </c>
      <c r="D1464" s="4">
        <v>28</v>
      </c>
      <c r="E1464" s="4"/>
      <c r="F1464">
        <v>236</v>
      </c>
      <c r="H1464" t="str">
        <f t="shared" si="22"/>
        <v>2024-03</v>
      </c>
      <c r="I1464" t="str">
        <f>_xlfn.XLOOKUP(Table1[[#This Row],[Customer_ID]],Customers!$A$2:$A$30,Customers!$C$2:$C$30,"Not found")</f>
        <v>Carries forward</v>
      </c>
    </row>
    <row r="1465" spans="1:9">
      <c r="A1465" s="9">
        <v>45356</v>
      </c>
      <c r="B1465" t="s">
        <v>86</v>
      </c>
      <c r="C1465" t="s">
        <v>8</v>
      </c>
      <c r="D1465" s="4">
        <v>50</v>
      </c>
      <c r="E1465" s="4"/>
      <c r="F1465">
        <v>236</v>
      </c>
      <c r="H1465" t="str">
        <f t="shared" si="22"/>
        <v>2024-03</v>
      </c>
      <c r="I1465" t="str">
        <f>_xlfn.XLOOKUP(Table1[[#This Row],[Customer_ID]],Customers!$A$2:$A$30,Customers!$C$2:$C$30,"Not found")</f>
        <v>Carries forward</v>
      </c>
    </row>
    <row r="1466" spans="1:9">
      <c r="A1466" s="9">
        <v>45356</v>
      </c>
      <c r="B1466" t="s">
        <v>86</v>
      </c>
      <c r="C1466" t="s">
        <v>8</v>
      </c>
      <c r="D1466" s="4">
        <v>25</v>
      </c>
      <c r="E1466" s="4"/>
      <c r="F1466">
        <v>236</v>
      </c>
      <c r="H1466" t="str">
        <f t="shared" si="22"/>
        <v>2024-03</v>
      </c>
      <c r="I1466" t="str">
        <f>_xlfn.XLOOKUP(Table1[[#This Row],[Customer_ID]],Customers!$A$2:$A$30,Customers!$C$2:$C$30,"Not found")</f>
        <v>Carries forward</v>
      </c>
    </row>
    <row r="1467" spans="1:9">
      <c r="A1467" s="9">
        <v>45356</v>
      </c>
      <c r="B1467" t="s">
        <v>86</v>
      </c>
      <c r="C1467" t="s">
        <v>8</v>
      </c>
      <c r="D1467" s="4">
        <v>20</v>
      </c>
      <c r="E1467" s="4"/>
      <c r="F1467">
        <v>236</v>
      </c>
      <c r="H1467" t="str">
        <f t="shared" si="22"/>
        <v>2024-03</v>
      </c>
      <c r="I1467" t="str">
        <f>_xlfn.XLOOKUP(Table1[[#This Row],[Customer_ID]],Customers!$A$2:$A$30,Customers!$C$2:$C$30,"Not found")</f>
        <v>Carries forward</v>
      </c>
    </row>
    <row r="1468" spans="1:9">
      <c r="A1468" s="9">
        <v>45356</v>
      </c>
      <c r="B1468" t="s">
        <v>86</v>
      </c>
      <c r="C1468" t="s">
        <v>8</v>
      </c>
      <c r="D1468" s="4">
        <v>112</v>
      </c>
      <c r="E1468" s="4"/>
      <c r="F1468">
        <v>236</v>
      </c>
      <c r="H1468" t="str">
        <f t="shared" si="22"/>
        <v>2024-03</v>
      </c>
      <c r="I1468" t="str">
        <f>_xlfn.XLOOKUP(Table1[[#This Row],[Customer_ID]],Customers!$A$2:$A$30,Customers!$C$2:$C$30,"Not found")</f>
        <v>Carries forward</v>
      </c>
    </row>
    <row r="1469" spans="1:9">
      <c r="A1469" s="9">
        <v>45356</v>
      </c>
      <c r="B1469" t="s">
        <v>86</v>
      </c>
      <c r="C1469" t="s">
        <v>8</v>
      </c>
      <c r="D1469" s="4">
        <v>105</v>
      </c>
      <c r="E1469" s="4"/>
      <c r="F1469">
        <v>236</v>
      </c>
      <c r="H1469" t="str">
        <f t="shared" si="22"/>
        <v>2024-03</v>
      </c>
      <c r="I1469" t="str">
        <f>_xlfn.XLOOKUP(Table1[[#This Row],[Customer_ID]],Customers!$A$2:$A$30,Customers!$C$2:$C$30,"Not found")</f>
        <v>Carries forward</v>
      </c>
    </row>
    <row r="1470" spans="1:9">
      <c r="A1470" s="9">
        <v>45356</v>
      </c>
      <c r="B1470" t="s">
        <v>86</v>
      </c>
      <c r="C1470" t="s">
        <v>8</v>
      </c>
      <c r="D1470" s="4">
        <v>90</v>
      </c>
      <c r="E1470" s="4"/>
      <c r="F1470">
        <v>236</v>
      </c>
      <c r="H1470" t="str">
        <f t="shared" si="22"/>
        <v>2024-03</v>
      </c>
      <c r="I1470" t="str">
        <f>_xlfn.XLOOKUP(Table1[[#This Row],[Customer_ID]],Customers!$A$2:$A$30,Customers!$C$2:$C$30,"Not found")</f>
        <v>Carries forward</v>
      </c>
    </row>
    <row r="1471" spans="1:9">
      <c r="A1471" s="9">
        <v>45357</v>
      </c>
      <c r="B1471" t="s">
        <v>86</v>
      </c>
      <c r="C1471" t="s">
        <v>8</v>
      </c>
      <c r="D1471" s="4">
        <v>80</v>
      </c>
      <c r="E1471" s="4"/>
      <c r="F1471">
        <v>236</v>
      </c>
      <c r="H1471" t="str">
        <f t="shared" ref="H1471:H1534" si="23">IF(A1471="","",TEXT(A1471,"yyyy-mm"))</f>
        <v>2024-03</v>
      </c>
      <c r="I1471" t="str">
        <f>_xlfn.XLOOKUP(Table1[[#This Row],[Customer_ID]],Customers!$A$2:$A$30,Customers!$C$2:$C$30,"Not found")</f>
        <v>Carries forward</v>
      </c>
    </row>
    <row r="1472" spans="1:9">
      <c r="A1472" s="9">
        <v>45357</v>
      </c>
      <c r="B1472" t="s">
        <v>86</v>
      </c>
      <c r="C1472" t="s">
        <v>8</v>
      </c>
      <c r="D1472" s="4">
        <v>20</v>
      </c>
      <c r="E1472" s="4"/>
      <c r="F1472">
        <v>236</v>
      </c>
      <c r="H1472" t="str">
        <f t="shared" si="23"/>
        <v>2024-03</v>
      </c>
      <c r="I1472" t="str">
        <f>_xlfn.XLOOKUP(Table1[[#This Row],[Customer_ID]],Customers!$A$2:$A$30,Customers!$C$2:$C$30,"Not found")</f>
        <v>Carries forward</v>
      </c>
    </row>
    <row r="1473" spans="1:9">
      <c r="A1473" s="9">
        <v>45357</v>
      </c>
      <c r="B1473" t="s">
        <v>86</v>
      </c>
      <c r="C1473" t="s">
        <v>8</v>
      </c>
      <c r="D1473" s="4">
        <v>60</v>
      </c>
      <c r="E1473" s="4"/>
      <c r="F1473">
        <v>236</v>
      </c>
      <c r="H1473" t="str">
        <f t="shared" si="23"/>
        <v>2024-03</v>
      </c>
      <c r="I1473" t="str">
        <f>_xlfn.XLOOKUP(Table1[[#This Row],[Customer_ID]],Customers!$A$2:$A$30,Customers!$C$2:$C$30,"Not found")</f>
        <v>Carries forward</v>
      </c>
    </row>
    <row r="1474" spans="1:9">
      <c r="A1474" s="9">
        <v>45357</v>
      </c>
      <c r="B1474" t="s">
        <v>86</v>
      </c>
      <c r="C1474" t="s">
        <v>8</v>
      </c>
      <c r="D1474" s="4">
        <v>131</v>
      </c>
      <c r="E1474" s="4"/>
      <c r="F1474">
        <v>236</v>
      </c>
      <c r="H1474" t="str">
        <f t="shared" si="23"/>
        <v>2024-03</v>
      </c>
      <c r="I1474" t="str">
        <f>_xlfn.XLOOKUP(Table1[[#This Row],[Customer_ID]],Customers!$A$2:$A$30,Customers!$C$2:$C$30,"Not found")</f>
        <v>Carries forward</v>
      </c>
    </row>
    <row r="1475" spans="1:9">
      <c r="A1475" s="9">
        <v>45358</v>
      </c>
      <c r="B1475" t="s">
        <v>86</v>
      </c>
      <c r="C1475" t="s">
        <v>8</v>
      </c>
      <c r="D1475" s="4">
        <v>86</v>
      </c>
      <c r="E1475" s="4"/>
      <c r="F1475">
        <v>236</v>
      </c>
      <c r="H1475" t="str">
        <f t="shared" si="23"/>
        <v>2024-03</v>
      </c>
      <c r="I1475" t="str">
        <f>_xlfn.XLOOKUP(Table1[[#This Row],[Customer_ID]],Customers!$A$2:$A$30,Customers!$C$2:$C$30,"Not found")</f>
        <v>Carries forward</v>
      </c>
    </row>
    <row r="1476" spans="1:9">
      <c r="A1476" s="9">
        <v>45358</v>
      </c>
      <c r="B1476" t="s">
        <v>86</v>
      </c>
      <c r="C1476" t="s">
        <v>8</v>
      </c>
      <c r="D1476" s="4">
        <v>249</v>
      </c>
      <c r="E1476" s="4"/>
      <c r="F1476">
        <v>236</v>
      </c>
      <c r="H1476" t="str">
        <f t="shared" si="23"/>
        <v>2024-03</v>
      </c>
      <c r="I1476" t="str">
        <f>_xlfn.XLOOKUP(Table1[[#This Row],[Customer_ID]],Customers!$A$2:$A$30,Customers!$C$2:$C$30,"Not found")</f>
        <v>Carries forward</v>
      </c>
    </row>
    <row r="1477" spans="1:9">
      <c r="A1477" s="9">
        <v>45358</v>
      </c>
      <c r="B1477" t="s">
        <v>86</v>
      </c>
      <c r="C1477" t="s">
        <v>8</v>
      </c>
      <c r="D1477" s="4">
        <v>64</v>
      </c>
      <c r="E1477" s="4"/>
      <c r="F1477">
        <v>236</v>
      </c>
      <c r="H1477" t="str">
        <f t="shared" si="23"/>
        <v>2024-03</v>
      </c>
      <c r="I1477" t="str">
        <f>_xlfn.XLOOKUP(Table1[[#This Row],[Customer_ID]],Customers!$A$2:$A$30,Customers!$C$2:$C$30,"Not found")</f>
        <v>Carries forward</v>
      </c>
    </row>
    <row r="1478" spans="1:9">
      <c r="A1478" s="9">
        <v>45358</v>
      </c>
      <c r="B1478" t="s">
        <v>86</v>
      </c>
      <c r="C1478" t="s">
        <v>8</v>
      </c>
      <c r="D1478" s="4">
        <v>46</v>
      </c>
      <c r="E1478" s="4"/>
      <c r="F1478">
        <v>236</v>
      </c>
      <c r="H1478" t="str">
        <f t="shared" si="23"/>
        <v>2024-03</v>
      </c>
      <c r="I1478" t="str">
        <f>_xlfn.XLOOKUP(Table1[[#This Row],[Customer_ID]],Customers!$A$2:$A$30,Customers!$C$2:$C$30,"Not found")</f>
        <v>Carries forward</v>
      </c>
    </row>
    <row r="1479" spans="1:9">
      <c r="A1479" s="9">
        <v>45358</v>
      </c>
      <c r="B1479" t="s">
        <v>86</v>
      </c>
      <c r="C1479" t="s">
        <v>8</v>
      </c>
      <c r="D1479" s="4">
        <v>87</v>
      </c>
      <c r="E1479" s="4"/>
      <c r="F1479">
        <v>236</v>
      </c>
      <c r="H1479" t="str">
        <f t="shared" si="23"/>
        <v>2024-03</v>
      </c>
      <c r="I1479" t="str">
        <f>_xlfn.XLOOKUP(Table1[[#This Row],[Customer_ID]],Customers!$A$2:$A$30,Customers!$C$2:$C$30,"Not found")</f>
        <v>Carries forward</v>
      </c>
    </row>
    <row r="1480" spans="1:9">
      <c r="A1480" s="9">
        <v>45358</v>
      </c>
      <c r="B1480" t="s">
        <v>86</v>
      </c>
      <c r="C1480" t="s">
        <v>8</v>
      </c>
      <c r="D1480" s="4">
        <v>45</v>
      </c>
      <c r="E1480" s="4"/>
      <c r="F1480">
        <v>236</v>
      </c>
      <c r="H1480" t="str">
        <f t="shared" si="23"/>
        <v>2024-03</v>
      </c>
      <c r="I1480" t="str">
        <f>_xlfn.XLOOKUP(Table1[[#This Row],[Customer_ID]],Customers!$A$2:$A$30,Customers!$C$2:$C$30,"Not found")</f>
        <v>Carries forward</v>
      </c>
    </row>
    <row r="1481" spans="1:9">
      <c r="A1481" s="9">
        <v>45359</v>
      </c>
      <c r="B1481" t="s">
        <v>86</v>
      </c>
      <c r="C1481" t="s">
        <v>8</v>
      </c>
      <c r="D1481" s="4">
        <v>85</v>
      </c>
      <c r="E1481" s="4"/>
      <c r="F1481">
        <v>236</v>
      </c>
      <c r="H1481" t="str">
        <f t="shared" si="23"/>
        <v>2024-03</v>
      </c>
      <c r="I1481" t="str">
        <f>_xlfn.XLOOKUP(Table1[[#This Row],[Customer_ID]],Customers!$A$2:$A$30,Customers!$C$2:$C$30,"Not found")</f>
        <v>Carries forward</v>
      </c>
    </row>
    <row r="1482" spans="1:9">
      <c r="A1482" s="9">
        <v>45359</v>
      </c>
      <c r="B1482" t="s">
        <v>86</v>
      </c>
      <c r="C1482" t="s">
        <v>8</v>
      </c>
      <c r="D1482" s="4">
        <v>100</v>
      </c>
      <c r="E1482" s="4"/>
      <c r="F1482">
        <v>236</v>
      </c>
      <c r="H1482" t="str">
        <f t="shared" si="23"/>
        <v>2024-03</v>
      </c>
      <c r="I1482" t="str">
        <f>_xlfn.XLOOKUP(Table1[[#This Row],[Customer_ID]],Customers!$A$2:$A$30,Customers!$C$2:$C$30,"Not found")</f>
        <v>Carries forward</v>
      </c>
    </row>
    <row r="1483" spans="1:9">
      <c r="A1483" s="9">
        <v>45359</v>
      </c>
      <c r="B1483" t="s">
        <v>86</v>
      </c>
      <c r="C1483" t="s">
        <v>8</v>
      </c>
      <c r="D1483" s="4">
        <v>87</v>
      </c>
      <c r="E1483" s="4"/>
      <c r="F1483">
        <v>236</v>
      </c>
      <c r="H1483" t="str">
        <f t="shared" si="23"/>
        <v>2024-03</v>
      </c>
      <c r="I1483" t="str">
        <f>_xlfn.XLOOKUP(Table1[[#This Row],[Customer_ID]],Customers!$A$2:$A$30,Customers!$C$2:$C$30,"Not found")</f>
        <v>Carries forward</v>
      </c>
    </row>
    <row r="1484" spans="1:9">
      <c r="A1484" s="9">
        <v>45359</v>
      </c>
      <c r="B1484" t="s">
        <v>86</v>
      </c>
      <c r="C1484" t="s">
        <v>8</v>
      </c>
      <c r="D1484" s="4">
        <v>47</v>
      </c>
      <c r="E1484" s="4"/>
      <c r="F1484">
        <v>236</v>
      </c>
      <c r="H1484" t="str">
        <f t="shared" si="23"/>
        <v>2024-03</v>
      </c>
      <c r="I1484" t="str">
        <f>_xlfn.XLOOKUP(Table1[[#This Row],[Customer_ID]],Customers!$A$2:$A$30,Customers!$C$2:$C$30,"Not found")</f>
        <v>Carries forward</v>
      </c>
    </row>
    <row r="1485" spans="1:9">
      <c r="A1485" s="9">
        <v>45360</v>
      </c>
      <c r="B1485" t="s">
        <v>86</v>
      </c>
      <c r="C1485" t="s">
        <v>8</v>
      </c>
      <c r="D1485" s="4">
        <v>219</v>
      </c>
      <c r="E1485" s="4"/>
      <c r="F1485">
        <v>236</v>
      </c>
      <c r="H1485" t="str">
        <f t="shared" si="23"/>
        <v>2024-03</v>
      </c>
      <c r="I1485" t="str">
        <f>_xlfn.XLOOKUP(Table1[[#This Row],[Customer_ID]],Customers!$A$2:$A$30,Customers!$C$2:$C$30,"Not found")</f>
        <v>Carries forward</v>
      </c>
    </row>
    <row r="1486" spans="1:9">
      <c r="A1486" s="9">
        <v>45360</v>
      </c>
      <c r="B1486" t="s">
        <v>86</v>
      </c>
      <c r="C1486" t="s">
        <v>8</v>
      </c>
      <c r="D1486" s="4">
        <v>29</v>
      </c>
      <c r="E1486" s="4"/>
      <c r="F1486">
        <v>236</v>
      </c>
      <c r="H1486" t="str">
        <f t="shared" si="23"/>
        <v>2024-03</v>
      </c>
      <c r="I1486" t="str">
        <f>_xlfn.XLOOKUP(Table1[[#This Row],[Customer_ID]],Customers!$A$2:$A$30,Customers!$C$2:$C$30,"Not found")</f>
        <v>Carries forward</v>
      </c>
    </row>
    <row r="1487" spans="1:9">
      <c r="A1487" s="9">
        <v>45360</v>
      </c>
      <c r="B1487" t="s">
        <v>86</v>
      </c>
      <c r="C1487" t="s">
        <v>8</v>
      </c>
      <c r="D1487" s="4">
        <v>95</v>
      </c>
      <c r="E1487" s="4"/>
      <c r="F1487">
        <v>236</v>
      </c>
      <c r="H1487" t="str">
        <f t="shared" si="23"/>
        <v>2024-03</v>
      </c>
      <c r="I1487" t="str">
        <f>_xlfn.XLOOKUP(Table1[[#This Row],[Customer_ID]],Customers!$A$2:$A$30,Customers!$C$2:$C$30,"Not found")</f>
        <v>Carries forward</v>
      </c>
    </row>
    <row r="1488" spans="1:9">
      <c r="A1488" s="9">
        <v>45360</v>
      </c>
      <c r="B1488" t="s">
        <v>86</v>
      </c>
      <c r="C1488" t="s">
        <v>8</v>
      </c>
      <c r="D1488" s="4">
        <v>15</v>
      </c>
      <c r="E1488" s="4"/>
      <c r="F1488">
        <v>236</v>
      </c>
      <c r="H1488" t="str">
        <f t="shared" si="23"/>
        <v>2024-03</v>
      </c>
      <c r="I1488" t="str">
        <f>_xlfn.XLOOKUP(Table1[[#This Row],[Customer_ID]],Customers!$A$2:$A$30,Customers!$C$2:$C$30,"Not found")</f>
        <v>Carries forward</v>
      </c>
    </row>
    <row r="1489" spans="1:9">
      <c r="A1489" s="9">
        <v>45360</v>
      </c>
      <c r="B1489" t="s">
        <v>86</v>
      </c>
      <c r="C1489" t="s">
        <v>8</v>
      </c>
      <c r="D1489" s="4">
        <v>15</v>
      </c>
      <c r="E1489" s="4"/>
      <c r="F1489">
        <v>236</v>
      </c>
      <c r="H1489" t="str">
        <f t="shared" si="23"/>
        <v>2024-03</v>
      </c>
      <c r="I1489" t="str">
        <f>_xlfn.XLOOKUP(Table1[[#This Row],[Customer_ID]],Customers!$A$2:$A$30,Customers!$C$2:$C$30,"Not found")</f>
        <v>Carries forward</v>
      </c>
    </row>
    <row r="1490" spans="1:9">
      <c r="A1490" s="9">
        <v>45361</v>
      </c>
      <c r="B1490" t="s">
        <v>86</v>
      </c>
      <c r="C1490" t="s">
        <v>8</v>
      </c>
      <c r="D1490" s="4">
        <v>171</v>
      </c>
      <c r="E1490" s="4"/>
      <c r="F1490">
        <v>236</v>
      </c>
      <c r="H1490" t="str">
        <f t="shared" si="23"/>
        <v>2024-03</v>
      </c>
      <c r="I1490" t="str">
        <f>_xlfn.XLOOKUP(Table1[[#This Row],[Customer_ID]],Customers!$A$2:$A$30,Customers!$C$2:$C$30,"Not found")</f>
        <v>Carries forward</v>
      </c>
    </row>
    <row r="1491" spans="1:9">
      <c r="A1491" s="9">
        <v>45361</v>
      </c>
      <c r="B1491" t="s">
        <v>86</v>
      </c>
      <c r="C1491" t="s">
        <v>8</v>
      </c>
      <c r="D1491" s="4">
        <v>97</v>
      </c>
      <c r="E1491" s="4"/>
      <c r="F1491">
        <v>236</v>
      </c>
      <c r="H1491" t="str">
        <f t="shared" si="23"/>
        <v>2024-03</v>
      </c>
      <c r="I1491" t="str">
        <f>_xlfn.XLOOKUP(Table1[[#This Row],[Customer_ID]],Customers!$A$2:$A$30,Customers!$C$2:$C$30,"Not found")</f>
        <v>Carries forward</v>
      </c>
    </row>
    <row r="1492" spans="1:9">
      <c r="A1492" s="9">
        <v>45361</v>
      </c>
      <c r="B1492" t="s">
        <v>86</v>
      </c>
      <c r="C1492" t="s">
        <v>8</v>
      </c>
      <c r="D1492" s="4">
        <v>210</v>
      </c>
      <c r="E1492" s="4"/>
      <c r="F1492">
        <v>236</v>
      </c>
      <c r="H1492" t="str">
        <f t="shared" si="23"/>
        <v>2024-03</v>
      </c>
      <c r="I1492" t="str">
        <f>_xlfn.XLOOKUP(Table1[[#This Row],[Customer_ID]],Customers!$A$2:$A$30,Customers!$C$2:$C$30,"Not found")</f>
        <v>Carries forward</v>
      </c>
    </row>
    <row r="1493" spans="1:9">
      <c r="A1493" s="9">
        <v>45361</v>
      </c>
      <c r="B1493" t="s">
        <v>86</v>
      </c>
      <c r="C1493" t="s">
        <v>8</v>
      </c>
      <c r="D1493" s="4">
        <v>40</v>
      </c>
      <c r="E1493" s="4"/>
      <c r="F1493">
        <v>236</v>
      </c>
      <c r="H1493" t="str">
        <f t="shared" si="23"/>
        <v>2024-03</v>
      </c>
      <c r="I1493" t="str">
        <f>_xlfn.XLOOKUP(Table1[[#This Row],[Customer_ID]],Customers!$A$2:$A$30,Customers!$C$2:$C$30,"Not found")</f>
        <v>Carries forward</v>
      </c>
    </row>
    <row r="1494" spans="1:9">
      <c r="A1494" s="9">
        <v>45361</v>
      </c>
      <c r="B1494" t="s">
        <v>86</v>
      </c>
      <c r="C1494" t="s">
        <v>8</v>
      </c>
      <c r="D1494" s="4">
        <v>125</v>
      </c>
      <c r="E1494" s="4"/>
      <c r="F1494">
        <v>236</v>
      </c>
      <c r="G1494" t="s">
        <v>288</v>
      </c>
      <c r="H1494" t="str">
        <f t="shared" si="23"/>
        <v>2024-03</v>
      </c>
      <c r="I1494" t="str">
        <f>_xlfn.XLOOKUP(Table1[[#This Row],[Customer_ID]],Customers!$A$2:$A$30,Customers!$C$2:$C$30,"Not found")</f>
        <v>Carries forward</v>
      </c>
    </row>
    <row r="1495" spans="1:9">
      <c r="A1495" s="9">
        <v>45361</v>
      </c>
      <c r="B1495" t="s">
        <v>86</v>
      </c>
      <c r="C1495" t="s">
        <v>8</v>
      </c>
      <c r="D1495" s="4">
        <v>227</v>
      </c>
      <c r="E1495" s="4"/>
      <c r="F1495">
        <v>236</v>
      </c>
      <c r="G1495" t="s">
        <v>288</v>
      </c>
      <c r="H1495" t="str">
        <f t="shared" si="23"/>
        <v>2024-03</v>
      </c>
      <c r="I1495" t="str">
        <f>_xlfn.XLOOKUP(Table1[[#This Row],[Customer_ID]],Customers!$A$2:$A$30,Customers!$C$2:$C$30,"Not found")</f>
        <v>Carries forward</v>
      </c>
    </row>
    <row r="1496" spans="1:9">
      <c r="A1496" s="9">
        <v>45362</v>
      </c>
      <c r="B1496" t="s">
        <v>86</v>
      </c>
      <c r="C1496" t="s">
        <v>8</v>
      </c>
      <c r="D1496" s="4">
        <v>56</v>
      </c>
      <c r="E1496" s="4"/>
      <c r="F1496">
        <v>236</v>
      </c>
      <c r="H1496" t="str">
        <f t="shared" si="23"/>
        <v>2024-03</v>
      </c>
      <c r="I1496" t="str">
        <f>_xlfn.XLOOKUP(Table1[[#This Row],[Customer_ID]],Customers!$A$2:$A$30,Customers!$C$2:$C$30,"Not found")</f>
        <v>Carries forward</v>
      </c>
    </row>
    <row r="1497" spans="1:9">
      <c r="A1497" s="9">
        <v>45362</v>
      </c>
      <c r="B1497" t="s">
        <v>86</v>
      </c>
      <c r="C1497" t="s">
        <v>8</v>
      </c>
      <c r="D1497" s="4">
        <v>65</v>
      </c>
      <c r="E1497" s="4"/>
      <c r="F1497">
        <v>236</v>
      </c>
      <c r="H1497" t="str">
        <f t="shared" si="23"/>
        <v>2024-03</v>
      </c>
      <c r="I1497" t="str">
        <f>_xlfn.XLOOKUP(Table1[[#This Row],[Customer_ID]],Customers!$A$2:$A$30,Customers!$C$2:$C$30,"Not found")</f>
        <v>Carries forward</v>
      </c>
    </row>
    <row r="1498" spans="1:9">
      <c r="A1498" s="9">
        <v>45362</v>
      </c>
      <c r="B1498" t="s">
        <v>86</v>
      </c>
      <c r="C1498" t="s">
        <v>8</v>
      </c>
      <c r="D1498" s="4">
        <v>51</v>
      </c>
      <c r="E1498" s="4"/>
      <c r="F1498">
        <v>236</v>
      </c>
      <c r="H1498" t="str">
        <f t="shared" si="23"/>
        <v>2024-03</v>
      </c>
      <c r="I1498" t="str">
        <f>_xlfn.XLOOKUP(Table1[[#This Row],[Customer_ID]],Customers!$A$2:$A$30,Customers!$C$2:$C$30,"Not found")</f>
        <v>Carries forward</v>
      </c>
    </row>
    <row r="1499" spans="1:9">
      <c r="A1499" s="9">
        <v>45362</v>
      </c>
      <c r="B1499" t="s">
        <v>86</v>
      </c>
      <c r="C1499" t="s">
        <v>8</v>
      </c>
      <c r="D1499" s="4">
        <v>40</v>
      </c>
      <c r="E1499" s="4"/>
      <c r="F1499">
        <v>236</v>
      </c>
      <c r="H1499" t="str">
        <f t="shared" si="23"/>
        <v>2024-03</v>
      </c>
      <c r="I1499" t="str">
        <f>_xlfn.XLOOKUP(Table1[[#This Row],[Customer_ID]],Customers!$A$2:$A$30,Customers!$C$2:$C$30,"Not found")</f>
        <v>Carries forward</v>
      </c>
    </row>
    <row r="1500" spans="1:9">
      <c r="A1500" s="9">
        <v>45363</v>
      </c>
      <c r="B1500" t="s">
        <v>86</v>
      </c>
      <c r="C1500" t="s">
        <v>8</v>
      </c>
      <c r="D1500" s="4">
        <v>348</v>
      </c>
      <c r="E1500" s="4"/>
      <c r="F1500">
        <v>236</v>
      </c>
      <c r="H1500" t="str">
        <f t="shared" si="23"/>
        <v>2024-03</v>
      </c>
      <c r="I1500" t="str">
        <f>_xlfn.XLOOKUP(Table1[[#This Row],[Customer_ID]],Customers!$A$2:$A$30,Customers!$C$2:$C$30,"Not found")</f>
        <v>Carries forward</v>
      </c>
    </row>
    <row r="1501" spans="1:9">
      <c r="A1501" s="9">
        <v>45363</v>
      </c>
      <c r="B1501" t="s">
        <v>86</v>
      </c>
      <c r="C1501" t="s">
        <v>8</v>
      </c>
      <c r="D1501" s="4">
        <v>27</v>
      </c>
      <c r="E1501" s="4"/>
      <c r="F1501">
        <v>236</v>
      </c>
      <c r="G1501" t="s">
        <v>289</v>
      </c>
      <c r="H1501" t="str">
        <f t="shared" si="23"/>
        <v>2024-03</v>
      </c>
      <c r="I1501" t="str">
        <f>_xlfn.XLOOKUP(Table1[[#This Row],[Customer_ID]],Customers!$A$2:$A$30,Customers!$C$2:$C$30,"Not found")</f>
        <v>Carries forward</v>
      </c>
    </row>
    <row r="1502" spans="1:9">
      <c r="A1502" s="9">
        <v>45363</v>
      </c>
      <c r="B1502" t="s">
        <v>86</v>
      </c>
      <c r="C1502" t="s">
        <v>8</v>
      </c>
      <c r="D1502" s="4">
        <v>296</v>
      </c>
      <c r="E1502" s="4"/>
      <c r="F1502">
        <v>236</v>
      </c>
      <c r="H1502" t="str">
        <f t="shared" si="23"/>
        <v>2024-03</v>
      </c>
      <c r="I1502" t="str">
        <f>_xlfn.XLOOKUP(Table1[[#This Row],[Customer_ID]],Customers!$A$2:$A$30,Customers!$C$2:$C$30,"Not found")</f>
        <v>Carries forward</v>
      </c>
    </row>
    <row r="1503" spans="1:9">
      <c r="A1503" s="9">
        <v>45363</v>
      </c>
      <c r="B1503" t="s">
        <v>86</v>
      </c>
      <c r="C1503" t="s">
        <v>8</v>
      </c>
      <c r="D1503" s="4">
        <v>10</v>
      </c>
      <c r="E1503" s="4"/>
      <c r="F1503">
        <v>236</v>
      </c>
      <c r="H1503" t="str">
        <f t="shared" si="23"/>
        <v>2024-03</v>
      </c>
      <c r="I1503" t="str">
        <f>_xlfn.XLOOKUP(Table1[[#This Row],[Customer_ID]],Customers!$A$2:$A$30,Customers!$C$2:$C$30,"Not found")</f>
        <v>Carries forward</v>
      </c>
    </row>
    <row r="1504" spans="1:9">
      <c r="A1504" s="9">
        <v>45363</v>
      </c>
      <c r="B1504" t="s">
        <v>86</v>
      </c>
      <c r="C1504" t="s">
        <v>8</v>
      </c>
      <c r="D1504" s="4">
        <v>10</v>
      </c>
      <c r="E1504" s="4"/>
      <c r="F1504">
        <v>236</v>
      </c>
      <c r="H1504" t="str">
        <f t="shared" si="23"/>
        <v>2024-03</v>
      </c>
      <c r="I1504" t="str">
        <f>_xlfn.XLOOKUP(Table1[[#This Row],[Customer_ID]],Customers!$A$2:$A$30,Customers!$C$2:$C$30,"Not found")</f>
        <v>Carries forward</v>
      </c>
    </row>
    <row r="1505" spans="1:9">
      <c r="A1505" s="9">
        <v>45363</v>
      </c>
      <c r="B1505" t="s">
        <v>86</v>
      </c>
      <c r="C1505" t="s">
        <v>8</v>
      </c>
      <c r="D1505" s="4">
        <v>67</v>
      </c>
      <c r="E1505" s="4"/>
      <c r="F1505">
        <v>236</v>
      </c>
      <c r="H1505" t="str">
        <f t="shared" si="23"/>
        <v>2024-03</v>
      </c>
      <c r="I1505" t="str">
        <f>_xlfn.XLOOKUP(Table1[[#This Row],[Customer_ID]],Customers!$A$2:$A$30,Customers!$C$2:$C$30,"Not found")</f>
        <v>Carries forward</v>
      </c>
    </row>
    <row r="1506" spans="1:9">
      <c r="A1506" s="9">
        <v>45364</v>
      </c>
      <c r="B1506" t="s">
        <v>86</v>
      </c>
      <c r="C1506" t="s">
        <v>8</v>
      </c>
      <c r="D1506" s="4">
        <v>56</v>
      </c>
      <c r="E1506" s="4"/>
      <c r="F1506">
        <v>236</v>
      </c>
      <c r="H1506" t="str">
        <f t="shared" si="23"/>
        <v>2024-03</v>
      </c>
      <c r="I1506" t="str">
        <f>_xlfn.XLOOKUP(Table1[[#This Row],[Customer_ID]],Customers!$A$2:$A$30,Customers!$C$2:$C$30,"Not found")</f>
        <v>Carries forward</v>
      </c>
    </row>
    <row r="1507" spans="1:9">
      <c r="A1507" s="9">
        <v>45364</v>
      </c>
      <c r="B1507" t="s">
        <v>86</v>
      </c>
      <c r="C1507" t="s">
        <v>8</v>
      </c>
      <c r="D1507" s="4">
        <v>20</v>
      </c>
      <c r="E1507" s="4"/>
      <c r="F1507">
        <v>236</v>
      </c>
      <c r="H1507" t="str">
        <f t="shared" si="23"/>
        <v>2024-03</v>
      </c>
      <c r="I1507" t="str">
        <f>_xlfn.XLOOKUP(Table1[[#This Row],[Customer_ID]],Customers!$A$2:$A$30,Customers!$C$2:$C$30,"Not found")</f>
        <v>Carries forward</v>
      </c>
    </row>
    <row r="1508" spans="1:9">
      <c r="A1508" s="9">
        <v>45364</v>
      </c>
      <c r="B1508" t="s">
        <v>86</v>
      </c>
      <c r="C1508" t="s">
        <v>8</v>
      </c>
      <c r="D1508" s="4">
        <v>180</v>
      </c>
      <c r="E1508" s="4"/>
      <c r="F1508">
        <v>236</v>
      </c>
      <c r="H1508" t="str">
        <f t="shared" si="23"/>
        <v>2024-03</v>
      </c>
      <c r="I1508" t="str">
        <f>_xlfn.XLOOKUP(Table1[[#This Row],[Customer_ID]],Customers!$A$2:$A$30,Customers!$C$2:$C$30,"Not found")</f>
        <v>Carries forward</v>
      </c>
    </row>
    <row r="1509" spans="1:9">
      <c r="A1509" s="9">
        <v>45364</v>
      </c>
      <c r="B1509" t="s">
        <v>86</v>
      </c>
      <c r="C1509" t="s">
        <v>8</v>
      </c>
      <c r="D1509" s="4">
        <v>125</v>
      </c>
      <c r="E1509" s="4"/>
      <c r="F1509">
        <v>236</v>
      </c>
      <c r="H1509" t="str">
        <f t="shared" si="23"/>
        <v>2024-03</v>
      </c>
      <c r="I1509" t="str">
        <f>_xlfn.XLOOKUP(Table1[[#This Row],[Customer_ID]],Customers!$A$2:$A$30,Customers!$C$2:$C$30,"Not found")</f>
        <v>Carries forward</v>
      </c>
    </row>
    <row r="1510" spans="1:9">
      <c r="A1510" s="9">
        <v>45364</v>
      </c>
      <c r="B1510" t="s">
        <v>86</v>
      </c>
      <c r="C1510" t="s">
        <v>8</v>
      </c>
      <c r="D1510" s="4">
        <v>42</v>
      </c>
      <c r="E1510" s="4"/>
      <c r="F1510">
        <v>236</v>
      </c>
      <c r="H1510" t="str">
        <f t="shared" si="23"/>
        <v>2024-03</v>
      </c>
      <c r="I1510" t="str">
        <f>_xlfn.XLOOKUP(Table1[[#This Row],[Customer_ID]],Customers!$A$2:$A$30,Customers!$C$2:$C$30,"Not found")</f>
        <v>Carries forward</v>
      </c>
    </row>
    <row r="1511" spans="1:9">
      <c r="A1511" s="9">
        <v>45365</v>
      </c>
      <c r="B1511" t="s">
        <v>86</v>
      </c>
      <c r="C1511" t="s">
        <v>8</v>
      </c>
      <c r="D1511" s="4">
        <v>258</v>
      </c>
      <c r="E1511" s="4"/>
      <c r="F1511">
        <v>236</v>
      </c>
      <c r="H1511" t="str">
        <f t="shared" si="23"/>
        <v>2024-03</v>
      </c>
      <c r="I1511" t="str">
        <f>_xlfn.XLOOKUP(Table1[[#This Row],[Customer_ID]],Customers!$A$2:$A$30,Customers!$C$2:$C$30,"Not found")</f>
        <v>Carries forward</v>
      </c>
    </row>
    <row r="1512" spans="1:9">
      <c r="A1512" s="9">
        <v>45365</v>
      </c>
      <c r="B1512" t="s">
        <v>86</v>
      </c>
      <c r="C1512" t="s">
        <v>8</v>
      </c>
      <c r="D1512" s="4">
        <v>56</v>
      </c>
      <c r="E1512" s="4"/>
      <c r="F1512">
        <v>236</v>
      </c>
      <c r="H1512" t="str">
        <f t="shared" si="23"/>
        <v>2024-03</v>
      </c>
      <c r="I1512" t="str">
        <f>_xlfn.XLOOKUP(Table1[[#This Row],[Customer_ID]],Customers!$A$2:$A$30,Customers!$C$2:$C$30,"Not found")</f>
        <v>Carries forward</v>
      </c>
    </row>
    <row r="1513" spans="1:9">
      <c r="A1513" s="9">
        <v>45365</v>
      </c>
      <c r="B1513" t="s">
        <v>86</v>
      </c>
      <c r="C1513" t="s">
        <v>8</v>
      </c>
      <c r="D1513" s="4">
        <v>85</v>
      </c>
      <c r="E1513" s="4"/>
      <c r="F1513">
        <v>236</v>
      </c>
      <c r="H1513" t="str">
        <f t="shared" si="23"/>
        <v>2024-03</v>
      </c>
      <c r="I1513" t="str">
        <f>_xlfn.XLOOKUP(Table1[[#This Row],[Customer_ID]],Customers!$A$2:$A$30,Customers!$C$2:$C$30,"Not found")</f>
        <v>Carries forward</v>
      </c>
    </row>
    <row r="1514" spans="1:9">
      <c r="A1514" s="9">
        <v>45365</v>
      </c>
      <c r="B1514" t="s">
        <v>86</v>
      </c>
      <c r="C1514" t="s">
        <v>8</v>
      </c>
      <c r="D1514" s="4">
        <v>207</v>
      </c>
      <c r="E1514" s="4"/>
      <c r="F1514">
        <v>236</v>
      </c>
      <c r="G1514" t="s">
        <v>290</v>
      </c>
      <c r="H1514" t="str">
        <f t="shared" si="23"/>
        <v>2024-03</v>
      </c>
      <c r="I1514" t="str">
        <f>_xlfn.XLOOKUP(Table1[[#This Row],[Customer_ID]],Customers!$A$2:$A$30,Customers!$C$2:$C$30,"Not found")</f>
        <v>Carries forward</v>
      </c>
    </row>
    <row r="1515" spans="1:9">
      <c r="A1515" s="9">
        <v>45366</v>
      </c>
      <c r="B1515" t="s">
        <v>86</v>
      </c>
      <c r="C1515" t="s">
        <v>8</v>
      </c>
      <c r="D1515" s="4">
        <v>85</v>
      </c>
      <c r="E1515" s="4"/>
      <c r="F1515">
        <v>236</v>
      </c>
      <c r="G1515" t="s">
        <v>291</v>
      </c>
      <c r="H1515" t="str">
        <f t="shared" si="23"/>
        <v>2024-03</v>
      </c>
      <c r="I1515" t="str">
        <f>_xlfn.XLOOKUP(Table1[[#This Row],[Customer_ID]],Customers!$A$2:$A$30,Customers!$C$2:$C$30,"Not found")</f>
        <v>Carries forward</v>
      </c>
    </row>
    <row r="1516" spans="1:9">
      <c r="A1516" s="9">
        <v>45365</v>
      </c>
      <c r="B1516" t="s">
        <v>86</v>
      </c>
      <c r="C1516" t="s">
        <v>8</v>
      </c>
      <c r="D1516" s="4">
        <v>40</v>
      </c>
      <c r="E1516" s="4"/>
      <c r="F1516">
        <v>236</v>
      </c>
      <c r="H1516" t="str">
        <f t="shared" si="23"/>
        <v>2024-03</v>
      </c>
      <c r="I1516" t="str">
        <f>_xlfn.XLOOKUP(Table1[[#This Row],[Customer_ID]],Customers!$A$2:$A$30,Customers!$C$2:$C$30,"Not found")</f>
        <v>Carries forward</v>
      </c>
    </row>
    <row r="1517" spans="1:9">
      <c r="A1517" s="9">
        <v>45366</v>
      </c>
      <c r="B1517" t="s">
        <v>86</v>
      </c>
      <c r="C1517" t="s">
        <v>8</v>
      </c>
      <c r="D1517" s="4">
        <v>72</v>
      </c>
      <c r="E1517" s="4"/>
      <c r="F1517">
        <v>236</v>
      </c>
      <c r="H1517" t="str">
        <f t="shared" si="23"/>
        <v>2024-03</v>
      </c>
      <c r="I1517" t="str">
        <f>_xlfn.XLOOKUP(Table1[[#This Row],[Customer_ID]],Customers!$A$2:$A$30,Customers!$C$2:$C$30,"Not found")</f>
        <v>Carries forward</v>
      </c>
    </row>
    <row r="1518" spans="1:9">
      <c r="A1518" s="9">
        <v>45368</v>
      </c>
      <c r="B1518" t="s">
        <v>86</v>
      </c>
      <c r="C1518" t="s">
        <v>8</v>
      </c>
      <c r="D1518" s="4">
        <v>52</v>
      </c>
      <c r="E1518" s="4"/>
      <c r="F1518">
        <v>236</v>
      </c>
      <c r="G1518" t="s">
        <v>292</v>
      </c>
      <c r="H1518" t="str">
        <f t="shared" si="23"/>
        <v>2024-03</v>
      </c>
      <c r="I1518" t="str">
        <f>_xlfn.XLOOKUP(Table1[[#This Row],[Customer_ID]],Customers!$A$2:$A$30,Customers!$C$2:$C$30,"Not found")</f>
        <v>Carries forward</v>
      </c>
    </row>
    <row r="1519" spans="1:9">
      <c r="A1519" s="9">
        <v>45364</v>
      </c>
      <c r="B1519" t="s">
        <v>86</v>
      </c>
      <c r="C1519" t="s">
        <v>8</v>
      </c>
      <c r="D1519" s="4">
        <v>40</v>
      </c>
      <c r="E1519" s="4"/>
      <c r="F1519">
        <v>236</v>
      </c>
      <c r="H1519" t="str">
        <f t="shared" si="23"/>
        <v>2024-03</v>
      </c>
      <c r="I1519" t="str">
        <f>_xlfn.XLOOKUP(Table1[[#This Row],[Customer_ID]],Customers!$A$2:$A$30,Customers!$C$2:$C$30,"Not found")</f>
        <v>Carries forward</v>
      </c>
    </row>
    <row r="1520" spans="1:9">
      <c r="A1520" s="9">
        <v>45366</v>
      </c>
      <c r="B1520" t="s">
        <v>86</v>
      </c>
      <c r="C1520" t="s">
        <v>8</v>
      </c>
      <c r="D1520" s="4">
        <v>139</v>
      </c>
      <c r="E1520" s="4"/>
      <c r="F1520">
        <v>236</v>
      </c>
      <c r="H1520" t="str">
        <f t="shared" si="23"/>
        <v>2024-03</v>
      </c>
      <c r="I1520" t="str">
        <f>_xlfn.XLOOKUP(Table1[[#This Row],[Customer_ID]],Customers!$A$2:$A$30,Customers!$C$2:$C$30,"Not found")</f>
        <v>Carries forward</v>
      </c>
    </row>
    <row r="1521" spans="1:9">
      <c r="A1521" s="9">
        <v>45366</v>
      </c>
      <c r="B1521" t="s">
        <v>86</v>
      </c>
      <c r="C1521" t="s">
        <v>8</v>
      </c>
      <c r="D1521" s="4">
        <v>40</v>
      </c>
      <c r="E1521" s="4"/>
      <c r="F1521">
        <v>236</v>
      </c>
      <c r="G1521" t="s">
        <v>199</v>
      </c>
      <c r="H1521" t="str">
        <f t="shared" si="23"/>
        <v>2024-03</v>
      </c>
      <c r="I1521" t="str">
        <f>_xlfn.XLOOKUP(Table1[[#This Row],[Customer_ID]],Customers!$A$2:$A$30,Customers!$C$2:$C$30,"Not found")</f>
        <v>Carries forward</v>
      </c>
    </row>
    <row r="1522" spans="1:9">
      <c r="A1522" s="9">
        <v>45366</v>
      </c>
      <c r="B1522" t="s">
        <v>86</v>
      </c>
      <c r="C1522" t="s">
        <v>8</v>
      </c>
      <c r="D1522" s="4">
        <v>80</v>
      </c>
      <c r="E1522" s="4"/>
      <c r="F1522">
        <v>236</v>
      </c>
      <c r="G1522" t="s">
        <v>293</v>
      </c>
      <c r="H1522" t="str">
        <f t="shared" si="23"/>
        <v>2024-03</v>
      </c>
      <c r="I1522" t="str">
        <f>_xlfn.XLOOKUP(Table1[[#This Row],[Customer_ID]],Customers!$A$2:$A$30,Customers!$C$2:$C$30,"Not found")</f>
        <v>Carries forward</v>
      </c>
    </row>
    <row r="1523" spans="1:9">
      <c r="A1523" s="9">
        <v>45367</v>
      </c>
      <c r="B1523" t="s">
        <v>86</v>
      </c>
      <c r="C1523" t="s">
        <v>8</v>
      </c>
      <c r="D1523" s="4">
        <v>50</v>
      </c>
      <c r="E1523" s="4"/>
      <c r="F1523">
        <v>236</v>
      </c>
      <c r="H1523" t="str">
        <f t="shared" si="23"/>
        <v>2024-03</v>
      </c>
      <c r="I1523" t="str">
        <f>_xlfn.XLOOKUP(Table1[[#This Row],[Customer_ID]],Customers!$A$2:$A$30,Customers!$C$2:$C$30,"Not found")</f>
        <v>Carries forward</v>
      </c>
    </row>
    <row r="1524" spans="1:9">
      <c r="A1524" s="9">
        <v>45367</v>
      </c>
      <c r="B1524" t="s">
        <v>86</v>
      </c>
      <c r="C1524" t="s">
        <v>8</v>
      </c>
      <c r="D1524" s="4">
        <v>114</v>
      </c>
      <c r="E1524" s="4"/>
      <c r="F1524">
        <v>236</v>
      </c>
      <c r="H1524" t="str">
        <f t="shared" si="23"/>
        <v>2024-03</v>
      </c>
      <c r="I1524" t="str">
        <f>_xlfn.XLOOKUP(Table1[[#This Row],[Customer_ID]],Customers!$A$2:$A$30,Customers!$C$2:$C$30,"Not found")</f>
        <v>Carries forward</v>
      </c>
    </row>
    <row r="1525" spans="1:9">
      <c r="A1525" s="9">
        <v>45367</v>
      </c>
      <c r="B1525" t="s">
        <v>86</v>
      </c>
      <c r="C1525" t="s">
        <v>8</v>
      </c>
      <c r="D1525" s="4">
        <v>194</v>
      </c>
      <c r="E1525" s="4"/>
      <c r="F1525">
        <v>236</v>
      </c>
      <c r="H1525" t="str">
        <f t="shared" si="23"/>
        <v>2024-03</v>
      </c>
      <c r="I1525" t="str">
        <f>_xlfn.XLOOKUP(Table1[[#This Row],[Customer_ID]],Customers!$A$2:$A$30,Customers!$C$2:$C$30,"Not found")</f>
        <v>Carries forward</v>
      </c>
    </row>
    <row r="1526" spans="1:9">
      <c r="A1526" s="9">
        <v>45368</v>
      </c>
      <c r="B1526" t="s">
        <v>86</v>
      </c>
      <c r="C1526" t="s">
        <v>8</v>
      </c>
      <c r="D1526" s="4">
        <v>60</v>
      </c>
      <c r="E1526" s="4"/>
      <c r="F1526">
        <v>236</v>
      </c>
      <c r="G1526" t="s">
        <v>199</v>
      </c>
      <c r="H1526" t="str">
        <f t="shared" si="23"/>
        <v>2024-03</v>
      </c>
      <c r="I1526" t="str">
        <f>_xlfn.XLOOKUP(Table1[[#This Row],[Customer_ID]],Customers!$A$2:$A$30,Customers!$C$2:$C$30,"Not found")</f>
        <v>Carries forward</v>
      </c>
    </row>
    <row r="1527" spans="1:9">
      <c r="A1527" s="9">
        <v>45368</v>
      </c>
      <c r="B1527" t="s">
        <v>86</v>
      </c>
      <c r="C1527" t="s">
        <v>8</v>
      </c>
      <c r="D1527" s="4">
        <v>90</v>
      </c>
      <c r="E1527" s="4"/>
      <c r="F1527">
        <v>236</v>
      </c>
      <c r="H1527" t="str">
        <f t="shared" si="23"/>
        <v>2024-03</v>
      </c>
      <c r="I1527" t="str">
        <f>_xlfn.XLOOKUP(Table1[[#This Row],[Customer_ID]],Customers!$A$2:$A$30,Customers!$C$2:$C$30,"Not found")</f>
        <v>Carries forward</v>
      </c>
    </row>
    <row r="1528" spans="1:9">
      <c r="A1528" s="9">
        <v>45368</v>
      </c>
      <c r="B1528" t="s">
        <v>86</v>
      </c>
      <c r="C1528" t="s">
        <v>8</v>
      </c>
      <c r="D1528" s="4">
        <v>130</v>
      </c>
      <c r="E1528" s="4"/>
      <c r="F1528">
        <v>236</v>
      </c>
      <c r="H1528" t="str">
        <f t="shared" si="23"/>
        <v>2024-03</v>
      </c>
      <c r="I1528" t="str">
        <f>_xlfn.XLOOKUP(Table1[[#This Row],[Customer_ID]],Customers!$A$2:$A$30,Customers!$C$2:$C$30,"Not found")</f>
        <v>Carries forward</v>
      </c>
    </row>
    <row r="1529" spans="1:9">
      <c r="A1529" s="9">
        <v>45368</v>
      </c>
      <c r="B1529" t="s">
        <v>86</v>
      </c>
      <c r="C1529" t="s">
        <v>8</v>
      </c>
      <c r="D1529" s="4">
        <v>6</v>
      </c>
      <c r="E1529" s="4"/>
      <c r="F1529">
        <v>236</v>
      </c>
      <c r="H1529" t="str">
        <f t="shared" si="23"/>
        <v>2024-03</v>
      </c>
      <c r="I1529" t="str">
        <f>_xlfn.XLOOKUP(Table1[[#This Row],[Customer_ID]],Customers!$A$2:$A$30,Customers!$C$2:$C$30,"Not found")</f>
        <v>Carries forward</v>
      </c>
    </row>
    <row r="1530" spans="1:9">
      <c r="A1530" s="9">
        <v>45368</v>
      </c>
      <c r="B1530" t="s">
        <v>86</v>
      </c>
      <c r="C1530" t="s">
        <v>8</v>
      </c>
      <c r="D1530" s="4">
        <v>40</v>
      </c>
      <c r="E1530" s="4"/>
      <c r="F1530">
        <v>236</v>
      </c>
      <c r="G1530" t="s">
        <v>294</v>
      </c>
      <c r="H1530" t="str">
        <f t="shared" si="23"/>
        <v>2024-03</v>
      </c>
      <c r="I1530" t="str">
        <f>_xlfn.XLOOKUP(Table1[[#This Row],[Customer_ID]],Customers!$A$2:$A$30,Customers!$C$2:$C$30,"Not found")</f>
        <v>Carries forward</v>
      </c>
    </row>
    <row r="1531" spans="1:9">
      <c r="A1531" s="9">
        <v>45368</v>
      </c>
      <c r="B1531" t="s">
        <v>86</v>
      </c>
      <c r="C1531" t="s">
        <v>8</v>
      </c>
      <c r="D1531" s="4">
        <v>80</v>
      </c>
      <c r="E1531" s="4"/>
      <c r="F1531">
        <v>236</v>
      </c>
      <c r="H1531" t="str">
        <f t="shared" si="23"/>
        <v>2024-03</v>
      </c>
      <c r="I1531" t="str">
        <f>_xlfn.XLOOKUP(Table1[[#This Row],[Customer_ID]],Customers!$A$2:$A$30,Customers!$C$2:$C$30,"Not found")</f>
        <v>Carries forward</v>
      </c>
    </row>
    <row r="1532" spans="1:9">
      <c r="A1532" s="9">
        <v>45369</v>
      </c>
      <c r="B1532" t="s">
        <v>86</v>
      </c>
      <c r="C1532" t="s">
        <v>8</v>
      </c>
      <c r="D1532" s="4">
        <v>94</v>
      </c>
      <c r="E1532" s="4"/>
      <c r="F1532">
        <v>236</v>
      </c>
      <c r="H1532" t="str">
        <f t="shared" si="23"/>
        <v>2024-03</v>
      </c>
      <c r="I1532" t="str">
        <f>_xlfn.XLOOKUP(Table1[[#This Row],[Customer_ID]],Customers!$A$2:$A$30,Customers!$C$2:$C$30,"Not found")</f>
        <v>Carries forward</v>
      </c>
    </row>
    <row r="1533" spans="1:9">
      <c r="A1533" s="9">
        <v>45369</v>
      </c>
      <c r="B1533" t="s">
        <v>86</v>
      </c>
      <c r="C1533" t="s">
        <v>8</v>
      </c>
      <c r="D1533" s="4">
        <v>67</v>
      </c>
      <c r="E1533" s="4"/>
      <c r="F1533">
        <v>236</v>
      </c>
      <c r="H1533" t="str">
        <f t="shared" si="23"/>
        <v>2024-03</v>
      </c>
      <c r="I1533" t="str">
        <f>_xlfn.XLOOKUP(Table1[[#This Row],[Customer_ID]],Customers!$A$2:$A$30,Customers!$C$2:$C$30,"Not found")</f>
        <v>Carries forward</v>
      </c>
    </row>
    <row r="1534" spans="1:9">
      <c r="A1534" s="9">
        <v>45369</v>
      </c>
      <c r="B1534" t="s">
        <v>86</v>
      </c>
      <c r="C1534" t="s">
        <v>8</v>
      </c>
      <c r="D1534" s="4">
        <v>40</v>
      </c>
      <c r="E1534" s="4"/>
      <c r="F1534">
        <v>236</v>
      </c>
      <c r="H1534" t="str">
        <f t="shared" si="23"/>
        <v>2024-03</v>
      </c>
      <c r="I1534" t="str">
        <f>_xlfn.XLOOKUP(Table1[[#This Row],[Customer_ID]],Customers!$A$2:$A$30,Customers!$C$2:$C$30,"Not found")</f>
        <v>Carries forward</v>
      </c>
    </row>
    <row r="1535" spans="1:9">
      <c r="A1535" s="9">
        <v>45369</v>
      </c>
      <c r="B1535" t="s">
        <v>86</v>
      </c>
      <c r="C1535" t="s">
        <v>8</v>
      </c>
      <c r="D1535" s="4">
        <v>123</v>
      </c>
      <c r="E1535" s="4"/>
      <c r="F1535">
        <v>236</v>
      </c>
      <c r="H1535" t="str">
        <f t="shared" ref="H1535:H1598" si="24">IF(A1535="","",TEXT(A1535,"yyyy-mm"))</f>
        <v>2024-03</v>
      </c>
      <c r="I1535" t="str">
        <f>_xlfn.XLOOKUP(Table1[[#This Row],[Customer_ID]],Customers!$A$2:$A$30,Customers!$C$2:$C$30,"Not found")</f>
        <v>Carries forward</v>
      </c>
    </row>
    <row r="1536" spans="1:9">
      <c r="A1536" s="9">
        <v>45369</v>
      </c>
      <c r="B1536" t="s">
        <v>86</v>
      </c>
      <c r="C1536" t="s">
        <v>8</v>
      </c>
      <c r="D1536" s="4">
        <v>100</v>
      </c>
      <c r="E1536" s="4"/>
      <c r="F1536">
        <v>236</v>
      </c>
      <c r="H1536" t="str">
        <f t="shared" si="24"/>
        <v>2024-03</v>
      </c>
      <c r="I1536" t="str">
        <f>_xlfn.XLOOKUP(Table1[[#This Row],[Customer_ID]],Customers!$A$2:$A$30,Customers!$C$2:$C$30,"Not found")</f>
        <v>Carries forward</v>
      </c>
    </row>
    <row r="1537" spans="1:9">
      <c r="A1537" s="9">
        <v>45369</v>
      </c>
      <c r="B1537" t="s">
        <v>86</v>
      </c>
      <c r="C1537" t="s">
        <v>8</v>
      </c>
      <c r="D1537" s="4">
        <v>65</v>
      </c>
      <c r="E1537" s="4"/>
      <c r="F1537">
        <v>236</v>
      </c>
      <c r="H1537" t="str">
        <f t="shared" si="24"/>
        <v>2024-03</v>
      </c>
      <c r="I1537" t="str">
        <f>_xlfn.XLOOKUP(Table1[[#This Row],[Customer_ID]],Customers!$A$2:$A$30,Customers!$C$2:$C$30,"Not found")</f>
        <v>Carries forward</v>
      </c>
    </row>
    <row r="1538" spans="1:9">
      <c r="A1538" s="9">
        <v>45369</v>
      </c>
      <c r="B1538" t="s">
        <v>86</v>
      </c>
      <c r="C1538" t="s">
        <v>8</v>
      </c>
      <c r="D1538" s="4">
        <v>112</v>
      </c>
      <c r="E1538" s="4"/>
      <c r="F1538">
        <v>236</v>
      </c>
      <c r="H1538" t="str">
        <f t="shared" si="24"/>
        <v>2024-03</v>
      </c>
      <c r="I1538" t="str">
        <f>_xlfn.XLOOKUP(Table1[[#This Row],[Customer_ID]],Customers!$A$2:$A$30,Customers!$C$2:$C$30,"Not found")</f>
        <v>Carries forward</v>
      </c>
    </row>
    <row r="1539" spans="1:9">
      <c r="A1539" s="9">
        <v>45369</v>
      </c>
      <c r="B1539" t="s">
        <v>86</v>
      </c>
      <c r="C1539" t="s">
        <v>8</v>
      </c>
      <c r="D1539" s="4">
        <v>27</v>
      </c>
      <c r="E1539" s="4"/>
      <c r="F1539">
        <v>236</v>
      </c>
      <c r="H1539" t="str">
        <f t="shared" si="24"/>
        <v>2024-03</v>
      </c>
      <c r="I1539" t="str">
        <f>_xlfn.XLOOKUP(Table1[[#This Row],[Customer_ID]],Customers!$A$2:$A$30,Customers!$C$2:$C$30,"Not found")</f>
        <v>Carries forward</v>
      </c>
    </row>
    <row r="1540" spans="1:9">
      <c r="A1540" s="9">
        <v>45370</v>
      </c>
      <c r="B1540" t="s">
        <v>86</v>
      </c>
      <c r="C1540" t="s">
        <v>8</v>
      </c>
      <c r="D1540" s="4">
        <v>141</v>
      </c>
      <c r="E1540" s="4"/>
      <c r="F1540">
        <v>236</v>
      </c>
      <c r="H1540" t="str">
        <f t="shared" si="24"/>
        <v>2024-03</v>
      </c>
      <c r="I1540" t="str">
        <f>_xlfn.XLOOKUP(Table1[[#This Row],[Customer_ID]],Customers!$A$2:$A$30,Customers!$C$2:$C$30,"Not found")</f>
        <v>Carries forward</v>
      </c>
    </row>
    <row r="1541" spans="1:9">
      <c r="A1541" s="9">
        <v>45370</v>
      </c>
      <c r="B1541" t="s">
        <v>86</v>
      </c>
      <c r="C1541" t="s">
        <v>8</v>
      </c>
      <c r="D1541" s="4">
        <v>67</v>
      </c>
      <c r="E1541" s="4"/>
      <c r="F1541">
        <v>236</v>
      </c>
      <c r="H1541" t="str">
        <f t="shared" si="24"/>
        <v>2024-03</v>
      </c>
      <c r="I1541" t="str">
        <f>_xlfn.XLOOKUP(Table1[[#This Row],[Customer_ID]],Customers!$A$2:$A$30,Customers!$C$2:$C$30,"Not found")</f>
        <v>Carries forward</v>
      </c>
    </row>
    <row r="1542" spans="1:9">
      <c r="A1542" s="9">
        <v>45370</v>
      </c>
      <c r="B1542" t="s">
        <v>86</v>
      </c>
      <c r="C1542" t="s">
        <v>8</v>
      </c>
      <c r="D1542" s="4">
        <v>143</v>
      </c>
      <c r="E1542" s="4"/>
      <c r="F1542">
        <v>236</v>
      </c>
      <c r="H1542" t="str">
        <f t="shared" si="24"/>
        <v>2024-03</v>
      </c>
      <c r="I1542" t="str">
        <f>_xlfn.XLOOKUP(Table1[[#This Row],[Customer_ID]],Customers!$A$2:$A$30,Customers!$C$2:$C$30,"Not found")</f>
        <v>Carries forward</v>
      </c>
    </row>
    <row r="1543" spans="1:9">
      <c r="A1543" s="9">
        <v>45370</v>
      </c>
      <c r="B1543" t="s">
        <v>86</v>
      </c>
      <c r="C1543" t="s">
        <v>8</v>
      </c>
      <c r="D1543" s="4">
        <v>130</v>
      </c>
      <c r="E1543" s="4"/>
      <c r="F1543">
        <v>236</v>
      </c>
      <c r="H1543" t="str">
        <f t="shared" si="24"/>
        <v>2024-03</v>
      </c>
      <c r="I1543" t="str">
        <f>_xlfn.XLOOKUP(Table1[[#This Row],[Customer_ID]],Customers!$A$2:$A$30,Customers!$C$2:$C$30,"Not found")</f>
        <v>Carries forward</v>
      </c>
    </row>
    <row r="1544" spans="1:9">
      <c r="A1544" s="9">
        <v>45371</v>
      </c>
      <c r="B1544" t="s">
        <v>86</v>
      </c>
      <c r="C1544" t="s">
        <v>8</v>
      </c>
      <c r="D1544" s="4">
        <v>55</v>
      </c>
      <c r="E1544" s="4"/>
      <c r="F1544">
        <v>236</v>
      </c>
      <c r="H1544" t="str">
        <f t="shared" si="24"/>
        <v>2024-03</v>
      </c>
      <c r="I1544" t="str">
        <f>_xlfn.XLOOKUP(Table1[[#This Row],[Customer_ID]],Customers!$A$2:$A$30,Customers!$C$2:$C$30,"Not found")</f>
        <v>Carries forward</v>
      </c>
    </row>
    <row r="1545" spans="1:9">
      <c r="A1545" s="9">
        <v>45371</v>
      </c>
      <c r="B1545" t="s">
        <v>86</v>
      </c>
      <c r="C1545" t="s">
        <v>8</v>
      </c>
      <c r="D1545" s="4">
        <v>120</v>
      </c>
      <c r="E1545" s="4"/>
      <c r="F1545">
        <v>236</v>
      </c>
      <c r="H1545" t="str">
        <f t="shared" si="24"/>
        <v>2024-03</v>
      </c>
      <c r="I1545" t="str">
        <f>_xlfn.XLOOKUP(Table1[[#This Row],[Customer_ID]],Customers!$A$2:$A$30,Customers!$C$2:$C$30,"Not found")</f>
        <v>Carries forward</v>
      </c>
    </row>
    <row r="1546" spans="1:9">
      <c r="A1546" s="9">
        <v>45371</v>
      </c>
      <c r="B1546" t="s">
        <v>86</v>
      </c>
      <c r="C1546" t="s">
        <v>8</v>
      </c>
      <c r="D1546" s="4">
        <v>87</v>
      </c>
      <c r="E1546" s="4"/>
      <c r="F1546">
        <v>236</v>
      </c>
      <c r="H1546" t="str">
        <f t="shared" si="24"/>
        <v>2024-03</v>
      </c>
      <c r="I1546" t="str">
        <f>_xlfn.XLOOKUP(Table1[[#This Row],[Customer_ID]],Customers!$A$2:$A$30,Customers!$C$2:$C$30,"Not found")</f>
        <v>Carries forward</v>
      </c>
    </row>
    <row r="1547" spans="1:9">
      <c r="A1547" s="9">
        <v>45371</v>
      </c>
      <c r="B1547" t="s">
        <v>86</v>
      </c>
      <c r="C1547" t="s">
        <v>8</v>
      </c>
      <c r="D1547" s="4">
        <v>81</v>
      </c>
      <c r="E1547" s="4"/>
      <c r="F1547">
        <v>236</v>
      </c>
      <c r="H1547" t="str">
        <f t="shared" si="24"/>
        <v>2024-03</v>
      </c>
      <c r="I1547" t="str">
        <f>_xlfn.XLOOKUP(Table1[[#This Row],[Customer_ID]],Customers!$A$2:$A$30,Customers!$C$2:$C$30,"Not found")</f>
        <v>Carries forward</v>
      </c>
    </row>
    <row r="1548" spans="1:9">
      <c r="A1548" s="9">
        <v>45371</v>
      </c>
      <c r="B1548" t="s">
        <v>86</v>
      </c>
      <c r="C1548" t="s">
        <v>8</v>
      </c>
      <c r="D1548" s="4">
        <v>42</v>
      </c>
      <c r="E1548" s="4"/>
      <c r="F1548">
        <v>236</v>
      </c>
      <c r="H1548" t="str">
        <f t="shared" si="24"/>
        <v>2024-03</v>
      </c>
      <c r="I1548" t="str">
        <f>_xlfn.XLOOKUP(Table1[[#This Row],[Customer_ID]],Customers!$A$2:$A$30,Customers!$C$2:$C$30,"Not found")</f>
        <v>Carries forward</v>
      </c>
    </row>
    <row r="1549" spans="1:9">
      <c r="A1549" s="9">
        <v>45372</v>
      </c>
      <c r="B1549" t="s">
        <v>86</v>
      </c>
      <c r="C1549" t="s">
        <v>8</v>
      </c>
      <c r="D1549" s="4">
        <v>250</v>
      </c>
      <c r="E1549" s="4"/>
      <c r="F1549">
        <v>236</v>
      </c>
      <c r="H1549" t="str">
        <f t="shared" si="24"/>
        <v>2024-03</v>
      </c>
      <c r="I1549" t="str">
        <f>_xlfn.XLOOKUP(Table1[[#This Row],[Customer_ID]],Customers!$A$2:$A$30,Customers!$C$2:$C$30,"Not found")</f>
        <v>Carries forward</v>
      </c>
    </row>
    <row r="1550" spans="1:9">
      <c r="A1550" s="9">
        <v>45372</v>
      </c>
      <c r="B1550" t="s">
        <v>86</v>
      </c>
      <c r="C1550" t="s">
        <v>8</v>
      </c>
      <c r="D1550" s="4">
        <v>1250</v>
      </c>
      <c r="E1550" s="4"/>
      <c r="F1550">
        <v>236</v>
      </c>
      <c r="G1550" t="s">
        <v>295</v>
      </c>
      <c r="H1550" t="str">
        <f t="shared" si="24"/>
        <v>2024-03</v>
      </c>
      <c r="I1550" t="str">
        <f>_xlfn.XLOOKUP(Table1[[#This Row],[Customer_ID]],Customers!$A$2:$A$30,Customers!$C$2:$C$30,"Not found")</f>
        <v>Carries forward</v>
      </c>
    </row>
    <row r="1551" spans="1:9">
      <c r="A1551" s="9">
        <v>45372</v>
      </c>
      <c r="B1551" t="s">
        <v>86</v>
      </c>
      <c r="C1551" t="s">
        <v>8</v>
      </c>
      <c r="D1551" s="4">
        <v>86</v>
      </c>
      <c r="E1551" s="4"/>
      <c r="F1551">
        <v>237</v>
      </c>
      <c r="H1551" t="str">
        <f t="shared" si="24"/>
        <v>2024-03</v>
      </c>
      <c r="I1551" t="str">
        <f>_xlfn.XLOOKUP(Table1[[#This Row],[Customer_ID]],Customers!$A$2:$A$30,Customers!$C$2:$C$30,"Not found")</f>
        <v>Carries forward</v>
      </c>
    </row>
    <row r="1552" spans="1:9">
      <c r="A1552" s="9">
        <v>45373</v>
      </c>
      <c r="B1552" t="s">
        <v>86</v>
      </c>
      <c r="C1552" t="s">
        <v>8</v>
      </c>
      <c r="D1552" s="4">
        <v>100</v>
      </c>
      <c r="E1552" s="4"/>
      <c r="F1552">
        <v>237</v>
      </c>
      <c r="H1552" t="str">
        <f t="shared" si="24"/>
        <v>2024-03</v>
      </c>
      <c r="I1552" t="str">
        <f>_xlfn.XLOOKUP(Table1[[#This Row],[Customer_ID]],Customers!$A$2:$A$30,Customers!$C$2:$C$30,"Not found")</f>
        <v>Carries forward</v>
      </c>
    </row>
    <row r="1553" spans="1:9">
      <c r="A1553" s="9">
        <v>45372</v>
      </c>
      <c r="B1553" t="s">
        <v>86</v>
      </c>
      <c r="C1553" t="s">
        <v>8</v>
      </c>
      <c r="D1553" s="4">
        <v>75</v>
      </c>
      <c r="E1553" s="4"/>
      <c r="F1553">
        <v>237</v>
      </c>
      <c r="H1553" t="str">
        <f t="shared" si="24"/>
        <v>2024-03</v>
      </c>
      <c r="I1553" t="str">
        <f>_xlfn.XLOOKUP(Table1[[#This Row],[Customer_ID]],Customers!$A$2:$A$30,Customers!$C$2:$C$30,"Not found")</f>
        <v>Carries forward</v>
      </c>
    </row>
    <row r="1554" spans="1:9">
      <c r="A1554" s="9">
        <v>45372</v>
      </c>
      <c r="B1554" t="s">
        <v>86</v>
      </c>
      <c r="C1554" t="s">
        <v>8</v>
      </c>
      <c r="D1554" s="4">
        <v>37</v>
      </c>
      <c r="E1554" s="4"/>
      <c r="F1554">
        <v>237</v>
      </c>
      <c r="H1554" t="str">
        <f t="shared" si="24"/>
        <v>2024-03</v>
      </c>
      <c r="I1554" t="str">
        <f>_xlfn.XLOOKUP(Table1[[#This Row],[Customer_ID]],Customers!$A$2:$A$30,Customers!$C$2:$C$30,"Not found")</f>
        <v>Carries forward</v>
      </c>
    </row>
    <row r="1555" spans="1:9">
      <c r="A1555" s="9">
        <v>45373</v>
      </c>
      <c r="B1555" t="s">
        <v>86</v>
      </c>
      <c r="C1555" t="s">
        <v>8</v>
      </c>
      <c r="D1555" s="4">
        <v>81</v>
      </c>
      <c r="E1555" s="4"/>
      <c r="F1555">
        <v>237</v>
      </c>
      <c r="H1555" t="str">
        <f t="shared" si="24"/>
        <v>2024-03</v>
      </c>
      <c r="I1555" t="str">
        <f>_xlfn.XLOOKUP(Table1[[#This Row],[Customer_ID]],Customers!$A$2:$A$30,Customers!$C$2:$C$30,"Not found")</f>
        <v>Carries forward</v>
      </c>
    </row>
    <row r="1556" spans="1:9">
      <c r="A1556" s="9">
        <v>45373</v>
      </c>
      <c r="B1556" t="s">
        <v>86</v>
      </c>
      <c r="C1556" t="s">
        <v>8</v>
      </c>
      <c r="D1556" s="4">
        <v>75</v>
      </c>
      <c r="E1556" s="4"/>
      <c r="F1556">
        <v>237</v>
      </c>
      <c r="H1556" t="str">
        <f t="shared" si="24"/>
        <v>2024-03</v>
      </c>
      <c r="I1556" t="str">
        <f>_xlfn.XLOOKUP(Table1[[#This Row],[Customer_ID]],Customers!$A$2:$A$30,Customers!$C$2:$C$30,"Not found")</f>
        <v>Carries forward</v>
      </c>
    </row>
    <row r="1557" spans="1:9">
      <c r="A1557" s="9">
        <v>45373</v>
      </c>
      <c r="B1557" t="s">
        <v>86</v>
      </c>
      <c r="C1557" t="s">
        <v>8</v>
      </c>
      <c r="D1557" s="4">
        <v>70</v>
      </c>
      <c r="E1557" s="4"/>
      <c r="F1557">
        <v>237</v>
      </c>
      <c r="H1557" t="str">
        <f t="shared" si="24"/>
        <v>2024-03</v>
      </c>
      <c r="I1557" t="str">
        <f>_xlfn.XLOOKUP(Table1[[#This Row],[Customer_ID]],Customers!$A$2:$A$30,Customers!$C$2:$C$30,"Not found")</f>
        <v>Carries forward</v>
      </c>
    </row>
    <row r="1558" spans="1:9">
      <c r="A1558" s="9">
        <v>45373</v>
      </c>
      <c r="B1558" t="s">
        <v>86</v>
      </c>
      <c r="C1558" t="s">
        <v>8</v>
      </c>
      <c r="D1558" s="4">
        <v>60</v>
      </c>
      <c r="E1558" s="4"/>
      <c r="F1558">
        <v>237</v>
      </c>
      <c r="H1558" t="str">
        <f t="shared" si="24"/>
        <v>2024-03</v>
      </c>
      <c r="I1558" t="str">
        <f>_xlfn.XLOOKUP(Table1[[#This Row],[Customer_ID]],Customers!$A$2:$A$30,Customers!$C$2:$C$30,"Not found")</f>
        <v>Carries forward</v>
      </c>
    </row>
    <row r="1559" spans="1:9">
      <c r="A1559" s="9">
        <v>45374</v>
      </c>
      <c r="B1559" t="s">
        <v>86</v>
      </c>
      <c r="C1559" t="s">
        <v>8</v>
      </c>
      <c r="D1559" s="4">
        <v>1500</v>
      </c>
      <c r="E1559" s="4"/>
      <c r="F1559">
        <v>237</v>
      </c>
      <c r="H1559" t="str">
        <f t="shared" si="24"/>
        <v>2024-03</v>
      </c>
      <c r="I1559" t="str">
        <f>_xlfn.XLOOKUP(Table1[[#This Row],[Customer_ID]],Customers!$A$2:$A$30,Customers!$C$2:$C$30,"Not found")</f>
        <v>Carries forward</v>
      </c>
    </row>
    <row r="1560" spans="1:9">
      <c r="A1560" s="9">
        <v>45374</v>
      </c>
      <c r="B1560" t="s">
        <v>86</v>
      </c>
      <c r="C1560" t="s">
        <v>8</v>
      </c>
      <c r="D1560" s="4">
        <v>77</v>
      </c>
      <c r="E1560" s="4"/>
      <c r="F1560">
        <v>237</v>
      </c>
      <c r="G1560" t="s">
        <v>199</v>
      </c>
      <c r="H1560" t="str">
        <f t="shared" si="24"/>
        <v>2024-03</v>
      </c>
      <c r="I1560" t="str">
        <f>_xlfn.XLOOKUP(Table1[[#This Row],[Customer_ID]],Customers!$A$2:$A$30,Customers!$C$2:$C$30,"Not found")</f>
        <v>Carries forward</v>
      </c>
    </row>
    <row r="1561" spans="1:9">
      <c r="A1561" s="9">
        <v>45374</v>
      </c>
      <c r="B1561" t="s">
        <v>86</v>
      </c>
      <c r="C1561" t="s">
        <v>8</v>
      </c>
      <c r="D1561" s="4">
        <v>135</v>
      </c>
      <c r="E1561" s="4"/>
      <c r="F1561">
        <v>237</v>
      </c>
      <c r="G1561" t="s">
        <v>296</v>
      </c>
      <c r="H1561" t="str">
        <f t="shared" si="24"/>
        <v>2024-03</v>
      </c>
      <c r="I1561" t="str">
        <f>_xlfn.XLOOKUP(Table1[[#This Row],[Customer_ID]],Customers!$A$2:$A$30,Customers!$C$2:$C$30,"Not found")</f>
        <v>Carries forward</v>
      </c>
    </row>
    <row r="1562" spans="1:9">
      <c r="A1562" s="9">
        <v>45374</v>
      </c>
      <c r="B1562" t="s">
        <v>86</v>
      </c>
      <c r="C1562" t="s">
        <v>8</v>
      </c>
      <c r="D1562" s="4">
        <v>163</v>
      </c>
      <c r="E1562" s="4"/>
      <c r="F1562">
        <v>237</v>
      </c>
      <c r="H1562" t="str">
        <f t="shared" si="24"/>
        <v>2024-03</v>
      </c>
      <c r="I1562" t="str">
        <f>_xlfn.XLOOKUP(Table1[[#This Row],[Customer_ID]],Customers!$A$2:$A$30,Customers!$C$2:$C$30,"Not found")</f>
        <v>Carries forward</v>
      </c>
    </row>
    <row r="1563" spans="1:9">
      <c r="A1563" s="9">
        <v>45375</v>
      </c>
      <c r="B1563" t="s">
        <v>86</v>
      </c>
      <c r="C1563" t="s">
        <v>8</v>
      </c>
      <c r="D1563" s="4">
        <v>74</v>
      </c>
      <c r="E1563" s="4"/>
      <c r="F1563">
        <v>237</v>
      </c>
      <c r="H1563" t="str">
        <f t="shared" si="24"/>
        <v>2024-03</v>
      </c>
      <c r="I1563" t="str">
        <f>_xlfn.XLOOKUP(Table1[[#This Row],[Customer_ID]],Customers!$A$2:$A$30,Customers!$C$2:$C$30,"Not found")</f>
        <v>Carries forward</v>
      </c>
    </row>
    <row r="1564" spans="1:9">
      <c r="A1564" s="9">
        <v>45375</v>
      </c>
      <c r="B1564" t="s">
        <v>86</v>
      </c>
      <c r="C1564" t="s">
        <v>8</v>
      </c>
      <c r="D1564" s="4">
        <v>30</v>
      </c>
      <c r="E1564" s="4"/>
      <c r="F1564">
        <v>237</v>
      </c>
      <c r="H1564" t="str">
        <f t="shared" si="24"/>
        <v>2024-03</v>
      </c>
      <c r="I1564" t="str">
        <f>_xlfn.XLOOKUP(Table1[[#This Row],[Customer_ID]],Customers!$A$2:$A$30,Customers!$C$2:$C$30,"Not found")</f>
        <v>Carries forward</v>
      </c>
    </row>
    <row r="1565" spans="1:9">
      <c r="A1565" s="9">
        <v>45376</v>
      </c>
      <c r="B1565" t="s">
        <v>86</v>
      </c>
      <c r="C1565" t="s">
        <v>8</v>
      </c>
      <c r="D1565" s="4">
        <v>26</v>
      </c>
      <c r="E1565" s="4"/>
      <c r="F1565">
        <v>237</v>
      </c>
      <c r="H1565" t="str">
        <f t="shared" si="24"/>
        <v>2024-03</v>
      </c>
      <c r="I1565" t="str">
        <f>_xlfn.XLOOKUP(Table1[[#This Row],[Customer_ID]],Customers!$A$2:$A$30,Customers!$C$2:$C$30,"Not found")</f>
        <v>Carries forward</v>
      </c>
    </row>
    <row r="1566" spans="1:9">
      <c r="A1566" s="9">
        <v>45376</v>
      </c>
      <c r="B1566" t="s">
        <v>86</v>
      </c>
      <c r="C1566" t="s">
        <v>8</v>
      </c>
      <c r="D1566" s="4">
        <v>60</v>
      </c>
      <c r="E1566" s="4"/>
      <c r="F1566">
        <v>237</v>
      </c>
      <c r="H1566" t="str">
        <f t="shared" si="24"/>
        <v>2024-03</v>
      </c>
      <c r="I1566" t="str">
        <f>_xlfn.XLOOKUP(Table1[[#This Row],[Customer_ID]],Customers!$A$2:$A$30,Customers!$C$2:$C$30,"Not found")</f>
        <v>Carries forward</v>
      </c>
    </row>
    <row r="1567" spans="1:9">
      <c r="A1567" s="9">
        <v>45376</v>
      </c>
      <c r="B1567" t="s">
        <v>86</v>
      </c>
      <c r="C1567" t="s">
        <v>8</v>
      </c>
      <c r="D1567" s="4">
        <v>145</v>
      </c>
      <c r="E1567" s="4"/>
      <c r="F1567">
        <v>237</v>
      </c>
      <c r="G1567" t="s">
        <v>297</v>
      </c>
      <c r="H1567" t="str">
        <f t="shared" si="24"/>
        <v>2024-03</v>
      </c>
      <c r="I1567" t="str">
        <f>_xlfn.XLOOKUP(Table1[[#This Row],[Customer_ID]],Customers!$A$2:$A$30,Customers!$C$2:$C$30,"Not found")</f>
        <v>Carries forward</v>
      </c>
    </row>
    <row r="1568" spans="1:9">
      <c r="A1568" s="9">
        <v>45376</v>
      </c>
      <c r="B1568" t="s">
        <v>86</v>
      </c>
      <c r="C1568" t="s">
        <v>8</v>
      </c>
      <c r="D1568" s="4">
        <v>120</v>
      </c>
      <c r="E1568" s="4"/>
      <c r="F1568">
        <v>237</v>
      </c>
      <c r="H1568" t="str">
        <f t="shared" si="24"/>
        <v>2024-03</v>
      </c>
      <c r="I1568" t="str">
        <f>_xlfn.XLOOKUP(Table1[[#This Row],[Customer_ID]],Customers!$A$2:$A$30,Customers!$C$2:$C$30,"Not found")</f>
        <v>Carries forward</v>
      </c>
    </row>
    <row r="1569" spans="1:9">
      <c r="A1569" s="9">
        <v>45376</v>
      </c>
      <c r="B1569" t="s">
        <v>86</v>
      </c>
      <c r="C1569" t="s">
        <v>8</v>
      </c>
      <c r="D1569" s="4">
        <v>66</v>
      </c>
      <c r="E1569" s="4"/>
      <c r="F1569">
        <v>237</v>
      </c>
      <c r="H1569" t="str">
        <f t="shared" si="24"/>
        <v>2024-03</v>
      </c>
      <c r="I1569" t="str">
        <f>_xlfn.XLOOKUP(Table1[[#This Row],[Customer_ID]],Customers!$A$2:$A$30,Customers!$C$2:$C$30,"Not found")</f>
        <v>Carries forward</v>
      </c>
    </row>
    <row r="1570" spans="1:9">
      <c r="A1570" s="9">
        <v>45377</v>
      </c>
      <c r="B1570" t="s">
        <v>86</v>
      </c>
      <c r="C1570" t="s">
        <v>8</v>
      </c>
      <c r="D1570" s="4">
        <v>190</v>
      </c>
      <c r="E1570" s="4"/>
      <c r="F1570">
        <v>237</v>
      </c>
      <c r="H1570" t="str">
        <f t="shared" si="24"/>
        <v>2024-03</v>
      </c>
      <c r="I1570" t="str">
        <f>_xlfn.XLOOKUP(Table1[[#This Row],[Customer_ID]],Customers!$A$2:$A$30,Customers!$C$2:$C$30,"Not found")</f>
        <v>Carries forward</v>
      </c>
    </row>
    <row r="1571" spans="1:9">
      <c r="A1571" s="9">
        <v>45377</v>
      </c>
      <c r="B1571" t="s">
        <v>86</v>
      </c>
      <c r="C1571" t="s">
        <v>8</v>
      </c>
      <c r="D1571" s="4">
        <v>215</v>
      </c>
      <c r="E1571" s="4"/>
      <c r="F1571">
        <v>237</v>
      </c>
      <c r="H1571" t="str">
        <f t="shared" si="24"/>
        <v>2024-03</v>
      </c>
      <c r="I1571" t="str">
        <f>_xlfn.XLOOKUP(Table1[[#This Row],[Customer_ID]],Customers!$A$2:$A$30,Customers!$C$2:$C$30,"Not found")</f>
        <v>Carries forward</v>
      </c>
    </row>
    <row r="1572" spans="1:9">
      <c r="A1572" s="9">
        <v>45377</v>
      </c>
      <c r="B1572" t="s">
        <v>86</v>
      </c>
      <c r="C1572" t="s">
        <v>8</v>
      </c>
      <c r="D1572" s="4">
        <v>10</v>
      </c>
      <c r="E1572" s="4"/>
      <c r="F1572">
        <v>237</v>
      </c>
      <c r="H1572" t="str">
        <f t="shared" si="24"/>
        <v>2024-03</v>
      </c>
      <c r="I1572" t="str">
        <f>_xlfn.XLOOKUP(Table1[[#This Row],[Customer_ID]],Customers!$A$2:$A$30,Customers!$C$2:$C$30,"Not found")</f>
        <v>Carries forward</v>
      </c>
    </row>
    <row r="1573" spans="1:9">
      <c r="A1573" s="9">
        <v>45378</v>
      </c>
      <c r="B1573" t="s">
        <v>86</v>
      </c>
      <c r="C1573" t="s">
        <v>8</v>
      </c>
      <c r="D1573" s="4">
        <v>105</v>
      </c>
      <c r="E1573" s="4"/>
      <c r="F1573">
        <v>237</v>
      </c>
      <c r="H1573" t="str">
        <f t="shared" si="24"/>
        <v>2024-03</v>
      </c>
      <c r="I1573" t="str">
        <f>_xlfn.XLOOKUP(Table1[[#This Row],[Customer_ID]],Customers!$A$2:$A$30,Customers!$C$2:$C$30,"Not found")</f>
        <v>Carries forward</v>
      </c>
    </row>
    <row r="1574" spans="1:9">
      <c r="A1574" s="9">
        <v>45377</v>
      </c>
      <c r="B1574" t="s">
        <v>86</v>
      </c>
      <c r="C1574" t="s">
        <v>8</v>
      </c>
      <c r="D1574" s="4">
        <v>54</v>
      </c>
      <c r="E1574" s="4"/>
      <c r="F1574">
        <v>237</v>
      </c>
      <c r="H1574" t="str">
        <f t="shared" si="24"/>
        <v>2024-03</v>
      </c>
      <c r="I1574" t="str">
        <f>_xlfn.XLOOKUP(Table1[[#This Row],[Customer_ID]],Customers!$A$2:$A$30,Customers!$C$2:$C$30,"Not found")</f>
        <v>Carries forward</v>
      </c>
    </row>
    <row r="1575" spans="1:9">
      <c r="A1575" s="9">
        <v>45378</v>
      </c>
      <c r="B1575" t="s">
        <v>86</v>
      </c>
      <c r="C1575" t="s">
        <v>8</v>
      </c>
      <c r="D1575" s="4">
        <v>364</v>
      </c>
      <c r="E1575" s="4"/>
      <c r="F1575">
        <v>237</v>
      </c>
      <c r="H1575" t="str">
        <f t="shared" si="24"/>
        <v>2024-03</v>
      </c>
      <c r="I1575" t="str">
        <f>_xlfn.XLOOKUP(Table1[[#This Row],[Customer_ID]],Customers!$A$2:$A$30,Customers!$C$2:$C$30,"Not found")</f>
        <v>Carries forward</v>
      </c>
    </row>
    <row r="1576" spans="1:9">
      <c r="A1576" s="9">
        <v>45378</v>
      </c>
      <c r="B1576" t="s">
        <v>86</v>
      </c>
      <c r="C1576" t="s">
        <v>8</v>
      </c>
      <c r="D1576" s="4">
        <v>21</v>
      </c>
      <c r="E1576" s="4"/>
      <c r="F1576">
        <v>237</v>
      </c>
      <c r="G1576" t="s">
        <v>298</v>
      </c>
      <c r="H1576" t="str">
        <f t="shared" si="24"/>
        <v>2024-03</v>
      </c>
      <c r="I1576" t="str">
        <f>_xlfn.XLOOKUP(Table1[[#This Row],[Customer_ID]],Customers!$A$2:$A$30,Customers!$C$2:$C$30,"Not found")</f>
        <v>Carries forward</v>
      </c>
    </row>
    <row r="1577" spans="1:9">
      <c r="A1577" s="9">
        <v>45379</v>
      </c>
      <c r="B1577" t="s">
        <v>86</v>
      </c>
      <c r="C1577" t="s">
        <v>8</v>
      </c>
      <c r="D1577" s="4">
        <v>185</v>
      </c>
      <c r="E1577" s="4"/>
      <c r="F1577">
        <v>237</v>
      </c>
      <c r="H1577" t="str">
        <f t="shared" si="24"/>
        <v>2024-03</v>
      </c>
      <c r="I1577" t="str">
        <f>_xlfn.XLOOKUP(Table1[[#This Row],[Customer_ID]],Customers!$A$2:$A$30,Customers!$C$2:$C$30,"Not found")</f>
        <v>Carries forward</v>
      </c>
    </row>
    <row r="1578" spans="1:9">
      <c r="A1578" s="9">
        <v>45379</v>
      </c>
      <c r="B1578" t="s">
        <v>86</v>
      </c>
      <c r="C1578" t="s">
        <v>8</v>
      </c>
      <c r="D1578" s="4">
        <v>43</v>
      </c>
      <c r="E1578" s="4"/>
      <c r="F1578">
        <v>237</v>
      </c>
      <c r="H1578" t="str">
        <f t="shared" si="24"/>
        <v>2024-03</v>
      </c>
      <c r="I1578" t="str">
        <f>_xlfn.XLOOKUP(Table1[[#This Row],[Customer_ID]],Customers!$A$2:$A$30,Customers!$C$2:$C$30,"Not found")</f>
        <v>Carries forward</v>
      </c>
    </row>
    <row r="1579" spans="1:9">
      <c r="A1579" s="9">
        <v>45379</v>
      </c>
      <c r="B1579" t="s">
        <v>86</v>
      </c>
      <c r="C1579" t="s">
        <v>8</v>
      </c>
      <c r="D1579" s="4">
        <v>100</v>
      </c>
      <c r="E1579" s="4"/>
      <c r="F1579">
        <v>237</v>
      </c>
      <c r="H1579" t="str">
        <f t="shared" si="24"/>
        <v>2024-03</v>
      </c>
      <c r="I1579" t="str">
        <f>_xlfn.XLOOKUP(Table1[[#This Row],[Customer_ID]],Customers!$A$2:$A$30,Customers!$C$2:$C$30,"Not found")</f>
        <v>Carries forward</v>
      </c>
    </row>
    <row r="1580" spans="1:9">
      <c r="A1580" s="9">
        <v>45380</v>
      </c>
      <c r="B1580" t="s">
        <v>86</v>
      </c>
      <c r="C1580" t="s">
        <v>8</v>
      </c>
      <c r="D1580" s="4">
        <v>155</v>
      </c>
      <c r="E1580" s="4"/>
      <c r="F1580">
        <v>237</v>
      </c>
      <c r="H1580" t="str">
        <f t="shared" si="24"/>
        <v>2024-03</v>
      </c>
      <c r="I1580" t="str">
        <f>_xlfn.XLOOKUP(Table1[[#This Row],[Customer_ID]],Customers!$A$2:$A$30,Customers!$C$2:$C$30,"Not found")</f>
        <v>Carries forward</v>
      </c>
    </row>
    <row r="1581" spans="1:9">
      <c r="A1581" s="9">
        <v>45380</v>
      </c>
      <c r="B1581" t="s">
        <v>86</v>
      </c>
      <c r="C1581" t="s">
        <v>8</v>
      </c>
      <c r="D1581" s="4">
        <v>85</v>
      </c>
      <c r="E1581" s="4"/>
      <c r="F1581">
        <v>237</v>
      </c>
      <c r="H1581" t="str">
        <f t="shared" si="24"/>
        <v>2024-03</v>
      </c>
      <c r="I1581" t="str">
        <f>_xlfn.XLOOKUP(Table1[[#This Row],[Customer_ID]],Customers!$A$2:$A$30,Customers!$C$2:$C$30,"Not found")</f>
        <v>Carries forward</v>
      </c>
    </row>
    <row r="1582" spans="1:9">
      <c r="A1582" s="9">
        <v>45380</v>
      </c>
      <c r="B1582" t="s">
        <v>86</v>
      </c>
      <c r="C1582" t="s">
        <v>8</v>
      </c>
      <c r="D1582" s="4">
        <v>126</v>
      </c>
      <c r="E1582" s="4"/>
      <c r="F1582">
        <v>237</v>
      </c>
      <c r="H1582" t="str">
        <f t="shared" si="24"/>
        <v>2024-03</v>
      </c>
      <c r="I1582" t="str">
        <f>_xlfn.XLOOKUP(Table1[[#This Row],[Customer_ID]],Customers!$A$2:$A$30,Customers!$C$2:$C$30,"Not found")</f>
        <v>Carries forward</v>
      </c>
    </row>
    <row r="1583" spans="1:9">
      <c r="A1583" s="9">
        <v>45380</v>
      </c>
      <c r="B1583" t="s">
        <v>86</v>
      </c>
      <c r="C1583" t="s">
        <v>8</v>
      </c>
      <c r="D1583" s="4">
        <v>37</v>
      </c>
      <c r="E1583" s="4"/>
      <c r="F1583">
        <v>237</v>
      </c>
      <c r="H1583" t="str">
        <f t="shared" si="24"/>
        <v>2024-03</v>
      </c>
      <c r="I1583" t="str">
        <f>_xlfn.XLOOKUP(Table1[[#This Row],[Customer_ID]],Customers!$A$2:$A$30,Customers!$C$2:$C$30,"Not found")</f>
        <v>Carries forward</v>
      </c>
    </row>
    <row r="1584" spans="1:9">
      <c r="A1584" s="9">
        <v>45381</v>
      </c>
      <c r="B1584" t="s">
        <v>86</v>
      </c>
      <c r="C1584" t="s">
        <v>8</v>
      </c>
      <c r="D1584" s="4">
        <v>82</v>
      </c>
      <c r="E1584" s="4"/>
      <c r="F1584">
        <v>237</v>
      </c>
      <c r="H1584" t="str">
        <f t="shared" si="24"/>
        <v>2024-03</v>
      </c>
      <c r="I1584" t="str">
        <f>_xlfn.XLOOKUP(Table1[[#This Row],[Customer_ID]],Customers!$A$2:$A$30,Customers!$C$2:$C$30,"Not found")</f>
        <v>Carries forward</v>
      </c>
    </row>
    <row r="1585" spans="1:9">
      <c r="A1585" s="9">
        <v>45381</v>
      </c>
      <c r="B1585" t="s">
        <v>86</v>
      </c>
      <c r="C1585" t="s">
        <v>8</v>
      </c>
      <c r="D1585" s="4">
        <v>90</v>
      </c>
      <c r="E1585" s="4"/>
      <c r="F1585">
        <v>237</v>
      </c>
      <c r="H1585" t="str">
        <f t="shared" si="24"/>
        <v>2024-03</v>
      </c>
      <c r="I1585" t="str">
        <f>_xlfn.XLOOKUP(Table1[[#This Row],[Customer_ID]],Customers!$A$2:$A$30,Customers!$C$2:$C$30,"Not found")</f>
        <v>Carries forward</v>
      </c>
    </row>
    <row r="1586" spans="1:9">
      <c r="A1586" s="9">
        <v>45381</v>
      </c>
      <c r="B1586" t="s">
        <v>86</v>
      </c>
      <c r="C1586" t="s">
        <v>8</v>
      </c>
      <c r="D1586" s="4">
        <v>96</v>
      </c>
      <c r="E1586" s="4"/>
      <c r="F1586">
        <v>237</v>
      </c>
      <c r="H1586" t="str">
        <f t="shared" si="24"/>
        <v>2024-03</v>
      </c>
      <c r="I1586" t="str">
        <f>_xlfn.XLOOKUP(Table1[[#This Row],[Customer_ID]],Customers!$A$2:$A$30,Customers!$C$2:$C$30,"Not found")</f>
        <v>Carries forward</v>
      </c>
    </row>
    <row r="1587" spans="1:9">
      <c r="A1587" s="9">
        <v>45381</v>
      </c>
      <c r="B1587" t="s">
        <v>86</v>
      </c>
      <c r="C1587" t="s">
        <v>8</v>
      </c>
      <c r="D1587" s="4">
        <v>120</v>
      </c>
      <c r="E1587" s="4"/>
      <c r="F1587">
        <v>237</v>
      </c>
      <c r="H1587" t="str">
        <f t="shared" si="24"/>
        <v>2024-03</v>
      </c>
      <c r="I1587" t="str">
        <f>_xlfn.XLOOKUP(Table1[[#This Row],[Customer_ID]],Customers!$A$2:$A$30,Customers!$C$2:$C$30,"Not found")</f>
        <v>Carries forward</v>
      </c>
    </row>
    <row r="1588" spans="1:9">
      <c r="A1588" s="9">
        <v>45381</v>
      </c>
      <c r="B1588" t="s">
        <v>86</v>
      </c>
      <c r="C1588" t="s">
        <v>8</v>
      </c>
      <c r="D1588" s="4">
        <v>140</v>
      </c>
      <c r="E1588" s="4"/>
      <c r="F1588">
        <v>237</v>
      </c>
      <c r="H1588" t="str">
        <f t="shared" si="24"/>
        <v>2024-03</v>
      </c>
      <c r="I1588" t="str">
        <f>_xlfn.XLOOKUP(Table1[[#This Row],[Customer_ID]],Customers!$A$2:$A$30,Customers!$C$2:$C$30,"Not found")</f>
        <v>Carries forward</v>
      </c>
    </row>
    <row r="1589" spans="1:9">
      <c r="A1589" s="9">
        <v>45382</v>
      </c>
      <c r="B1589" t="s">
        <v>86</v>
      </c>
      <c r="C1589" t="s">
        <v>8</v>
      </c>
      <c r="D1589" s="4">
        <v>174</v>
      </c>
      <c r="E1589" s="4"/>
      <c r="F1589">
        <v>237</v>
      </c>
      <c r="H1589" t="str">
        <f t="shared" si="24"/>
        <v>2024-03</v>
      </c>
      <c r="I1589" t="str">
        <f>_xlfn.XLOOKUP(Table1[[#This Row],[Customer_ID]],Customers!$A$2:$A$30,Customers!$C$2:$C$30,"Not found")</f>
        <v>Carries forward</v>
      </c>
    </row>
    <row r="1590" spans="1:9">
      <c r="A1590" s="9">
        <v>45382</v>
      </c>
      <c r="B1590" t="s">
        <v>86</v>
      </c>
      <c r="C1590" t="s">
        <v>8</v>
      </c>
      <c r="D1590" s="4">
        <v>127</v>
      </c>
      <c r="E1590" s="4"/>
      <c r="F1590">
        <v>237</v>
      </c>
      <c r="H1590" t="str">
        <f t="shared" si="24"/>
        <v>2024-03</v>
      </c>
      <c r="I1590" t="str">
        <f>_xlfn.XLOOKUP(Table1[[#This Row],[Customer_ID]],Customers!$A$2:$A$30,Customers!$C$2:$C$30,"Not found")</f>
        <v>Carries forward</v>
      </c>
    </row>
    <row r="1591" spans="1:9">
      <c r="A1591" s="9">
        <v>45382</v>
      </c>
      <c r="B1591" t="s">
        <v>86</v>
      </c>
      <c r="C1591" t="s">
        <v>8</v>
      </c>
      <c r="D1591" s="4">
        <v>60</v>
      </c>
      <c r="E1591" s="4"/>
      <c r="F1591">
        <v>237</v>
      </c>
      <c r="H1591" t="str">
        <f t="shared" si="24"/>
        <v>2024-03</v>
      </c>
      <c r="I1591" t="str">
        <f>_xlfn.XLOOKUP(Table1[[#This Row],[Customer_ID]],Customers!$A$2:$A$30,Customers!$C$2:$C$30,"Not found")</f>
        <v>Carries forward</v>
      </c>
    </row>
    <row r="1592" spans="1:9">
      <c r="A1592" s="9">
        <v>45382</v>
      </c>
      <c r="B1592" t="s">
        <v>86</v>
      </c>
      <c r="C1592" t="s">
        <v>8</v>
      </c>
      <c r="D1592" s="4">
        <v>30</v>
      </c>
      <c r="E1592" s="4"/>
      <c r="F1592">
        <v>237</v>
      </c>
      <c r="H1592" t="str">
        <f t="shared" si="24"/>
        <v>2024-03</v>
      </c>
      <c r="I1592" t="str">
        <f>_xlfn.XLOOKUP(Table1[[#This Row],[Customer_ID]],Customers!$A$2:$A$30,Customers!$C$2:$C$30,"Not found")</f>
        <v>Carries forward</v>
      </c>
    </row>
    <row r="1593" spans="1:9">
      <c r="A1593" s="10">
        <v>45382</v>
      </c>
      <c r="B1593" s="7" t="s">
        <v>86</v>
      </c>
      <c r="C1593" s="7" t="s">
        <v>22</v>
      </c>
      <c r="D1593" s="8">
        <v>794</v>
      </c>
      <c r="E1593" s="8">
        <v>21679</v>
      </c>
      <c r="F1593" s="7">
        <v>237</v>
      </c>
      <c r="G1593" s="7" t="s">
        <v>299</v>
      </c>
      <c r="H1593" t="str">
        <f t="shared" si="24"/>
        <v>2024-03</v>
      </c>
      <c r="I1593" t="str">
        <f>_xlfn.XLOOKUP(Table1[[#This Row],[Customer_ID]],Customers!$A$2:$A$30,Customers!$C$2:$C$30,"Not found")</f>
        <v>Carries forward</v>
      </c>
    </row>
    <row r="1594" spans="1:9">
      <c r="A1594" s="9">
        <v>45389</v>
      </c>
      <c r="B1594" t="s">
        <v>86</v>
      </c>
      <c r="C1594" t="s">
        <v>14</v>
      </c>
      <c r="D1594" s="4">
        <v>5000</v>
      </c>
      <c r="E1594" s="4">
        <v>16679</v>
      </c>
      <c r="F1594">
        <v>237</v>
      </c>
      <c r="G1594" t="s">
        <v>300</v>
      </c>
      <c r="H1594" t="str">
        <f t="shared" si="24"/>
        <v>2024-04</v>
      </c>
      <c r="I1594" t="str">
        <f>_xlfn.XLOOKUP(Table1[[#This Row],[Customer_ID]],Customers!$A$2:$A$30,Customers!$C$2:$C$30,"Not found")</f>
        <v>Carries forward</v>
      </c>
    </row>
    <row r="1595" spans="1:9">
      <c r="A1595" s="9">
        <v>45383</v>
      </c>
      <c r="B1595" t="s">
        <v>86</v>
      </c>
      <c r="C1595" t="s">
        <v>8</v>
      </c>
      <c r="D1595" s="4">
        <v>25</v>
      </c>
      <c r="E1595" s="4"/>
      <c r="F1595">
        <v>237</v>
      </c>
      <c r="H1595" t="str">
        <f t="shared" si="24"/>
        <v>2024-04</v>
      </c>
      <c r="I1595" t="str">
        <f>_xlfn.XLOOKUP(Table1[[#This Row],[Customer_ID]],Customers!$A$2:$A$30,Customers!$C$2:$C$30,"Not found")</f>
        <v>Carries forward</v>
      </c>
    </row>
    <row r="1596" spans="1:9">
      <c r="A1596" s="9">
        <v>45383</v>
      </c>
      <c r="B1596" t="s">
        <v>86</v>
      </c>
      <c r="C1596" t="s">
        <v>8</v>
      </c>
      <c r="D1596" s="4">
        <v>162</v>
      </c>
      <c r="E1596" s="4"/>
      <c r="F1596">
        <v>237</v>
      </c>
      <c r="H1596" t="str">
        <f t="shared" si="24"/>
        <v>2024-04</v>
      </c>
      <c r="I1596" t="str">
        <f>_xlfn.XLOOKUP(Table1[[#This Row],[Customer_ID]],Customers!$A$2:$A$30,Customers!$C$2:$C$30,"Not found")</f>
        <v>Carries forward</v>
      </c>
    </row>
    <row r="1597" spans="1:9">
      <c r="A1597" s="9">
        <v>45383</v>
      </c>
      <c r="B1597" t="s">
        <v>86</v>
      </c>
      <c r="C1597" t="s">
        <v>8</v>
      </c>
      <c r="D1597" s="4">
        <v>86</v>
      </c>
      <c r="E1597" s="4"/>
      <c r="F1597">
        <v>237</v>
      </c>
      <c r="H1597" t="str">
        <f t="shared" si="24"/>
        <v>2024-04</v>
      </c>
      <c r="I1597" t="str">
        <f>_xlfn.XLOOKUP(Table1[[#This Row],[Customer_ID]],Customers!$A$2:$A$30,Customers!$C$2:$C$30,"Not found")</f>
        <v>Carries forward</v>
      </c>
    </row>
    <row r="1598" spans="1:9">
      <c r="A1598" s="9">
        <v>45383</v>
      </c>
      <c r="B1598" t="s">
        <v>86</v>
      </c>
      <c r="C1598" t="s">
        <v>8</v>
      </c>
      <c r="D1598" s="4">
        <v>85</v>
      </c>
      <c r="E1598" s="4"/>
      <c r="F1598">
        <v>237</v>
      </c>
      <c r="H1598" t="str">
        <f t="shared" si="24"/>
        <v>2024-04</v>
      </c>
      <c r="I1598" t="str">
        <f>_xlfn.XLOOKUP(Table1[[#This Row],[Customer_ID]],Customers!$A$2:$A$30,Customers!$C$2:$C$30,"Not found")</f>
        <v>Carries forward</v>
      </c>
    </row>
    <row r="1599" spans="1:9">
      <c r="A1599" s="9">
        <v>45383</v>
      </c>
      <c r="B1599" t="s">
        <v>86</v>
      </c>
      <c r="C1599" t="s">
        <v>8</v>
      </c>
      <c r="D1599" s="4">
        <v>33</v>
      </c>
      <c r="E1599" s="4"/>
      <c r="F1599">
        <v>237</v>
      </c>
      <c r="H1599" t="str">
        <f t="shared" ref="H1599:H1662" si="25">IF(A1599="","",TEXT(A1599,"yyyy-mm"))</f>
        <v>2024-04</v>
      </c>
      <c r="I1599" t="str">
        <f>_xlfn.XLOOKUP(Table1[[#This Row],[Customer_ID]],Customers!$A$2:$A$30,Customers!$C$2:$C$30,"Not found")</f>
        <v>Carries forward</v>
      </c>
    </row>
    <row r="1600" spans="1:9">
      <c r="A1600" s="9">
        <v>45384</v>
      </c>
      <c r="B1600" t="s">
        <v>86</v>
      </c>
      <c r="C1600" t="s">
        <v>8</v>
      </c>
      <c r="D1600" s="4">
        <v>113</v>
      </c>
      <c r="E1600" s="4"/>
      <c r="F1600">
        <v>237</v>
      </c>
      <c r="H1600" t="str">
        <f t="shared" si="25"/>
        <v>2024-04</v>
      </c>
      <c r="I1600" t="str">
        <f>_xlfn.XLOOKUP(Table1[[#This Row],[Customer_ID]],Customers!$A$2:$A$30,Customers!$C$2:$C$30,"Not found")</f>
        <v>Carries forward</v>
      </c>
    </row>
    <row r="1601" spans="1:9">
      <c r="A1601" s="9">
        <v>45384</v>
      </c>
      <c r="B1601" t="s">
        <v>86</v>
      </c>
      <c r="C1601" t="s">
        <v>8</v>
      </c>
      <c r="D1601" s="4">
        <v>259</v>
      </c>
      <c r="E1601" s="4"/>
      <c r="F1601">
        <v>237</v>
      </c>
      <c r="H1601" t="str">
        <f t="shared" si="25"/>
        <v>2024-04</v>
      </c>
      <c r="I1601" t="str">
        <f>_xlfn.XLOOKUP(Table1[[#This Row],[Customer_ID]],Customers!$A$2:$A$30,Customers!$C$2:$C$30,"Not found")</f>
        <v>Carries forward</v>
      </c>
    </row>
    <row r="1602" spans="1:9">
      <c r="A1602" s="9">
        <v>45384</v>
      </c>
      <c r="B1602" t="s">
        <v>86</v>
      </c>
      <c r="C1602" t="s">
        <v>8</v>
      </c>
      <c r="D1602" s="4">
        <v>1956</v>
      </c>
      <c r="E1602" s="4"/>
      <c r="F1602">
        <v>237</v>
      </c>
      <c r="H1602" t="str">
        <f t="shared" si="25"/>
        <v>2024-04</v>
      </c>
      <c r="I1602" t="str">
        <f>_xlfn.XLOOKUP(Table1[[#This Row],[Customer_ID]],Customers!$A$2:$A$30,Customers!$C$2:$C$30,"Not found")</f>
        <v>Carries forward</v>
      </c>
    </row>
    <row r="1603" spans="1:9">
      <c r="A1603" s="9">
        <v>45384</v>
      </c>
      <c r="B1603" t="s">
        <v>86</v>
      </c>
      <c r="C1603" t="s">
        <v>8</v>
      </c>
      <c r="D1603" s="4">
        <v>240</v>
      </c>
      <c r="E1603" s="4"/>
      <c r="F1603">
        <v>237</v>
      </c>
      <c r="H1603" t="str">
        <f t="shared" si="25"/>
        <v>2024-04</v>
      </c>
      <c r="I1603" t="str">
        <f>_xlfn.XLOOKUP(Table1[[#This Row],[Customer_ID]],Customers!$A$2:$A$30,Customers!$C$2:$C$30,"Not found")</f>
        <v>Carries forward</v>
      </c>
    </row>
    <row r="1604" spans="1:9">
      <c r="A1604" s="9">
        <v>45385</v>
      </c>
      <c r="B1604" t="s">
        <v>86</v>
      </c>
      <c r="C1604" t="s">
        <v>8</v>
      </c>
      <c r="D1604" s="4">
        <v>40</v>
      </c>
      <c r="E1604" s="4"/>
      <c r="F1604">
        <v>237</v>
      </c>
      <c r="H1604" t="str">
        <f t="shared" si="25"/>
        <v>2024-04</v>
      </c>
      <c r="I1604" t="str">
        <f>_xlfn.XLOOKUP(Table1[[#This Row],[Customer_ID]],Customers!$A$2:$A$30,Customers!$C$2:$C$30,"Not found")</f>
        <v>Carries forward</v>
      </c>
    </row>
    <row r="1605" spans="1:9">
      <c r="A1605" s="9">
        <v>45385</v>
      </c>
      <c r="B1605" t="s">
        <v>86</v>
      </c>
      <c r="C1605" t="s">
        <v>8</v>
      </c>
      <c r="D1605" s="4">
        <v>120</v>
      </c>
      <c r="E1605" s="4"/>
      <c r="F1605">
        <v>237</v>
      </c>
      <c r="G1605" t="s">
        <v>199</v>
      </c>
      <c r="H1605" t="str">
        <f t="shared" si="25"/>
        <v>2024-04</v>
      </c>
      <c r="I1605" t="str">
        <f>_xlfn.XLOOKUP(Table1[[#This Row],[Customer_ID]],Customers!$A$2:$A$30,Customers!$C$2:$C$30,"Not found")</f>
        <v>Carries forward</v>
      </c>
    </row>
    <row r="1606" spans="1:9">
      <c r="A1606" s="9">
        <v>45385</v>
      </c>
      <c r="B1606" t="s">
        <v>86</v>
      </c>
      <c r="C1606" t="s">
        <v>8</v>
      </c>
      <c r="D1606" s="4">
        <v>27</v>
      </c>
      <c r="E1606" s="4"/>
      <c r="F1606">
        <v>237</v>
      </c>
      <c r="H1606" t="str">
        <f t="shared" si="25"/>
        <v>2024-04</v>
      </c>
      <c r="I1606" t="str">
        <f>_xlfn.XLOOKUP(Table1[[#This Row],[Customer_ID]],Customers!$A$2:$A$30,Customers!$C$2:$C$30,"Not found")</f>
        <v>Carries forward</v>
      </c>
    </row>
    <row r="1607" spans="1:9">
      <c r="A1607" s="9">
        <v>45385</v>
      </c>
      <c r="B1607" t="s">
        <v>86</v>
      </c>
      <c r="C1607" t="s">
        <v>8</v>
      </c>
      <c r="D1607" s="4">
        <v>118</v>
      </c>
      <c r="E1607" s="4"/>
      <c r="F1607">
        <v>237</v>
      </c>
      <c r="H1607" t="str">
        <f t="shared" si="25"/>
        <v>2024-04</v>
      </c>
      <c r="I1607" t="str">
        <f>_xlfn.XLOOKUP(Table1[[#This Row],[Customer_ID]],Customers!$A$2:$A$30,Customers!$C$2:$C$30,"Not found")</f>
        <v>Carries forward</v>
      </c>
    </row>
    <row r="1608" spans="1:9">
      <c r="A1608" s="9">
        <v>45386</v>
      </c>
      <c r="B1608" t="s">
        <v>86</v>
      </c>
      <c r="C1608" t="s">
        <v>8</v>
      </c>
      <c r="D1608" s="4">
        <v>257</v>
      </c>
      <c r="E1608" s="4"/>
      <c r="F1608">
        <v>237</v>
      </c>
      <c r="H1608" t="str">
        <f t="shared" si="25"/>
        <v>2024-04</v>
      </c>
      <c r="I1608" t="str">
        <f>_xlfn.XLOOKUP(Table1[[#This Row],[Customer_ID]],Customers!$A$2:$A$30,Customers!$C$2:$C$30,"Not found")</f>
        <v>Carries forward</v>
      </c>
    </row>
    <row r="1609" spans="1:9">
      <c r="A1609" s="9">
        <v>45386</v>
      </c>
      <c r="B1609" t="s">
        <v>86</v>
      </c>
      <c r="C1609" t="s">
        <v>8</v>
      </c>
      <c r="D1609" s="4">
        <v>227</v>
      </c>
      <c r="E1609" s="4"/>
      <c r="F1609">
        <v>237</v>
      </c>
      <c r="H1609" t="str">
        <f t="shared" si="25"/>
        <v>2024-04</v>
      </c>
      <c r="I1609" t="str">
        <f>_xlfn.XLOOKUP(Table1[[#This Row],[Customer_ID]],Customers!$A$2:$A$30,Customers!$C$2:$C$30,"Not found")</f>
        <v>Carries forward</v>
      </c>
    </row>
    <row r="1610" spans="1:9">
      <c r="A1610" s="9">
        <v>45387</v>
      </c>
      <c r="B1610" t="s">
        <v>86</v>
      </c>
      <c r="C1610" t="s">
        <v>8</v>
      </c>
      <c r="D1610" s="4">
        <v>75</v>
      </c>
      <c r="E1610" s="4"/>
      <c r="F1610">
        <v>237</v>
      </c>
      <c r="H1610" t="str">
        <f t="shared" si="25"/>
        <v>2024-04</v>
      </c>
      <c r="I1610" t="str">
        <f>_xlfn.XLOOKUP(Table1[[#This Row],[Customer_ID]],Customers!$A$2:$A$30,Customers!$C$2:$C$30,"Not found")</f>
        <v>Carries forward</v>
      </c>
    </row>
    <row r="1611" spans="1:9">
      <c r="A1611" s="9">
        <v>45387</v>
      </c>
      <c r="B1611" t="s">
        <v>86</v>
      </c>
      <c r="C1611" t="s">
        <v>8</v>
      </c>
      <c r="D1611" s="4">
        <v>30</v>
      </c>
      <c r="E1611" s="4"/>
      <c r="F1611">
        <v>237</v>
      </c>
      <c r="H1611" t="str">
        <f t="shared" si="25"/>
        <v>2024-04</v>
      </c>
      <c r="I1611" t="str">
        <f>_xlfn.XLOOKUP(Table1[[#This Row],[Customer_ID]],Customers!$A$2:$A$30,Customers!$C$2:$C$30,"Not found")</f>
        <v>Carries forward</v>
      </c>
    </row>
    <row r="1612" spans="1:9">
      <c r="A1612" s="9">
        <v>45387</v>
      </c>
      <c r="B1612" t="s">
        <v>86</v>
      </c>
      <c r="C1612" t="s">
        <v>8</v>
      </c>
      <c r="D1612" s="4">
        <v>10</v>
      </c>
      <c r="E1612" s="4"/>
      <c r="F1612">
        <v>237</v>
      </c>
      <c r="H1612" t="str">
        <f t="shared" si="25"/>
        <v>2024-04</v>
      </c>
      <c r="I1612" t="str">
        <f>_xlfn.XLOOKUP(Table1[[#This Row],[Customer_ID]],Customers!$A$2:$A$30,Customers!$C$2:$C$30,"Not found")</f>
        <v>Carries forward</v>
      </c>
    </row>
    <row r="1613" spans="1:9">
      <c r="A1613" s="9">
        <v>45387</v>
      </c>
      <c r="B1613" t="s">
        <v>86</v>
      </c>
      <c r="C1613" t="s">
        <v>8</v>
      </c>
      <c r="D1613" s="4">
        <v>98</v>
      </c>
      <c r="E1613" s="4"/>
      <c r="F1613">
        <v>237</v>
      </c>
      <c r="H1613" t="str">
        <f t="shared" si="25"/>
        <v>2024-04</v>
      </c>
      <c r="I1613" t="str">
        <f>_xlfn.XLOOKUP(Table1[[#This Row],[Customer_ID]],Customers!$A$2:$A$30,Customers!$C$2:$C$30,"Not found")</f>
        <v>Carries forward</v>
      </c>
    </row>
    <row r="1614" spans="1:9">
      <c r="A1614" s="9">
        <v>45388</v>
      </c>
      <c r="B1614" t="s">
        <v>86</v>
      </c>
      <c r="C1614" t="s">
        <v>8</v>
      </c>
      <c r="D1614" s="4">
        <v>156</v>
      </c>
      <c r="E1614" s="4"/>
      <c r="F1614">
        <v>237</v>
      </c>
      <c r="H1614" t="str">
        <f t="shared" si="25"/>
        <v>2024-04</v>
      </c>
      <c r="I1614" t="str">
        <f>_xlfn.XLOOKUP(Table1[[#This Row],[Customer_ID]],Customers!$A$2:$A$30,Customers!$C$2:$C$30,"Not found")</f>
        <v>Carries forward</v>
      </c>
    </row>
    <row r="1615" spans="1:9">
      <c r="A1615" s="9">
        <v>45388</v>
      </c>
      <c r="B1615" t="s">
        <v>86</v>
      </c>
      <c r="C1615" t="s">
        <v>8</v>
      </c>
      <c r="D1615" s="4">
        <v>120</v>
      </c>
      <c r="E1615" s="4"/>
      <c r="F1615">
        <v>237</v>
      </c>
      <c r="H1615" t="str">
        <f t="shared" si="25"/>
        <v>2024-04</v>
      </c>
      <c r="I1615" t="str">
        <f>_xlfn.XLOOKUP(Table1[[#This Row],[Customer_ID]],Customers!$A$2:$A$30,Customers!$C$2:$C$30,"Not found")</f>
        <v>Carries forward</v>
      </c>
    </row>
    <row r="1616" spans="1:9">
      <c r="A1616" s="9">
        <v>45389</v>
      </c>
      <c r="B1616" t="s">
        <v>86</v>
      </c>
      <c r="C1616" t="s">
        <v>8</v>
      </c>
      <c r="D1616" s="4">
        <v>90</v>
      </c>
      <c r="E1616" s="4"/>
      <c r="F1616">
        <v>237</v>
      </c>
      <c r="H1616" t="str">
        <f t="shared" si="25"/>
        <v>2024-04</v>
      </c>
      <c r="I1616" t="str">
        <f>_xlfn.XLOOKUP(Table1[[#This Row],[Customer_ID]],Customers!$A$2:$A$30,Customers!$C$2:$C$30,"Not found")</f>
        <v>Carries forward</v>
      </c>
    </row>
    <row r="1617" spans="1:9">
      <c r="A1617" s="9">
        <v>45389</v>
      </c>
      <c r="B1617" t="s">
        <v>86</v>
      </c>
      <c r="C1617" t="s">
        <v>8</v>
      </c>
      <c r="D1617" s="4">
        <v>743</v>
      </c>
      <c r="E1617" s="4"/>
      <c r="F1617">
        <v>237</v>
      </c>
      <c r="H1617" t="str">
        <f t="shared" si="25"/>
        <v>2024-04</v>
      </c>
      <c r="I1617" t="str">
        <f>_xlfn.XLOOKUP(Table1[[#This Row],[Customer_ID]],Customers!$A$2:$A$30,Customers!$C$2:$C$30,"Not found")</f>
        <v>Carries forward</v>
      </c>
    </row>
    <row r="1618" spans="1:9">
      <c r="A1618" s="9">
        <v>45393</v>
      </c>
      <c r="B1618" t="s">
        <v>86</v>
      </c>
      <c r="C1618" t="s">
        <v>8</v>
      </c>
      <c r="D1618" s="4">
        <v>178</v>
      </c>
      <c r="E1618" s="4"/>
      <c r="F1618">
        <v>237</v>
      </c>
      <c r="H1618" t="str">
        <f t="shared" si="25"/>
        <v>2024-04</v>
      </c>
      <c r="I1618" t="str">
        <f>_xlfn.XLOOKUP(Table1[[#This Row],[Customer_ID]],Customers!$A$2:$A$30,Customers!$C$2:$C$30,"Not found")</f>
        <v>Carries forward</v>
      </c>
    </row>
    <row r="1619" spans="1:9">
      <c r="A1619" s="9">
        <v>45393</v>
      </c>
      <c r="B1619" t="s">
        <v>86</v>
      </c>
      <c r="C1619" t="s">
        <v>8</v>
      </c>
      <c r="D1619" s="4">
        <v>193</v>
      </c>
      <c r="E1619" s="4"/>
      <c r="F1619">
        <v>237</v>
      </c>
      <c r="H1619" t="str">
        <f t="shared" si="25"/>
        <v>2024-04</v>
      </c>
      <c r="I1619" t="str">
        <f>_xlfn.XLOOKUP(Table1[[#This Row],[Customer_ID]],Customers!$A$2:$A$30,Customers!$C$2:$C$30,"Not found")</f>
        <v>Carries forward</v>
      </c>
    </row>
    <row r="1620" spans="1:9">
      <c r="A1620" s="9">
        <v>45394</v>
      </c>
      <c r="B1620" t="s">
        <v>86</v>
      </c>
      <c r="C1620" t="s">
        <v>8</v>
      </c>
      <c r="D1620" s="4">
        <v>89</v>
      </c>
      <c r="E1620" s="4"/>
      <c r="F1620">
        <v>237</v>
      </c>
      <c r="H1620" t="str">
        <f t="shared" si="25"/>
        <v>2024-04</v>
      </c>
      <c r="I1620" t="str">
        <f>_xlfn.XLOOKUP(Table1[[#This Row],[Customer_ID]],Customers!$A$2:$A$30,Customers!$C$2:$C$30,"Not found")</f>
        <v>Carries forward</v>
      </c>
    </row>
    <row r="1621" spans="1:9">
      <c r="A1621" s="9">
        <v>45394</v>
      </c>
      <c r="B1621" t="s">
        <v>86</v>
      </c>
      <c r="C1621" t="s">
        <v>8</v>
      </c>
      <c r="D1621" s="4">
        <v>165</v>
      </c>
      <c r="E1621" s="4"/>
      <c r="F1621">
        <v>237</v>
      </c>
      <c r="H1621" t="str">
        <f t="shared" si="25"/>
        <v>2024-04</v>
      </c>
      <c r="I1621" t="str">
        <f>_xlfn.XLOOKUP(Table1[[#This Row],[Customer_ID]],Customers!$A$2:$A$30,Customers!$C$2:$C$30,"Not found")</f>
        <v>Carries forward</v>
      </c>
    </row>
    <row r="1622" spans="1:9">
      <c r="A1622" s="9">
        <v>45394</v>
      </c>
      <c r="B1622" t="s">
        <v>86</v>
      </c>
      <c r="C1622" t="s">
        <v>8</v>
      </c>
      <c r="D1622" s="4">
        <v>26</v>
      </c>
      <c r="E1622" s="4"/>
      <c r="F1622">
        <v>237</v>
      </c>
      <c r="G1622" t="s">
        <v>199</v>
      </c>
      <c r="H1622" t="str">
        <f t="shared" si="25"/>
        <v>2024-04</v>
      </c>
      <c r="I1622" t="str">
        <f>_xlfn.XLOOKUP(Table1[[#This Row],[Customer_ID]],Customers!$A$2:$A$30,Customers!$C$2:$C$30,"Not found")</f>
        <v>Carries forward</v>
      </c>
    </row>
    <row r="1623" spans="1:9">
      <c r="A1623" s="9">
        <v>45395</v>
      </c>
      <c r="B1623" t="s">
        <v>86</v>
      </c>
      <c r="C1623" t="s">
        <v>8</v>
      </c>
      <c r="D1623" s="4">
        <v>80</v>
      </c>
      <c r="E1623" s="4"/>
      <c r="F1623">
        <v>237</v>
      </c>
      <c r="H1623" t="str">
        <f t="shared" si="25"/>
        <v>2024-04</v>
      </c>
      <c r="I1623" t="str">
        <f>_xlfn.XLOOKUP(Table1[[#This Row],[Customer_ID]],Customers!$A$2:$A$30,Customers!$C$2:$C$30,"Not found")</f>
        <v>Carries forward</v>
      </c>
    </row>
    <row r="1624" spans="1:9">
      <c r="A1624" s="9">
        <v>45395</v>
      </c>
      <c r="B1624" t="s">
        <v>86</v>
      </c>
      <c r="C1624" t="s">
        <v>8</v>
      </c>
      <c r="D1624" s="4">
        <v>319</v>
      </c>
      <c r="E1624" s="4"/>
      <c r="F1624">
        <v>237</v>
      </c>
      <c r="H1624" t="str">
        <f t="shared" si="25"/>
        <v>2024-04</v>
      </c>
      <c r="I1624" t="str">
        <f>_xlfn.XLOOKUP(Table1[[#This Row],[Customer_ID]],Customers!$A$2:$A$30,Customers!$C$2:$C$30,"Not found")</f>
        <v>Carries forward</v>
      </c>
    </row>
    <row r="1625" spans="1:9">
      <c r="A1625" s="9">
        <v>45395</v>
      </c>
      <c r="B1625" t="s">
        <v>86</v>
      </c>
      <c r="C1625" t="s">
        <v>8</v>
      </c>
      <c r="D1625" s="4">
        <v>165</v>
      </c>
      <c r="E1625" s="4"/>
      <c r="F1625">
        <v>237</v>
      </c>
      <c r="H1625" t="str">
        <f t="shared" si="25"/>
        <v>2024-04</v>
      </c>
      <c r="I1625" t="str">
        <f>_xlfn.XLOOKUP(Table1[[#This Row],[Customer_ID]],Customers!$A$2:$A$30,Customers!$C$2:$C$30,"Not found")</f>
        <v>Carries forward</v>
      </c>
    </row>
    <row r="1626" spans="1:9">
      <c r="A1626" s="9">
        <v>45396</v>
      </c>
      <c r="B1626" t="s">
        <v>86</v>
      </c>
      <c r="C1626" t="s">
        <v>8</v>
      </c>
      <c r="D1626" s="4">
        <v>124</v>
      </c>
      <c r="E1626" s="4"/>
      <c r="F1626">
        <v>237</v>
      </c>
      <c r="H1626" t="str">
        <f t="shared" si="25"/>
        <v>2024-04</v>
      </c>
      <c r="I1626" t="str">
        <f>_xlfn.XLOOKUP(Table1[[#This Row],[Customer_ID]],Customers!$A$2:$A$30,Customers!$C$2:$C$30,"Not found")</f>
        <v>Carries forward</v>
      </c>
    </row>
    <row r="1627" spans="1:9">
      <c r="A1627" s="9">
        <v>45396</v>
      </c>
      <c r="B1627" t="s">
        <v>86</v>
      </c>
      <c r="C1627" t="s">
        <v>8</v>
      </c>
      <c r="D1627" s="4">
        <v>60</v>
      </c>
      <c r="E1627" s="4"/>
      <c r="F1627">
        <v>237</v>
      </c>
      <c r="H1627" t="str">
        <f t="shared" si="25"/>
        <v>2024-04</v>
      </c>
      <c r="I1627" t="str">
        <f>_xlfn.XLOOKUP(Table1[[#This Row],[Customer_ID]],Customers!$A$2:$A$30,Customers!$C$2:$C$30,"Not found")</f>
        <v>Carries forward</v>
      </c>
    </row>
    <row r="1628" spans="1:9">
      <c r="A1628" s="9">
        <v>45396</v>
      </c>
      <c r="B1628" t="s">
        <v>86</v>
      </c>
      <c r="C1628" t="s">
        <v>8</v>
      </c>
      <c r="D1628" s="4">
        <v>82</v>
      </c>
      <c r="E1628" s="4"/>
      <c r="F1628">
        <v>237</v>
      </c>
      <c r="G1628" t="s">
        <v>293</v>
      </c>
      <c r="H1628" t="str">
        <f t="shared" si="25"/>
        <v>2024-04</v>
      </c>
      <c r="I1628" t="str">
        <f>_xlfn.XLOOKUP(Table1[[#This Row],[Customer_ID]],Customers!$A$2:$A$30,Customers!$C$2:$C$30,"Not found")</f>
        <v>Carries forward</v>
      </c>
    </row>
    <row r="1629" spans="1:9">
      <c r="A1629" s="9">
        <v>45397</v>
      </c>
      <c r="B1629" t="s">
        <v>86</v>
      </c>
      <c r="C1629" t="s">
        <v>8</v>
      </c>
      <c r="D1629" s="4">
        <v>157</v>
      </c>
      <c r="E1629" s="4"/>
      <c r="F1629">
        <v>237</v>
      </c>
      <c r="H1629" t="str">
        <f t="shared" si="25"/>
        <v>2024-04</v>
      </c>
      <c r="I1629" t="str">
        <f>_xlfn.XLOOKUP(Table1[[#This Row],[Customer_ID]],Customers!$A$2:$A$30,Customers!$C$2:$C$30,"Not found")</f>
        <v>Carries forward</v>
      </c>
    </row>
    <row r="1630" spans="1:9">
      <c r="A1630" s="9">
        <v>45398</v>
      </c>
      <c r="B1630" t="s">
        <v>86</v>
      </c>
      <c r="C1630" t="s">
        <v>8</v>
      </c>
      <c r="D1630" s="4">
        <v>156</v>
      </c>
      <c r="E1630" s="4"/>
      <c r="F1630">
        <v>237</v>
      </c>
      <c r="H1630" t="str">
        <f t="shared" si="25"/>
        <v>2024-04</v>
      </c>
      <c r="I1630" t="str">
        <f>_xlfn.XLOOKUP(Table1[[#This Row],[Customer_ID]],Customers!$A$2:$A$30,Customers!$C$2:$C$30,"Not found")</f>
        <v>Carries forward</v>
      </c>
    </row>
    <row r="1631" spans="1:9">
      <c r="A1631" s="9">
        <v>45399</v>
      </c>
      <c r="B1631" t="s">
        <v>86</v>
      </c>
      <c r="C1631" t="s">
        <v>8</v>
      </c>
      <c r="D1631" s="4">
        <v>20</v>
      </c>
      <c r="E1631" s="4"/>
      <c r="F1631">
        <v>237</v>
      </c>
      <c r="H1631" t="str">
        <f t="shared" si="25"/>
        <v>2024-04</v>
      </c>
      <c r="I1631" t="str">
        <f>_xlfn.XLOOKUP(Table1[[#This Row],[Customer_ID]],Customers!$A$2:$A$30,Customers!$C$2:$C$30,"Not found")</f>
        <v>Carries forward</v>
      </c>
    </row>
    <row r="1632" spans="1:9">
      <c r="A1632" s="9">
        <v>45399</v>
      </c>
      <c r="B1632" t="s">
        <v>86</v>
      </c>
      <c r="C1632" t="s">
        <v>8</v>
      </c>
      <c r="D1632" s="4">
        <v>131</v>
      </c>
      <c r="E1632" s="4"/>
      <c r="F1632">
        <v>237</v>
      </c>
      <c r="H1632" t="str">
        <f t="shared" si="25"/>
        <v>2024-04</v>
      </c>
      <c r="I1632" t="str">
        <f>_xlfn.XLOOKUP(Table1[[#This Row],[Customer_ID]],Customers!$A$2:$A$30,Customers!$C$2:$C$30,"Not found")</f>
        <v>Carries forward</v>
      </c>
    </row>
    <row r="1633" spans="1:9">
      <c r="A1633" s="9">
        <v>45400</v>
      </c>
      <c r="B1633" t="s">
        <v>86</v>
      </c>
      <c r="C1633" t="s">
        <v>8</v>
      </c>
      <c r="D1633" s="4">
        <v>97</v>
      </c>
      <c r="E1633" s="4"/>
      <c r="F1633">
        <v>237</v>
      </c>
      <c r="H1633" t="str">
        <f t="shared" si="25"/>
        <v>2024-04</v>
      </c>
      <c r="I1633" t="str">
        <f>_xlfn.XLOOKUP(Table1[[#This Row],[Customer_ID]],Customers!$A$2:$A$30,Customers!$C$2:$C$30,"Not found")</f>
        <v>Carries forward</v>
      </c>
    </row>
    <row r="1634" spans="1:9">
      <c r="A1634" s="9">
        <v>45400</v>
      </c>
      <c r="B1634" t="s">
        <v>86</v>
      </c>
      <c r="C1634" t="s">
        <v>8</v>
      </c>
      <c r="D1634" s="4">
        <v>60</v>
      </c>
      <c r="E1634" s="4"/>
      <c r="F1634">
        <v>237</v>
      </c>
      <c r="H1634" t="str">
        <f t="shared" si="25"/>
        <v>2024-04</v>
      </c>
      <c r="I1634" t="str">
        <f>_xlfn.XLOOKUP(Table1[[#This Row],[Customer_ID]],Customers!$A$2:$A$30,Customers!$C$2:$C$30,"Not found")</f>
        <v>Carries forward</v>
      </c>
    </row>
    <row r="1635" spans="1:9">
      <c r="A1635" s="9">
        <v>45400</v>
      </c>
      <c r="B1635" t="s">
        <v>86</v>
      </c>
      <c r="C1635" t="s">
        <v>8</v>
      </c>
      <c r="D1635" s="4">
        <v>14</v>
      </c>
      <c r="E1635" s="4"/>
      <c r="F1635">
        <v>237</v>
      </c>
      <c r="H1635" t="str">
        <f t="shared" si="25"/>
        <v>2024-04</v>
      </c>
      <c r="I1635" t="str">
        <f>_xlfn.XLOOKUP(Table1[[#This Row],[Customer_ID]],Customers!$A$2:$A$30,Customers!$C$2:$C$30,"Not found")</f>
        <v>Carries forward</v>
      </c>
    </row>
    <row r="1636" spans="1:9">
      <c r="A1636" s="9">
        <v>45400</v>
      </c>
      <c r="B1636" t="s">
        <v>86</v>
      </c>
      <c r="C1636" t="s">
        <v>8</v>
      </c>
      <c r="D1636" s="4">
        <v>178</v>
      </c>
      <c r="E1636" s="4"/>
      <c r="F1636">
        <v>237</v>
      </c>
      <c r="G1636" t="s">
        <v>301</v>
      </c>
      <c r="H1636" t="str">
        <f t="shared" si="25"/>
        <v>2024-04</v>
      </c>
      <c r="I1636" t="str">
        <f>_xlfn.XLOOKUP(Table1[[#This Row],[Customer_ID]],Customers!$A$2:$A$30,Customers!$C$2:$C$30,"Not found")</f>
        <v>Carries forward</v>
      </c>
    </row>
    <row r="1637" spans="1:9">
      <c r="A1637" s="9">
        <v>45401</v>
      </c>
      <c r="B1637" t="s">
        <v>86</v>
      </c>
      <c r="C1637" t="s">
        <v>8</v>
      </c>
      <c r="D1637" s="4">
        <v>427</v>
      </c>
      <c r="E1637" s="4"/>
      <c r="F1637">
        <v>237</v>
      </c>
      <c r="H1637" t="str">
        <f t="shared" si="25"/>
        <v>2024-04</v>
      </c>
      <c r="I1637" t="str">
        <f>_xlfn.XLOOKUP(Table1[[#This Row],[Customer_ID]],Customers!$A$2:$A$30,Customers!$C$2:$C$30,"Not found")</f>
        <v>Carries forward</v>
      </c>
    </row>
    <row r="1638" spans="1:9">
      <c r="A1638" s="9">
        <v>45401</v>
      </c>
      <c r="B1638" t="s">
        <v>86</v>
      </c>
      <c r="C1638" t="s">
        <v>8</v>
      </c>
      <c r="D1638" s="4">
        <v>132</v>
      </c>
      <c r="E1638" s="4"/>
      <c r="F1638">
        <v>237</v>
      </c>
      <c r="H1638" t="str">
        <f t="shared" si="25"/>
        <v>2024-04</v>
      </c>
      <c r="I1638" t="str">
        <f>_xlfn.XLOOKUP(Table1[[#This Row],[Customer_ID]],Customers!$A$2:$A$30,Customers!$C$2:$C$30,"Not found")</f>
        <v>Carries forward</v>
      </c>
    </row>
    <row r="1639" spans="1:9">
      <c r="A1639" s="9">
        <v>45402</v>
      </c>
      <c r="B1639" t="s">
        <v>86</v>
      </c>
      <c r="C1639" t="s">
        <v>8</v>
      </c>
      <c r="D1639" s="4">
        <v>42</v>
      </c>
      <c r="E1639" s="4"/>
      <c r="F1639">
        <v>237</v>
      </c>
      <c r="H1639" t="str">
        <f t="shared" si="25"/>
        <v>2024-04</v>
      </c>
      <c r="I1639" t="str">
        <f>_xlfn.XLOOKUP(Table1[[#This Row],[Customer_ID]],Customers!$A$2:$A$30,Customers!$C$2:$C$30,"Not found")</f>
        <v>Carries forward</v>
      </c>
    </row>
    <row r="1640" spans="1:9">
      <c r="A1640" s="9">
        <v>45402</v>
      </c>
      <c r="B1640" t="s">
        <v>86</v>
      </c>
      <c r="C1640" t="s">
        <v>8</v>
      </c>
      <c r="D1640" s="4">
        <v>71</v>
      </c>
      <c r="E1640" s="4"/>
      <c r="F1640">
        <v>237</v>
      </c>
      <c r="H1640" t="str">
        <f t="shared" si="25"/>
        <v>2024-04</v>
      </c>
      <c r="I1640" t="str">
        <f>_xlfn.XLOOKUP(Table1[[#This Row],[Customer_ID]],Customers!$A$2:$A$30,Customers!$C$2:$C$30,"Not found")</f>
        <v>Carries forward</v>
      </c>
    </row>
    <row r="1641" spans="1:9">
      <c r="A1641" s="9">
        <v>45402</v>
      </c>
      <c r="B1641" t="s">
        <v>86</v>
      </c>
      <c r="C1641" t="s">
        <v>8</v>
      </c>
      <c r="D1641" s="4">
        <v>95</v>
      </c>
      <c r="E1641" s="4"/>
      <c r="F1641">
        <v>237</v>
      </c>
      <c r="H1641" t="str">
        <f t="shared" si="25"/>
        <v>2024-04</v>
      </c>
      <c r="I1641" t="str">
        <f>_xlfn.XLOOKUP(Table1[[#This Row],[Customer_ID]],Customers!$A$2:$A$30,Customers!$C$2:$C$30,"Not found")</f>
        <v>Carries forward</v>
      </c>
    </row>
    <row r="1642" spans="1:9">
      <c r="A1642" s="9">
        <v>45403</v>
      </c>
      <c r="B1642" t="s">
        <v>86</v>
      </c>
      <c r="C1642" t="s">
        <v>8</v>
      </c>
      <c r="D1642" s="4">
        <v>173</v>
      </c>
      <c r="E1642" s="4"/>
      <c r="F1642">
        <v>237</v>
      </c>
      <c r="H1642" t="str">
        <f t="shared" si="25"/>
        <v>2024-04</v>
      </c>
      <c r="I1642" t="str">
        <f>_xlfn.XLOOKUP(Table1[[#This Row],[Customer_ID]],Customers!$A$2:$A$30,Customers!$C$2:$C$30,"Not found")</f>
        <v>Carries forward</v>
      </c>
    </row>
    <row r="1643" spans="1:9">
      <c r="A1643" s="9">
        <v>45403</v>
      </c>
      <c r="B1643" t="s">
        <v>86</v>
      </c>
      <c r="C1643" t="s">
        <v>8</v>
      </c>
      <c r="D1643" s="4">
        <v>420</v>
      </c>
      <c r="E1643" s="4"/>
      <c r="F1643">
        <v>237</v>
      </c>
      <c r="H1643" t="str">
        <f t="shared" si="25"/>
        <v>2024-04</v>
      </c>
      <c r="I1643" t="str">
        <f>_xlfn.XLOOKUP(Table1[[#This Row],[Customer_ID]],Customers!$A$2:$A$30,Customers!$C$2:$C$30,"Not found")</f>
        <v>Carries forward</v>
      </c>
    </row>
    <row r="1644" spans="1:9">
      <c r="A1644" s="9">
        <v>45404</v>
      </c>
      <c r="B1644" t="s">
        <v>86</v>
      </c>
      <c r="C1644" t="s">
        <v>8</v>
      </c>
      <c r="D1644" s="4">
        <v>181</v>
      </c>
      <c r="E1644" s="4"/>
      <c r="F1644">
        <v>237</v>
      </c>
      <c r="H1644" t="str">
        <f t="shared" si="25"/>
        <v>2024-04</v>
      </c>
      <c r="I1644" t="str">
        <f>_xlfn.XLOOKUP(Table1[[#This Row],[Customer_ID]],Customers!$A$2:$A$30,Customers!$C$2:$C$30,"Not found")</f>
        <v>Carries forward</v>
      </c>
    </row>
    <row r="1645" spans="1:9">
      <c r="A1645" s="9">
        <v>45404</v>
      </c>
      <c r="B1645" t="s">
        <v>86</v>
      </c>
      <c r="C1645" t="s">
        <v>8</v>
      </c>
      <c r="D1645" s="4">
        <v>27</v>
      </c>
      <c r="E1645" s="4"/>
      <c r="F1645">
        <v>237</v>
      </c>
      <c r="H1645" t="str">
        <f t="shared" si="25"/>
        <v>2024-04</v>
      </c>
      <c r="I1645" t="str">
        <f>_xlfn.XLOOKUP(Table1[[#This Row],[Customer_ID]],Customers!$A$2:$A$30,Customers!$C$2:$C$30,"Not found")</f>
        <v>Carries forward</v>
      </c>
    </row>
    <row r="1646" spans="1:9">
      <c r="A1646" s="9">
        <v>45404</v>
      </c>
      <c r="B1646" t="s">
        <v>86</v>
      </c>
      <c r="C1646" t="s">
        <v>8</v>
      </c>
      <c r="D1646" s="4">
        <v>210</v>
      </c>
      <c r="E1646" s="4"/>
      <c r="F1646">
        <v>237</v>
      </c>
      <c r="H1646" t="str">
        <f t="shared" si="25"/>
        <v>2024-04</v>
      </c>
      <c r="I1646" t="str">
        <f>_xlfn.XLOOKUP(Table1[[#This Row],[Customer_ID]],Customers!$A$2:$A$30,Customers!$C$2:$C$30,"Not found")</f>
        <v>Carries forward</v>
      </c>
    </row>
    <row r="1647" spans="1:9">
      <c r="A1647" s="9">
        <v>45404</v>
      </c>
      <c r="B1647" t="s">
        <v>86</v>
      </c>
      <c r="C1647" t="s">
        <v>8</v>
      </c>
      <c r="D1647" s="4">
        <v>60</v>
      </c>
      <c r="E1647" s="4"/>
      <c r="F1647">
        <v>237</v>
      </c>
      <c r="H1647" t="str">
        <f t="shared" si="25"/>
        <v>2024-04</v>
      </c>
      <c r="I1647" t="str">
        <f>_xlfn.XLOOKUP(Table1[[#This Row],[Customer_ID]],Customers!$A$2:$A$30,Customers!$C$2:$C$30,"Not found")</f>
        <v>Carries forward</v>
      </c>
    </row>
    <row r="1648" spans="1:9">
      <c r="A1648" s="9">
        <v>45404</v>
      </c>
      <c r="B1648" t="s">
        <v>86</v>
      </c>
      <c r="C1648" t="s">
        <v>8</v>
      </c>
      <c r="D1648" s="4">
        <v>32</v>
      </c>
      <c r="E1648" s="4"/>
      <c r="F1648">
        <v>237</v>
      </c>
      <c r="H1648" t="str">
        <f t="shared" si="25"/>
        <v>2024-04</v>
      </c>
      <c r="I1648" t="str">
        <f>_xlfn.XLOOKUP(Table1[[#This Row],[Customer_ID]],Customers!$A$2:$A$30,Customers!$C$2:$C$30,"Not found")</f>
        <v>Carries forward</v>
      </c>
    </row>
    <row r="1649" spans="1:9">
      <c r="A1649" s="9">
        <v>45405</v>
      </c>
      <c r="B1649" t="s">
        <v>86</v>
      </c>
      <c r="C1649" t="s">
        <v>8</v>
      </c>
      <c r="D1649" s="4">
        <v>88</v>
      </c>
      <c r="E1649" s="4"/>
      <c r="F1649">
        <v>237</v>
      </c>
      <c r="H1649" t="str">
        <f t="shared" si="25"/>
        <v>2024-04</v>
      </c>
      <c r="I1649" t="str">
        <f>_xlfn.XLOOKUP(Table1[[#This Row],[Customer_ID]],Customers!$A$2:$A$30,Customers!$C$2:$C$30,"Not found")</f>
        <v>Carries forward</v>
      </c>
    </row>
    <row r="1650" spans="1:9">
      <c r="A1650" s="9">
        <v>45405</v>
      </c>
      <c r="B1650" t="s">
        <v>86</v>
      </c>
      <c r="C1650" t="s">
        <v>8</v>
      </c>
      <c r="D1650" s="4">
        <v>31</v>
      </c>
      <c r="E1650" s="4"/>
      <c r="F1650">
        <v>237</v>
      </c>
      <c r="G1650" t="s">
        <v>302</v>
      </c>
      <c r="H1650" t="str">
        <f t="shared" si="25"/>
        <v>2024-04</v>
      </c>
      <c r="I1650" t="str">
        <f>_xlfn.XLOOKUP(Table1[[#This Row],[Customer_ID]],Customers!$A$2:$A$30,Customers!$C$2:$C$30,"Not found")</f>
        <v>Carries forward</v>
      </c>
    </row>
    <row r="1651" spans="1:9">
      <c r="A1651" s="9">
        <v>45405</v>
      </c>
      <c r="B1651" t="s">
        <v>86</v>
      </c>
      <c r="C1651" t="s">
        <v>8</v>
      </c>
      <c r="D1651" s="4">
        <v>100</v>
      </c>
      <c r="E1651" s="4"/>
      <c r="F1651">
        <v>237</v>
      </c>
      <c r="H1651" t="str">
        <f t="shared" si="25"/>
        <v>2024-04</v>
      </c>
      <c r="I1651" t="str">
        <f>_xlfn.XLOOKUP(Table1[[#This Row],[Customer_ID]],Customers!$A$2:$A$30,Customers!$C$2:$C$30,"Not found")</f>
        <v>Carries forward</v>
      </c>
    </row>
    <row r="1652" spans="1:9">
      <c r="A1652" s="9">
        <v>45405</v>
      </c>
      <c r="B1652" t="s">
        <v>86</v>
      </c>
      <c r="C1652" t="s">
        <v>8</v>
      </c>
      <c r="D1652" s="4">
        <v>536</v>
      </c>
      <c r="E1652" s="4"/>
      <c r="F1652">
        <v>237</v>
      </c>
      <c r="H1652" t="str">
        <f t="shared" si="25"/>
        <v>2024-04</v>
      </c>
      <c r="I1652" t="str">
        <f>_xlfn.XLOOKUP(Table1[[#This Row],[Customer_ID]],Customers!$A$2:$A$30,Customers!$C$2:$C$30,"Not found")</f>
        <v>Carries forward</v>
      </c>
    </row>
    <row r="1653" spans="1:9">
      <c r="A1653" s="9">
        <v>45406</v>
      </c>
      <c r="B1653" t="s">
        <v>86</v>
      </c>
      <c r="C1653" t="s">
        <v>8</v>
      </c>
      <c r="D1653" s="4">
        <v>74</v>
      </c>
      <c r="E1653" s="4"/>
      <c r="F1653">
        <v>237</v>
      </c>
      <c r="H1653" t="str">
        <f t="shared" si="25"/>
        <v>2024-04</v>
      </c>
      <c r="I1653" t="str">
        <f>_xlfn.XLOOKUP(Table1[[#This Row],[Customer_ID]],Customers!$A$2:$A$30,Customers!$C$2:$C$30,"Not found")</f>
        <v>Carries forward</v>
      </c>
    </row>
    <row r="1654" spans="1:9">
      <c r="A1654" s="9">
        <v>45407</v>
      </c>
      <c r="B1654" t="s">
        <v>86</v>
      </c>
      <c r="C1654" t="s">
        <v>8</v>
      </c>
      <c r="D1654" s="4">
        <v>216</v>
      </c>
      <c r="E1654" s="4"/>
      <c r="F1654">
        <v>237</v>
      </c>
      <c r="H1654" t="str">
        <f t="shared" si="25"/>
        <v>2024-04</v>
      </c>
      <c r="I1654" t="str">
        <f>_xlfn.XLOOKUP(Table1[[#This Row],[Customer_ID]],Customers!$A$2:$A$30,Customers!$C$2:$C$30,"Not found")</f>
        <v>Carries forward</v>
      </c>
    </row>
    <row r="1655" spans="1:9">
      <c r="A1655" s="9">
        <v>45407</v>
      </c>
      <c r="B1655" t="s">
        <v>86</v>
      </c>
      <c r="C1655" t="s">
        <v>8</v>
      </c>
      <c r="D1655" s="4">
        <v>170</v>
      </c>
      <c r="E1655" s="4"/>
      <c r="F1655">
        <v>237</v>
      </c>
      <c r="H1655" t="str">
        <f t="shared" si="25"/>
        <v>2024-04</v>
      </c>
      <c r="I1655" t="str">
        <f>_xlfn.XLOOKUP(Table1[[#This Row],[Customer_ID]],Customers!$A$2:$A$30,Customers!$C$2:$C$30,"Not found")</f>
        <v>Carries forward</v>
      </c>
    </row>
    <row r="1656" spans="1:9">
      <c r="A1656" s="9">
        <v>45409</v>
      </c>
      <c r="B1656" t="s">
        <v>86</v>
      </c>
      <c r="C1656" t="s">
        <v>8</v>
      </c>
      <c r="D1656" s="4">
        <v>45</v>
      </c>
      <c r="E1656" s="4"/>
      <c r="F1656">
        <v>237</v>
      </c>
      <c r="H1656" t="str">
        <f t="shared" si="25"/>
        <v>2024-04</v>
      </c>
      <c r="I1656" t="str">
        <f>_xlfn.XLOOKUP(Table1[[#This Row],[Customer_ID]],Customers!$A$2:$A$30,Customers!$C$2:$C$30,"Not found")</f>
        <v>Carries forward</v>
      </c>
    </row>
    <row r="1657" spans="1:9">
      <c r="A1657" s="9">
        <v>45409</v>
      </c>
      <c r="B1657" t="s">
        <v>86</v>
      </c>
      <c r="C1657" t="s">
        <v>8</v>
      </c>
      <c r="D1657" s="4">
        <v>250</v>
      </c>
      <c r="E1657" s="4"/>
      <c r="F1657">
        <v>237</v>
      </c>
      <c r="H1657" t="str">
        <f t="shared" si="25"/>
        <v>2024-04</v>
      </c>
      <c r="I1657" t="str">
        <f>_xlfn.XLOOKUP(Table1[[#This Row],[Customer_ID]],Customers!$A$2:$A$30,Customers!$C$2:$C$30,"Not found")</f>
        <v>Carries forward</v>
      </c>
    </row>
    <row r="1658" spans="1:9">
      <c r="A1658" s="9">
        <v>45409</v>
      </c>
      <c r="B1658" t="s">
        <v>86</v>
      </c>
      <c r="C1658" t="s">
        <v>8</v>
      </c>
      <c r="D1658" s="4">
        <v>135</v>
      </c>
      <c r="E1658" s="4"/>
      <c r="F1658">
        <v>237</v>
      </c>
      <c r="H1658" t="str">
        <f t="shared" si="25"/>
        <v>2024-04</v>
      </c>
      <c r="I1658" t="str">
        <f>_xlfn.XLOOKUP(Table1[[#This Row],[Customer_ID]],Customers!$A$2:$A$30,Customers!$C$2:$C$30,"Not found")</f>
        <v>Carries forward</v>
      </c>
    </row>
    <row r="1659" spans="1:9">
      <c r="A1659" s="9">
        <v>45409</v>
      </c>
      <c r="B1659" t="s">
        <v>86</v>
      </c>
      <c r="C1659" t="s">
        <v>8</v>
      </c>
      <c r="D1659" s="4">
        <v>40</v>
      </c>
      <c r="E1659" s="4"/>
      <c r="F1659">
        <v>237</v>
      </c>
      <c r="H1659" t="str">
        <f t="shared" si="25"/>
        <v>2024-04</v>
      </c>
      <c r="I1659" t="str">
        <f>_xlfn.XLOOKUP(Table1[[#This Row],[Customer_ID]],Customers!$A$2:$A$30,Customers!$C$2:$C$30,"Not found")</f>
        <v>Carries forward</v>
      </c>
    </row>
    <row r="1660" spans="1:9">
      <c r="A1660" s="9">
        <v>45409</v>
      </c>
      <c r="B1660" t="s">
        <v>86</v>
      </c>
      <c r="C1660" t="s">
        <v>8</v>
      </c>
      <c r="D1660" s="4">
        <v>39</v>
      </c>
      <c r="E1660" s="4"/>
      <c r="F1660">
        <v>237</v>
      </c>
      <c r="G1660" t="s">
        <v>199</v>
      </c>
      <c r="H1660" t="str">
        <f t="shared" si="25"/>
        <v>2024-04</v>
      </c>
      <c r="I1660" t="str">
        <f>_xlfn.XLOOKUP(Table1[[#This Row],[Customer_ID]],Customers!$A$2:$A$30,Customers!$C$2:$C$30,"Not found")</f>
        <v>Carries forward</v>
      </c>
    </row>
    <row r="1661" spans="1:9">
      <c r="A1661" s="9">
        <v>45410</v>
      </c>
      <c r="B1661" t="s">
        <v>86</v>
      </c>
      <c r="C1661" t="s">
        <v>8</v>
      </c>
      <c r="D1661" s="4">
        <v>648</v>
      </c>
      <c r="E1661" s="4"/>
      <c r="F1661">
        <v>237</v>
      </c>
      <c r="H1661" t="str">
        <f t="shared" si="25"/>
        <v>2024-04</v>
      </c>
      <c r="I1661" t="str">
        <f>_xlfn.XLOOKUP(Table1[[#This Row],[Customer_ID]],Customers!$A$2:$A$30,Customers!$C$2:$C$30,"Not found")</f>
        <v>Carries forward</v>
      </c>
    </row>
    <row r="1662" spans="1:9">
      <c r="A1662" s="9">
        <v>45410</v>
      </c>
      <c r="B1662" t="s">
        <v>86</v>
      </c>
      <c r="C1662" t="s">
        <v>8</v>
      </c>
      <c r="D1662" s="4">
        <v>116</v>
      </c>
      <c r="E1662" s="4"/>
      <c r="F1662">
        <v>237</v>
      </c>
      <c r="H1662" t="str">
        <f t="shared" si="25"/>
        <v>2024-04</v>
      </c>
      <c r="I1662" t="str">
        <f>_xlfn.XLOOKUP(Table1[[#This Row],[Customer_ID]],Customers!$A$2:$A$30,Customers!$C$2:$C$30,"Not found")</f>
        <v>Carries forward</v>
      </c>
    </row>
    <row r="1663" spans="1:9">
      <c r="A1663" s="9">
        <v>45410</v>
      </c>
      <c r="B1663" t="s">
        <v>86</v>
      </c>
      <c r="C1663" t="s">
        <v>8</v>
      </c>
      <c r="D1663" s="4">
        <v>35</v>
      </c>
      <c r="E1663" s="4"/>
      <c r="F1663">
        <v>237</v>
      </c>
      <c r="H1663" t="str">
        <f t="shared" ref="H1663:H1726" si="26">IF(A1663="","",TEXT(A1663,"yyyy-mm"))</f>
        <v>2024-04</v>
      </c>
      <c r="I1663" t="str">
        <f>_xlfn.XLOOKUP(Table1[[#This Row],[Customer_ID]],Customers!$A$2:$A$30,Customers!$C$2:$C$30,"Not found")</f>
        <v>Carries forward</v>
      </c>
    </row>
    <row r="1664" spans="1:9">
      <c r="A1664" s="9">
        <v>45410</v>
      </c>
      <c r="B1664" t="s">
        <v>86</v>
      </c>
      <c r="C1664" t="s">
        <v>8</v>
      </c>
      <c r="D1664" s="4">
        <v>187</v>
      </c>
      <c r="E1664" s="4"/>
      <c r="F1664">
        <v>237</v>
      </c>
      <c r="H1664" t="str">
        <f t="shared" si="26"/>
        <v>2024-04</v>
      </c>
      <c r="I1664" t="str">
        <f>_xlfn.XLOOKUP(Table1[[#This Row],[Customer_ID]],Customers!$A$2:$A$30,Customers!$C$2:$C$30,"Not found")</f>
        <v>Carries forward</v>
      </c>
    </row>
    <row r="1665" spans="1:9">
      <c r="A1665" s="9">
        <v>45411</v>
      </c>
      <c r="B1665" t="s">
        <v>86</v>
      </c>
      <c r="C1665" t="s">
        <v>8</v>
      </c>
      <c r="D1665" s="4">
        <v>146</v>
      </c>
      <c r="E1665" s="4"/>
      <c r="F1665">
        <v>237</v>
      </c>
      <c r="H1665" t="str">
        <f t="shared" si="26"/>
        <v>2024-04</v>
      </c>
      <c r="I1665" t="str">
        <f>_xlfn.XLOOKUP(Table1[[#This Row],[Customer_ID]],Customers!$A$2:$A$30,Customers!$C$2:$C$30,"Not found")</f>
        <v>Carries forward</v>
      </c>
    </row>
    <row r="1666" spans="1:9">
      <c r="A1666" s="9">
        <v>45411</v>
      </c>
      <c r="B1666" t="s">
        <v>86</v>
      </c>
      <c r="C1666" t="s">
        <v>8</v>
      </c>
      <c r="D1666" s="4">
        <v>118</v>
      </c>
      <c r="E1666" s="4"/>
      <c r="F1666">
        <v>237</v>
      </c>
      <c r="H1666" t="str">
        <f t="shared" si="26"/>
        <v>2024-04</v>
      </c>
      <c r="I1666" t="str">
        <f>_xlfn.XLOOKUP(Table1[[#This Row],[Customer_ID]],Customers!$A$2:$A$30,Customers!$C$2:$C$30,"Not found")</f>
        <v>Carries forward</v>
      </c>
    </row>
    <row r="1667" spans="1:9">
      <c r="A1667" s="9">
        <v>45411</v>
      </c>
      <c r="B1667" t="s">
        <v>86</v>
      </c>
      <c r="C1667" t="s">
        <v>8</v>
      </c>
      <c r="D1667" s="4">
        <v>50</v>
      </c>
      <c r="E1667" s="4"/>
      <c r="F1667">
        <v>237</v>
      </c>
      <c r="H1667" t="str">
        <f t="shared" si="26"/>
        <v>2024-04</v>
      </c>
      <c r="I1667" t="str">
        <f>_xlfn.XLOOKUP(Table1[[#This Row],[Customer_ID]],Customers!$A$2:$A$30,Customers!$C$2:$C$30,"Not found")</f>
        <v>Carries forward</v>
      </c>
    </row>
    <row r="1668" spans="1:9">
      <c r="A1668" s="9">
        <v>45411</v>
      </c>
      <c r="B1668" t="s">
        <v>86</v>
      </c>
      <c r="C1668" t="s">
        <v>8</v>
      </c>
      <c r="D1668" s="4">
        <v>27</v>
      </c>
      <c r="E1668" s="4"/>
      <c r="F1668">
        <v>237</v>
      </c>
      <c r="H1668" t="str">
        <f t="shared" si="26"/>
        <v>2024-04</v>
      </c>
      <c r="I1668" t="str">
        <f>_xlfn.XLOOKUP(Table1[[#This Row],[Customer_ID]],Customers!$A$2:$A$30,Customers!$C$2:$C$30,"Not found")</f>
        <v>Carries forward</v>
      </c>
    </row>
    <row r="1669" spans="1:9">
      <c r="A1669" s="9">
        <v>45412</v>
      </c>
      <c r="B1669" t="s">
        <v>86</v>
      </c>
      <c r="C1669" t="s">
        <v>8</v>
      </c>
      <c r="D1669" s="4">
        <v>50</v>
      </c>
      <c r="E1669" s="4"/>
      <c r="F1669">
        <v>237</v>
      </c>
      <c r="H1669" t="str">
        <f t="shared" si="26"/>
        <v>2024-04</v>
      </c>
      <c r="I1669" t="str">
        <f>_xlfn.XLOOKUP(Table1[[#This Row],[Customer_ID]],Customers!$A$2:$A$30,Customers!$C$2:$C$30,"Not found")</f>
        <v>Carries forward</v>
      </c>
    </row>
    <row r="1670" spans="1:9">
      <c r="A1670" s="9">
        <v>45412</v>
      </c>
      <c r="B1670" t="s">
        <v>86</v>
      </c>
      <c r="C1670" t="s">
        <v>8</v>
      </c>
      <c r="D1670" s="4">
        <v>80</v>
      </c>
      <c r="E1670" s="4"/>
      <c r="F1670">
        <v>237</v>
      </c>
      <c r="H1670" t="str">
        <f t="shared" si="26"/>
        <v>2024-04</v>
      </c>
      <c r="I1670" t="str">
        <f>_xlfn.XLOOKUP(Table1[[#This Row],[Customer_ID]],Customers!$A$2:$A$30,Customers!$C$2:$C$30,"Not found")</f>
        <v>Carries forward</v>
      </c>
    </row>
    <row r="1671" spans="1:9">
      <c r="A1671" s="9">
        <v>45412</v>
      </c>
      <c r="B1671" t="s">
        <v>86</v>
      </c>
      <c r="C1671" t="s">
        <v>8</v>
      </c>
      <c r="D1671" s="4">
        <v>57</v>
      </c>
      <c r="E1671" s="4"/>
      <c r="F1671">
        <v>237</v>
      </c>
      <c r="H1671" t="str">
        <f t="shared" si="26"/>
        <v>2024-04</v>
      </c>
      <c r="I1671" t="str">
        <f>_xlfn.XLOOKUP(Table1[[#This Row],[Customer_ID]],Customers!$A$2:$A$30,Customers!$C$2:$C$30,"Not found")</f>
        <v>Carries forward</v>
      </c>
    </row>
    <row r="1672" spans="1:9">
      <c r="A1672" s="9">
        <v>45412</v>
      </c>
      <c r="B1672" t="s">
        <v>86</v>
      </c>
      <c r="C1672" t="s">
        <v>8</v>
      </c>
      <c r="D1672" s="4">
        <v>280</v>
      </c>
      <c r="E1672" s="4"/>
      <c r="F1672">
        <v>237</v>
      </c>
      <c r="H1672" t="str">
        <f t="shared" si="26"/>
        <v>2024-04</v>
      </c>
      <c r="I1672" t="str">
        <f>_xlfn.XLOOKUP(Table1[[#This Row],[Customer_ID]],Customers!$A$2:$A$30,Customers!$C$2:$C$30,"Not found")</f>
        <v>Carries forward</v>
      </c>
    </row>
    <row r="1673" spans="1:9">
      <c r="A1673" s="9">
        <v>45412</v>
      </c>
      <c r="B1673" t="s">
        <v>86</v>
      </c>
      <c r="C1673" t="s">
        <v>8</v>
      </c>
      <c r="D1673" s="4">
        <v>127</v>
      </c>
      <c r="E1673" s="4"/>
      <c r="F1673">
        <v>237</v>
      </c>
      <c r="H1673" t="str">
        <f t="shared" si="26"/>
        <v>2024-04</v>
      </c>
      <c r="I1673" t="str">
        <f>_xlfn.XLOOKUP(Table1[[#This Row],[Customer_ID]],Customers!$A$2:$A$30,Customers!$C$2:$C$30,"Not found")</f>
        <v>Carries forward</v>
      </c>
    </row>
    <row r="1674" spans="1:9">
      <c r="A1674" s="10">
        <v>45412</v>
      </c>
      <c r="B1674" s="7" t="s">
        <v>86</v>
      </c>
      <c r="C1674" s="7" t="s">
        <v>22</v>
      </c>
      <c r="D1674" s="8">
        <v>269</v>
      </c>
      <c r="E1674" s="8">
        <v>29827</v>
      </c>
      <c r="F1674" s="7">
        <v>237</v>
      </c>
      <c r="G1674" s="7" t="s">
        <v>303</v>
      </c>
      <c r="H1674" t="str">
        <f t="shared" si="26"/>
        <v>2024-04</v>
      </c>
      <c r="I1674" t="str">
        <f>_xlfn.XLOOKUP(Table1[[#This Row],[Customer_ID]],Customers!$A$2:$A$30,Customers!$C$2:$C$30,"Not found")</f>
        <v>Carries forward</v>
      </c>
    </row>
    <row r="1675" spans="1:9">
      <c r="A1675" s="9">
        <v>45410</v>
      </c>
      <c r="B1675" t="s">
        <v>86</v>
      </c>
      <c r="C1675" t="s">
        <v>14</v>
      </c>
      <c r="D1675" s="4">
        <v>15000</v>
      </c>
      <c r="E1675" s="4">
        <v>14827</v>
      </c>
      <c r="F1675">
        <v>237</v>
      </c>
      <c r="G1675" t="s">
        <v>304</v>
      </c>
      <c r="H1675" t="str">
        <f t="shared" si="26"/>
        <v>2024-04</v>
      </c>
      <c r="I1675" t="str">
        <f>_xlfn.XLOOKUP(Table1[[#This Row],[Customer_ID]],Customers!$A$2:$A$30,Customers!$C$2:$C$30,"Not found")</f>
        <v>Carries forward</v>
      </c>
    </row>
    <row r="1676" spans="1:9">
      <c r="A1676" s="9">
        <v>45413</v>
      </c>
      <c r="B1676" t="s">
        <v>86</v>
      </c>
      <c r="C1676" t="s">
        <v>8</v>
      </c>
      <c r="D1676" s="4">
        <v>70</v>
      </c>
      <c r="E1676" s="4"/>
      <c r="F1676">
        <v>237</v>
      </c>
      <c r="H1676" t="str">
        <f t="shared" si="26"/>
        <v>2024-05</v>
      </c>
      <c r="I1676" t="str">
        <f>_xlfn.XLOOKUP(Table1[[#This Row],[Customer_ID]],Customers!$A$2:$A$30,Customers!$C$2:$C$30,"Not found")</f>
        <v>Carries forward</v>
      </c>
    </row>
    <row r="1677" spans="1:9">
      <c r="A1677" s="9">
        <v>45413</v>
      </c>
      <c r="B1677" t="s">
        <v>86</v>
      </c>
      <c r="C1677" t="s">
        <v>8</v>
      </c>
      <c r="D1677" s="4">
        <v>137</v>
      </c>
      <c r="E1677" s="4"/>
      <c r="F1677">
        <v>237</v>
      </c>
      <c r="H1677" t="str">
        <f t="shared" si="26"/>
        <v>2024-05</v>
      </c>
      <c r="I1677" t="str">
        <f>_xlfn.XLOOKUP(Table1[[#This Row],[Customer_ID]],Customers!$A$2:$A$30,Customers!$C$2:$C$30,"Not found")</f>
        <v>Carries forward</v>
      </c>
    </row>
    <row r="1678" spans="1:9">
      <c r="A1678" s="9">
        <v>45413</v>
      </c>
      <c r="B1678" t="s">
        <v>86</v>
      </c>
      <c r="C1678" t="s">
        <v>8</v>
      </c>
      <c r="D1678" s="4">
        <v>27</v>
      </c>
      <c r="E1678" s="4"/>
      <c r="F1678">
        <v>237</v>
      </c>
      <c r="H1678" t="str">
        <f t="shared" si="26"/>
        <v>2024-05</v>
      </c>
      <c r="I1678" t="str">
        <f>_xlfn.XLOOKUP(Table1[[#This Row],[Customer_ID]],Customers!$A$2:$A$30,Customers!$C$2:$C$30,"Not found")</f>
        <v>Carries forward</v>
      </c>
    </row>
    <row r="1679" spans="1:9">
      <c r="A1679" s="9">
        <v>45414</v>
      </c>
      <c r="B1679" t="s">
        <v>86</v>
      </c>
      <c r="C1679" t="s">
        <v>8</v>
      </c>
      <c r="D1679" s="4">
        <v>78</v>
      </c>
      <c r="E1679" s="4"/>
      <c r="F1679">
        <v>237</v>
      </c>
      <c r="H1679" t="str">
        <f t="shared" si="26"/>
        <v>2024-05</v>
      </c>
      <c r="I1679" t="str">
        <f>_xlfn.XLOOKUP(Table1[[#This Row],[Customer_ID]],Customers!$A$2:$A$30,Customers!$C$2:$C$30,"Not found")</f>
        <v>Carries forward</v>
      </c>
    </row>
    <row r="1680" spans="1:9">
      <c r="A1680" s="9">
        <v>45414</v>
      </c>
      <c r="B1680" t="s">
        <v>86</v>
      </c>
      <c r="C1680" t="s">
        <v>8</v>
      </c>
      <c r="D1680" s="4">
        <v>50</v>
      </c>
      <c r="E1680" s="4"/>
      <c r="F1680">
        <v>237</v>
      </c>
      <c r="H1680" t="str">
        <f t="shared" si="26"/>
        <v>2024-05</v>
      </c>
      <c r="I1680" t="str">
        <f>_xlfn.XLOOKUP(Table1[[#This Row],[Customer_ID]],Customers!$A$2:$A$30,Customers!$C$2:$C$30,"Not found")</f>
        <v>Carries forward</v>
      </c>
    </row>
    <row r="1681" spans="1:9">
      <c r="A1681" s="9">
        <v>45414</v>
      </c>
      <c r="B1681" t="s">
        <v>86</v>
      </c>
      <c r="C1681" t="s">
        <v>8</v>
      </c>
      <c r="D1681" s="4">
        <v>42</v>
      </c>
      <c r="E1681" s="4"/>
      <c r="F1681">
        <v>237</v>
      </c>
      <c r="H1681" t="str">
        <f t="shared" si="26"/>
        <v>2024-05</v>
      </c>
      <c r="I1681" t="str">
        <f>_xlfn.XLOOKUP(Table1[[#This Row],[Customer_ID]],Customers!$A$2:$A$30,Customers!$C$2:$C$30,"Not found")</f>
        <v>Carries forward</v>
      </c>
    </row>
    <row r="1682" spans="1:9">
      <c r="A1682" s="9">
        <v>45414</v>
      </c>
      <c r="B1682" t="s">
        <v>86</v>
      </c>
      <c r="C1682" t="s">
        <v>8</v>
      </c>
      <c r="D1682" s="4">
        <v>119</v>
      </c>
      <c r="E1682" s="4"/>
      <c r="F1682">
        <v>237</v>
      </c>
      <c r="H1682" t="str">
        <f t="shared" si="26"/>
        <v>2024-05</v>
      </c>
      <c r="I1682" t="str">
        <f>_xlfn.XLOOKUP(Table1[[#This Row],[Customer_ID]],Customers!$A$2:$A$30,Customers!$C$2:$C$30,"Not found")</f>
        <v>Carries forward</v>
      </c>
    </row>
    <row r="1683" spans="1:9">
      <c r="A1683" s="9">
        <v>45416</v>
      </c>
      <c r="B1683" t="s">
        <v>86</v>
      </c>
      <c r="C1683" t="s">
        <v>8</v>
      </c>
      <c r="D1683" s="4">
        <v>60</v>
      </c>
      <c r="E1683" s="4"/>
      <c r="F1683">
        <v>237</v>
      </c>
      <c r="H1683" t="str">
        <f t="shared" si="26"/>
        <v>2024-05</v>
      </c>
      <c r="I1683" t="str">
        <f>_xlfn.XLOOKUP(Table1[[#This Row],[Customer_ID]],Customers!$A$2:$A$30,Customers!$C$2:$C$30,"Not found")</f>
        <v>Carries forward</v>
      </c>
    </row>
    <row r="1684" spans="1:9">
      <c r="A1684" s="9">
        <v>45417</v>
      </c>
      <c r="B1684" t="s">
        <v>86</v>
      </c>
      <c r="C1684" t="s">
        <v>8</v>
      </c>
      <c r="D1684" s="4">
        <v>221</v>
      </c>
      <c r="E1684" s="4"/>
      <c r="F1684">
        <v>237</v>
      </c>
      <c r="H1684" t="str">
        <f t="shared" si="26"/>
        <v>2024-05</v>
      </c>
      <c r="I1684" t="str">
        <f>_xlfn.XLOOKUP(Table1[[#This Row],[Customer_ID]],Customers!$A$2:$A$30,Customers!$C$2:$C$30,"Not found")</f>
        <v>Carries forward</v>
      </c>
    </row>
    <row r="1685" spans="1:9">
      <c r="A1685" s="9">
        <v>45418</v>
      </c>
      <c r="B1685" t="s">
        <v>86</v>
      </c>
      <c r="C1685" t="s">
        <v>8</v>
      </c>
      <c r="D1685" s="4">
        <v>330</v>
      </c>
      <c r="E1685" s="4"/>
      <c r="F1685">
        <v>237</v>
      </c>
      <c r="H1685" t="str">
        <f t="shared" si="26"/>
        <v>2024-05</v>
      </c>
      <c r="I1685" t="str">
        <f>_xlfn.XLOOKUP(Table1[[#This Row],[Customer_ID]],Customers!$A$2:$A$30,Customers!$C$2:$C$30,"Not found")</f>
        <v>Carries forward</v>
      </c>
    </row>
    <row r="1686" spans="1:9">
      <c r="A1686" s="9">
        <v>45419</v>
      </c>
      <c r="B1686" t="s">
        <v>86</v>
      </c>
      <c r="C1686" t="s">
        <v>8</v>
      </c>
      <c r="D1686" s="4">
        <v>285</v>
      </c>
      <c r="E1686" s="4"/>
      <c r="F1686">
        <v>237</v>
      </c>
      <c r="H1686" t="str">
        <f t="shared" si="26"/>
        <v>2024-05</v>
      </c>
      <c r="I1686" t="str">
        <f>_xlfn.XLOOKUP(Table1[[#This Row],[Customer_ID]],Customers!$A$2:$A$30,Customers!$C$2:$C$30,"Not found")</f>
        <v>Carries forward</v>
      </c>
    </row>
    <row r="1687" spans="1:9">
      <c r="A1687" s="9">
        <v>45419</v>
      </c>
      <c r="B1687" t="s">
        <v>86</v>
      </c>
      <c r="C1687" t="s">
        <v>8</v>
      </c>
      <c r="D1687" s="4">
        <v>27</v>
      </c>
      <c r="E1687" s="4"/>
      <c r="F1687">
        <v>237</v>
      </c>
      <c r="G1687" t="s">
        <v>305</v>
      </c>
      <c r="H1687" t="str">
        <f t="shared" si="26"/>
        <v>2024-05</v>
      </c>
      <c r="I1687" t="str">
        <f>_xlfn.XLOOKUP(Table1[[#This Row],[Customer_ID]],Customers!$A$2:$A$30,Customers!$C$2:$C$30,"Not found")</f>
        <v>Carries forward</v>
      </c>
    </row>
    <row r="1688" spans="1:9">
      <c r="A1688" s="9">
        <v>45342</v>
      </c>
      <c r="B1688" t="s">
        <v>87</v>
      </c>
      <c r="C1688" t="s">
        <v>8</v>
      </c>
      <c r="D1688" s="4">
        <v>1296</v>
      </c>
      <c r="E1688" s="4"/>
      <c r="F1688">
        <v>230</v>
      </c>
      <c r="G1688" t="s">
        <v>306</v>
      </c>
      <c r="H1688" t="str">
        <f t="shared" si="26"/>
        <v>2024-02</v>
      </c>
      <c r="I1688" t="str">
        <f>_xlfn.XLOOKUP(Table1[[#This Row],[Customer_ID]],Customers!$A$2:$A$30,Customers!$C$2:$C$30,"Not found")</f>
        <v>Carries forward</v>
      </c>
    </row>
    <row r="1689" spans="1:9">
      <c r="A1689" s="9">
        <v>45346</v>
      </c>
      <c r="B1689" t="s">
        <v>87</v>
      </c>
      <c r="C1689" t="s">
        <v>8</v>
      </c>
      <c r="D1689" s="4">
        <v>137</v>
      </c>
      <c r="E1689" s="4"/>
      <c r="F1689">
        <v>230</v>
      </c>
      <c r="H1689" t="str">
        <f t="shared" si="26"/>
        <v>2024-02</v>
      </c>
      <c r="I1689" t="str">
        <f>_xlfn.XLOOKUP(Table1[[#This Row],[Customer_ID]],Customers!$A$2:$A$30,Customers!$C$2:$C$30,"Not found")</f>
        <v>Carries forward</v>
      </c>
    </row>
    <row r="1690" spans="1:9">
      <c r="A1690" s="9">
        <v>45349</v>
      </c>
      <c r="B1690" t="s">
        <v>87</v>
      </c>
      <c r="C1690" t="s">
        <v>8</v>
      </c>
      <c r="D1690" s="4">
        <v>1023</v>
      </c>
      <c r="E1690" s="4"/>
      <c r="F1690">
        <v>230</v>
      </c>
      <c r="H1690" t="str">
        <f t="shared" si="26"/>
        <v>2024-02</v>
      </c>
      <c r="I1690" t="str">
        <f>_xlfn.XLOOKUP(Table1[[#This Row],[Customer_ID]],Customers!$A$2:$A$30,Customers!$C$2:$C$30,"Not found")</f>
        <v>Carries forward</v>
      </c>
    </row>
    <row r="1691" spans="1:9">
      <c r="A1691" s="9">
        <v>45354</v>
      </c>
      <c r="B1691" t="s">
        <v>87</v>
      </c>
      <c r="C1691" t="s">
        <v>8</v>
      </c>
      <c r="D1691" s="4">
        <v>280</v>
      </c>
      <c r="E1691" s="4"/>
      <c r="F1691">
        <v>230</v>
      </c>
      <c r="H1691" t="str">
        <f t="shared" si="26"/>
        <v>2024-03</v>
      </c>
      <c r="I1691" t="str">
        <f>_xlfn.XLOOKUP(Table1[[#This Row],[Customer_ID]],Customers!$A$2:$A$30,Customers!$C$2:$C$30,"Not found")</f>
        <v>Carries forward</v>
      </c>
    </row>
    <row r="1692" spans="1:9">
      <c r="A1692" s="9">
        <v>45359</v>
      </c>
      <c r="B1692" t="s">
        <v>87</v>
      </c>
      <c r="C1692" t="s">
        <v>8</v>
      </c>
      <c r="D1692" s="4">
        <v>215</v>
      </c>
      <c r="E1692" s="4"/>
      <c r="F1692">
        <v>230</v>
      </c>
      <c r="H1692" t="str">
        <f t="shared" si="26"/>
        <v>2024-03</v>
      </c>
      <c r="I1692" t="str">
        <f>_xlfn.XLOOKUP(Table1[[#This Row],[Customer_ID]],Customers!$A$2:$A$30,Customers!$C$2:$C$30,"Not found")</f>
        <v>Carries forward</v>
      </c>
    </row>
    <row r="1693" spans="1:9">
      <c r="A1693" s="9">
        <v>45359</v>
      </c>
      <c r="B1693" t="s">
        <v>87</v>
      </c>
      <c r="C1693" t="s">
        <v>8</v>
      </c>
      <c r="D1693" s="4">
        <v>20</v>
      </c>
      <c r="E1693" s="4"/>
      <c r="F1693">
        <v>230</v>
      </c>
      <c r="H1693" t="str">
        <f t="shared" si="26"/>
        <v>2024-03</v>
      </c>
      <c r="I1693" t="str">
        <f>_xlfn.XLOOKUP(Table1[[#This Row],[Customer_ID]],Customers!$A$2:$A$30,Customers!$C$2:$C$30,"Not found")</f>
        <v>Carries forward</v>
      </c>
    </row>
    <row r="1694" spans="1:9">
      <c r="A1694" s="9">
        <v>45360</v>
      </c>
      <c r="B1694" t="s">
        <v>87</v>
      </c>
      <c r="C1694" t="s">
        <v>8</v>
      </c>
      <c r="D1694" s="4">
        <v>475</v>
      </c>
      <c r="E1694" s="4">
        <v>3446</v>
      </c>
      <c r="F1694">
        <v>230</v>
      </c>
      <c r="G1694" t="s">
        <v>307</v>
      </c>
      <c r="H1694" t="str">
        <f t="shared" si="26"/>
        <v>2024-03</v>
      </c>
      <c r="I1694" t="str">
        <f>_xlfn.XLOOKUP(Table1[[#This Row],[Customer_ID]],Customers!$A$2:$A$30,Customers!$C$2:$C$30,"Not found")</f>
        <v>Carries forward</v>
      </c>
    </row>
    <row r="1695" spans="1:9">
      <c r="A1695" s="9">
        <v>45363</v>
      </c>
      <c r="B1695" t="s">
        <v>87</v>
      </c>
      <c r="C1695" t="s">
        <v>14</v>
      </c>
      <c r="D1695" s="4">
        <v>2400</v>
      </c>
      <c r="E1695" s="4">
        <v>1046</v>
      </c>
      <c r="F1695">
        <v>230</v>
      </c>
      <c r="G1695" t="s">
        <v>308</v>
      </c>
      <c r="H1695" t="str">
        <f t="shared" si="26"/>
        <v>2024-03</v>
      </c>
      <c r="I1695" t="str">
        <f>_xlfn.XLOOKUP(Table1[[#This Row],[Customer_ID]],Customers!$A$2:$A$30,Customers!$C$2:$C$30,"Not found")</f>
        <v>Carries forward</v>
      </c>
    </row>
    <row r="1696" spans="1:9">
      <c r="A1696" s="9">
        <v>45365</v>
      </c>
      <c r="B1696" t="s">
        <v>87</v>
      </c>
      <c r="C1696" t="s">
        <v>8</v>
      </c>
      <c r="D1696" s="4">
        <v>416</v>
      </c>
      <c r="E1696" s="4"/>
      <c r="F1696">
        <v>230</v>
      </c>
      <c r="H1696" t="str">
        <f t="shared" si="26"/>
        <v>2024-03</v>
      </c>
      <c r="I1696" t="str">
        <f>_xlfn.XLOOKUP(Table1[[#This Row],[Customer_ID]],Customers!$A$2:$A$30,Customers!$C$2:$C$30,"Not found")</f>
        <v>Carries forward</v>
      </c>
    </row>
    <row r="1697" spans="1:9">
      <c r="A1697" s="9">
        <v>45366</v>
      </c>
      <c r="B1697" t="s">
        <v>87</v>
      </c>
      <c r="C1697" t="s">
        <v>8</v>
      </c>
      <c r="D1697" s="4">
        <v>356</v>
      </c>
      <c r="E1697" s="4"/>
      <c r="F1697">
        <v>230</v>
      </c>
      <c r="H1697" t="str">
        <f t="shared" si="26"/>
        <v>2024-03</v>
      </c>
      <c r="I1697" t="str">
        <f>_xlfn.XLOOKUP(Table1[[#This Row],[Customer_ID]],Customers!$A$2:$A$30,Customers!$C$2:$C$30,"Not found")</f>
        <v>Carries forward</v>
      </c>
    </row>
    <row r="1698" spans="1:9">
      <c r="A1698" s="9">
        <v>45372</v>
      </c>
      <c r="B1698" t="s">
        <v>87</v>
      </c>
      <c r="C1698" t="s">
        <v>8</v>
      </c>
      <c r="D1698" s="4">
        <v>320</v>
      </c>
      <c r="E1698" s="4"/>
      <c r="F1698">
        <v>230</v>
      </c>
      <c r="H1698" t="str">
        <f t="shared" si="26"/>
        <v>2024-03</v>
      </c>
      <c r="I1698" t="str">
        <f>_xlfn.XLOOKUP(Table1[[#This Row],[Customer_ID]],Customers!$A$2:$A$30,Customers!$C$2:$C$30,"Not found")</f>
        <v>Carries forward</v>
      </c>
    </row>
    <row r="1699" spans="1:9">
      <c r="A1699" s="9">
        <v>45373</v>
      </c>
      <c r="B1699" t="s">
        <v>87</v>
      </c>
      <c r="C1699" t="s">
        <v>8</v>
      </c>
      <c r="D1699" s="4">
        <v>105</v>
      </c>
      <c r="E1699" s="4">
        <v>2243</v>
      </c>
      <c r="F1699">
        <v>230</v>
      </c>
      <c r="G1699" t="s">
        <v>309</v>
      </c>
      <c r="H1699" t="str">
        <f t="shared" si="26"/>
        <v>2024-03</v>
      </c>
      <c r="I1699" t="str">
        <f>_xlfn.XLOOKUP(Table1[[#This Row],[Customer_ID]],Customers!$A$2:$A$30,Customers!$C$2:$C$30,"Not found")</f>
        <v>Carries forward</v>
      </c>
    </row>
    <row r="1700" spans="1:9">
      <c r="A1700" s="9">
        <v>45376</v>
      </c>
      <c r="B1700" t="s">
        <v>87</v>
      </c>
      <c r="C1700" t="s">
        <v>8</v>
      </c>
      <c r="D1700" s="4">
        <v>489</v>
      </c>
      <c r="E1700" s="4"/>
      <c r="F1700">
        <v>230</v>
      </c>
      <c r="H1700" t="str">
        <f t="shared" si="26"/>
        <v>2024-03</v>
      </c>
      <c r="I1700" t="str">
        <f>_xlfn.XLOOKUP(Table1[[#This Row],[Customer_ID]],Customers!$A$2:$A$30,Customers!$C$2:$C$30,"Not found")</f>
        <v>Carries forward</v>
      </c>
    </row>
    <row r="1701" spans="1:9">
      <c r="A1701" s="9">
        <v>45380</v>
      </c>
      <c r="B1701" t="s">
        <v>87</v>
      </c>
      <c r="C1701" t="s">
        <v>8</v>
      </c>
      <c r="D1701" s="4">
        <v>440</v>
      </c>
      <c r="E1701" s="4"/>
      <c r="F1701">
        <v>230</v>
      </c>
      <c r="G1701" t="s">
        <v>310</v>
      </c>
      <c r="H1701" t="str">
        <f t="shared" si="26"/>
        <v>2024-03</v>
      </c>
      <c r="I1701" t="str">
        <f>_xlfn.XLOOKUP(Table1[[#This Row],[Customer_ID]],Customers!$A$2:$A$30,Customers!$C$2:$C$30,"Not found")</f>
        <v>Carries forward</v>
      </c>
    </row>
    <row r="1702" spans="1:9">
      <c r="A1702" s="9">
        <v>45380</v>
      </c>
      <c r="B1702" t="s">
        <v>87</v>
      </c>
      <c r="C1702" t="s">
        <v>8</v>
      </c>
      <c r="D1702" s="4">
        <v>15</v>
      </c>
      <c r="E1702" s="4"/>
      <c r="F1702">
        <v>230</v>
      </c>
      <c r="H1702" t="str">
        <f t="shared" si="26"/>
        <v>2024-03</v>
      </c>
      <c r="I1702" t="str">
        <f>_xlfn.XLOOKUP(Table1[[#This Row],[Customer_ID]],Customers!$A$2:$A$30,Customers!$C$2:$C$30,"Not found")</f>
        <v>Carries forward</v>
      </c>
    </row>
    <row r="1703" spans="1:9">
      <c r="A1703" s="9">
        <v>45382</v>
      </c>
      <c r="B1703" t="s">
        <v>87</v>
      </c>
      <c r="C1703" t="s">
        <v>8</v>
      </c>
      <c r="D1703" s="4">
        <v>83</v>
      </c>
      <c r="E1703" s="4">
        <v>3270</v>
      </c>
      <c r="F1703">
        <v>230</v>
      </c>
      <c r="G1703" t="s">
        <v>311</v>
      </c>
      <c r="H1703" t="str">
        <f t="shared" si="26"/>
        <v>2024-03</v>
      </c>
      <c r="I1703" t="str">
        <f>_xlfn.XLOOKUP(Table1[[#This Row],[Customer_ID]],Customers!$A$2:$A$30,Customers!$C$2:$C$30,"Not found")</f>
        <v>Carries forward</v>
      </c>
    </row>
    <row r="1704" spans="1:9">
      <c r="A1704" s="9">
        <v>45387</v>
      </c>
      <c r="B1704" t="s">
        <v>87</v>
      </c>
      <c r="C1704" t="s">
        <v>14</v>
      </c>
      <c r="D1704" s="4">
        <v>3000</v>
      </c>
      <c r="E1704" s="4">
        <v>270</v>
      </c>
      <c r="F1704">
        <v>230</v>
      </c>
      <c r="G1704" t="s">
        <v>312</v>
      </c>
      <c r="H1704" t="str">
        <f t="shared" si="26"/>
        <v>2024-04</v>
      </c>
      <c r="I1704" t="str">
        <f>_xlfn.XLOOKUP(Table1[[#This Row],[Customer_ID]],Customers!$A$2:$A$30,Customers!$C$2:$C$30,"Not found")</f>
        <v>Carries forward</v>
      </c>
    </row>
    <row r="1705" spans="1:9">
      <c r="A1705" s="9">
        <v>45387</v>
      </c>
      <c r="B1705" t="s">
        <v>87</v>
      </c>
      <c r="C1705" t="s">
        <v>8</v>
      </c>
      <c r="D1705" s="4">
        <v>476</v>
      </c>
      <c r="E1705" s="4"/>
      <c r="F1705">
        <v>230</v>
      </c>
      <c r="H1705" t="str">
        <f t="shared" si="26"/>
        <v>2024-04</v>
      </c>
      <c r="I1705" t="str">
        <f>_xlfn.XLOOKUP(Table1[[#This Row],[Customer_ID]],Customers!$A$2:$A$30,Customers!$C$2:$C$30,"Not found")</f>
        <v>Carries forward</v>
      </c>
    </row>
    <row r="1706" spans="1:9">
      <c r="A1706" s="9">
        <v>45389</v>
      </c>
      <c r="B1706" t="s">
        <v>87</v>
      </c>
      <c r="C1706" t="s">
        <v>8</v>
      </c>
      <c r="D1706" s="4">
        <v>136</v>
      </c>
      <c r="E1706" s="4"/>
      <c r="F1706">
        <v>230</v>
      </c>
      <c r="H1706" t="str">
        <f t="shared" si="26"/>
        <v>2024-04</v>
      </c>
      <c r="I1706" t="str">
        <f>_xlfn.XLOOKUP(Table1[[#This Row],[Customer_ID]],Customers!$A$2:$A$30,Customers!$C$2:$C$30,"Not found")</f>
        <v>Carries forward</v>
      </c>
    </row>
    <row r="1707" spans="1:9">
      <c r="A1707" s="9">
        <v>45396</v>
      </c>
      <c r="B1707" t="s">
        <v>87</v>
      </c>
      <c r="C1707" t="s">
        <v>8</v>
      </c>
      <c r="D1707" s="4">
        <v>291</v>
      </c>
      <c r="E1707" s="4"/>
      <c r="F1707">
        <v>230</v>
      </c>
      <c r="H1707" t="str">
        <f t="shared" si="26"/>
        <v>2024-04</v>
      </c>
      <c r="I1707" t="str">
        <f>_xlfn.XLOOKUP(Table1[[#This Row],[Customer_ID]],Customers!$A$2:$A$30,Customers!$C$2:$C$30,"Not found")</f>
        <v>Carries forward</v>
      </c>
    </row>
    <row r="1708" spans="1:9">
      <c r="A1708" s="9">
        <v>45398</v>
      </c>
      <c r="B1708" t="s">
        <v>87</v>
      </c>
      <c r="C1708" t="s">
        <v>8</v>
      </c>
      <c r="D1708" s="4">
        <v>300</v>
      </c>
      <c r="E1708" s="4"/>
      <c r="F1708">
        <v>230</v>
      </c>
      <c r="H1708" t="str">
        <f t="shared" si="26"/>
        <v>2024-04</v>
      </c>
      <c r="I1708" t="str">
        <f>_xlfn.XLOOKUP(Table1[[#This Row],[Customer_ID]],Customers!$A$2:$A$30,Customers!$C$2:$C$30,"Not found")</f>
        <v>Carries forward</v>
      </c>
    </row>
    <row r="1709" spans="1:9">
      <c r="A1709" s="9">
        <v>45403</v>
      </c>
      <c r="B1709" t="s">
        <v>87</v>
      </c>
      <c r="C1709" t="s">
        <v>8</v>
      </c>
      <c r="D1709" s="4">
        <v>623</v>
      </c>
      <c r="E1709" s="4"/>
      <c r="F1709">
        <v>230</v>
      </c>
      <c r="H1709" t="str">
        <f t="shared" si="26"/>
        <v>2024-04</v>
      </c>
      <c r="I1709" t="str">
        <f>_xlfn.XLOOKUP(Table1[[#This Row],[Customer_ID]],Customers!$A$2:$A$30,Customers!$C$2:$C$30,"Not found")</f>
        <v>Carries forward</v>
      </c>
    </row>
    <row r="1710" spans="1:9">
      <c r="A1710" s="9">
        <v>45413</v>
      </c>
      <c r="B1710" t="s">
        <v>87</v>
      </c>
      <c r="C1710" t="s">
        <v>8</v>
      </c>
      <c r="D1710" s="4">
        <v>765</v>
      </c>
      <c r="E1710" s="4">
        <v>2861</v>
      </c>
      <c r="F1710">
        <v>230</v>
      </c>
      <c r="G1710" t="s">
        <v>313</v>
      </c>
      <c r="H1710" t="str">
        <f t="shared" si="26"/>
        <v>2024-05</v>
      </c>
      <c r="I1710" t="str">
        <f>_xlfn.XLOOKUP(Table1[[#This Row],[Customer_ID]],Customers!$A$2:$A$30,Customers!$C$2:$C$30,"Not found")</f>
        <v>Carries forward</v>
      </c>
    </row>
    <row r="1711" spans="1:9">
      <c r="A1711" s="9"/>
      <c r="B1711" t="s">
        <v>87</v>
      </c>
      <c r="C1711" t="s">
        <v>14</v>
      </c>
      <c r="D1711" s="4">
        <v>500</v>
      </c>
      <c r="E1711" s="4">
        <v>2361</v>
      </c>
      <c r="F1711">
        <v>230</v>
      </c>
      <c r="G1711" t="s">
        <v>314</v>
      </c>
      <c r="H1711" t="str">
        <f t="shared" si="26"/>
        <v/>
      </c>
      <c r="I1711" t="str">
        <f>_xlfn.XLOOKUP(Table1[[#This Row],[Customer_ID]],Customers!$A$2:$A$30,Customers!$C$2:$C$30,"Not found")</f>
        <v>Carries forward</v>
      </c>
    </row>
    <row r="1712" spans="1:9">
      <c r="A1712" s="9">
        <v>45422</v>
      </c>
      <c r="B1712" t="s">
        <v>87</v>
      </c>
      <c r="C1712" t="s">
        <v>8</v>
      </c>
      <c r="D1712" s="4">
        <v>187</v>
      </c>
      <c r="E1712" s="4"/>
      <c r="F1712">
        <v>230</v>
      </c>
      <c r="H1712" t="str">
        <f t="shared" si="26"/>
        <v>2024-05</v>
      </c>
      <c r="I1712" t="str">
        <f>_xlfn.XLOOKUP(Table1[[#This Row],[Customer_ID]],Customers!$A$2:$A$30,Customers!$C$2:$C$30,"Not found")</f>
        <v>Carries forward</v>
      </c>
    </row>
    <row r="1713" spans="1:9">
      <c r="A1713" s="9">
        <v>45432</v>
      </c>
      <c r="B1713" t="s">
        <v>87</v>
      </c>
      <c r="C1713" t="s">
        <v>8</v>
      </c>
      <c r="D1713" s="4">
        <v>182</v>
      </c>
      <c r="E1713" s="4"/>
      <c r="F1713">
        <v>230</v>
      </c>
      <c r="H1713" t="str">
        <f t="shared" si="26"/>
        <v>2024-05</v>
      </c>
      <c r="I1713" t="str">
        <f>_xlfn.XLOOKUP(Table1[[#This Row],[Customer_ID]],Customers!$A$2:$A$30,Customers!$C$2:$C$30,"Not found")</f>
        <v>Carries forward</v>
      </c>
    </row>
    <row r="1714" spans="1:9">
      <c r="A1714" s="9">
        <v>45444</v>
      </c>
      <c r="B1714" t="s">
        <v>87</v>
      </c>
      <c r="C1714" t="s">
        <v>8</v>
      </c>
      <c r="D1714" s="4">
        <v>1173</v>
      </c>
      <c r="E1714" s="4"/>
      <c r="F1714">
        <v>230</v>
      </c>
      <c r="H1714" t="str">
        <f t="shared" si="26"/>
        <v>2024-06</v>
      </c>
      <c r="I1714" t="str">
        <f>_xlfn.XLOOKUP(Table1[[#This Row],[Customer_ID]],Customers!$A$2:$A$30,Customers!$C$2:$C$30,"Not found")</f>
        <v>Carries forward</v>
      </c>
    </row>
    <row r="1715" spans="1:9">
      <c r="A1715" s="9">
        <v>45445</v>
      </c>
      <c r="B1715" t="s">
        <v>87</v>
      </c>
      <c r="C1715" t="s">
        <v>8</v>
      </c>
      <c r="D1715" s="4">
        <v>521</v>
      </c>
      <c r="E1715" s="4">
        <v>4424</v>
      </c>
      <c r="F1715">
        <v>230</v>
      </c>
      <c r="G1715" t="s">
        <v>315</v>
      </c>
      <c r="H1715" t="str">
        <f t="shared" si="26"/>
        <v>2024-06</v>
      </c>
      <c r="I1715" t="str">
        <f>_xlfn.XLOOKUP(Table1[[#This Row],[Customer_ID]],Customers!$A$2:$A$30,Customers!$C$2:$C$30,"Not found")</f>
        <v>Carries forward</v>
      </c>
    </row>
    <row r="1716" spans="1:9">
      <c r="A1716" s="9"/>
      <c r="B1716" t="s">
        <v>87</v>
      </c>
      <c r="C1716" t="s">
        <v>14</v>
      </c>
      <c r="D1716" s="4">
        <v>2000</v>
      </c>
      <c r="E1716" s="4">
        <v>2424</v>
      </c>
      <c r="F1716">
        <v>230</v>
      </c>
      <c r="G1716" t="s">
        <v>316</v>
      </c>
      <c r="H1716" t="str">
        <f t="shared" si="26"/>
        <v/>
      </c>
      <c r="I1716" t="str">
        <f>_xlfn.XLOOKUP(Table1[[#This Row],[Customer_ID]],Customers!$A$2:$A$30,Customers!$C$2:$C$30,"Not found")</f>
        <v>Carries forward</v>
      </c>
    </row>
    <row r="1717" spans="1:9">
      <c r="A1717" s="9">
        <v>45450</v>
      </c>
      <c r="B1717" t="s">
        <v>87</v>
      </c>
      <c r="C1717" t="s">
        <v>8</v>
      </c>
      <c r="D1717" s="4">
        <v>113</v>
      </c>
      <c r="E1717" s="4"/>
      <c r="F1717">
        <v>230</v>
      </c>
      <c r="H1717" t="str">
        <f t="shared" si="26"/>
        <v>2024-06</v>
      </c>
      <c r="I1717" t="str">
        <f>_xlfn.XLOOKUP(Table1[[#This Row],[Customer_ID]],Customers!$A$2:$A$30,Customers!$C$2:$C$30,"Not found")</f>
        <v>Carries forward</v>
      </c>
    </row>
    <row r="1718" spans="1:9">
      <c r="A1718" s="9">
        <v>45459</v>
      </c>
      <c r="B1718" t="s">
        <v>87</v>
      </c>
      <c r="C1718" t="s">
        <v>8</v>
      </c>
      <c r="D1718" s="4">
        <v>235</v>
      </c>
      <c r="E1718" s="4"/>
      <c r="F1718">
        <v>230</v>
      </c>
      <c r="H1718" t="str">
        <f t="shared" si="26"/>
        <v>2024-06</v>
      </c>
      <c r="I1718" t="str">
        <f>_xlfn.XLOOKUP(Table1[[#This Row],[Customer_ID]],Customers!$A$2:$A$30,Customers!$C$2:$C$30,"Not found")</f>
        <v>Carries forward</v>
      </c>
    </row>
    <row r="1719" spans="1:9">
      <c r="A1719" s="9">
        <v>45459</v>
      </c>
      <c r="B1719" t="s">
        <v>87</v>
      </c>
      <c r="C1719" t="s">
        <v>8</v>
      </c>
      <c r="D1719" s="4">
        <v>61</v>
      </c>
      <c r="E1719" s="4"/>
      <c r="F1719">
        <v>230</v>
      </c>
      <c r="H1719" t="str">
        <f t="shared" si="26"/>
        <v>2024-06</v>
      </c>
      <c r="I1719" t="str">
        <f>_xlfn.XLOOKUP(Table1[[#This Row],[Customer_ID]],Customers!$A$2:$A$30,Customers!$C$2:$C$30,"Not found")</f>
        <v>Carries forward</v>
      </c>
    </row>
    <row r="1720" spans="1:9">
      <c r="A1720" s="9">
        <v>45469</v>
      </c>
      <c r="B1720" t="s">
        <v>87</v>
      </c>
      <c r="C1720" t="s">
        <v>8</v>
      </c>
      <c r="D1720" s="4">
        <v>230</v>
      </c>
      <c r="E1720" s="4">
        <v>3063</v>
      </c>
      <c r="F1720">
        <v>230</v>
      </c>
      <c r="G1720" t="s">
        <v>317</v>
      </c>
      <c r="H1720" t="str">
        <f t="shared" si="26"/>
        <v>2024-06</v>
      </c>
      <c r="I1720" t="str">
        <f>_xlfn.XLOOKUP(Table1[[#This Row],[Customer_ID]],Customers!$A$2:$A$30,Customers!$C$2:$C$30,"Not found")</f>
        <v>Carries forward</v>
      </c>
    </row>
    <row r="1721" spans="1:9">
      <c r="A1721" s="9"/>
      <c r="B1721" t="s">
        <v>87</v>
      </c>
      <c r="C1721" t="s">
        <v>14</v>
      </c>
      <c r="D1721" s="4">
        <v>2500</v>
      </c>
      <c r="E1721" s="4">
        <v>563</v>
      </c>
      <c r="F1721">
        <v>230</v>
      </c>
      <c r="G1721" t="s">
        <v>318</v>
      </c>
      <c r="H1721" t="str">
        <f t="shared" si="26"/>
        <v/>
      </c>
      <c r="I1721" t="str">
        <f>_xlfn.XLOOKUP(Table1[[#This Row],[Customer_ID]],Customers!$A$2:$A$30,Customers!$C$2:$C$30,"Not found")</f>
        <v>Carries forward</v>
      </c>
    </row>
    <row r="1722" spans="1:9">
      <c r="A1722" s="9">
        <v>45476</v>
      </c>
      <c r="B1722" t="s">
        <v>87</v>
      </c>
      <c r="C1722" t="s">
        <v>8</v>
      </c>
      <c r="D1722" s="4">
        <v>1895</v>
      </c>
      <c r="E1722" s="4"/>
      <c r="F1722">
        <v>230</v>
      </c>
      <c r="H1722" t="str">
        <f t="shared" si="26"/>
        <v>2024-07</v>
      </c>
      <c r="I1722" t="str">
        <f>_xlfn.XLOOKUP(Table1[[#This Row],[Customer_ID]],Customers!$A$2:$A$30,Customers!$C$2:$C$30,"Not found")</f>
        <v>Carries forward</v>
      </c>
    </row>
    <row r="1723" spans="1:9">
      <c r="A1723" s="9">
        <v>45476</v>
      </c>
      <c r="B1723" t="s">
        <v>87</v>
      </c>
      <c r="C1723" t="s">
        <v>8</v>
      </c>
      <c r="D1723" s="4">
        <v>20</v>
      </c>
      <c r="E1723" s="4"/>
      <c r="F1723">
        <v>230</v>
      </c>
      <c r="H1723" t="str">
        <f t="shared" si="26"/>
        <v>2024-07</v>
      </c>
      <c r="I1723" t="str">
        <f>_xlfn.XLOOKUP(Table1[[#This Row],[Customer_ID]],Customers!$A$2:$A$30,Customers!$C$2:$C$30,"Not found")</f>
        <v>Carries forward</v>
      </c>
    </row>
    <row r="1724" spans="1:9">
      <c r="A1724" s="9">
        <v>45482</v>
      </c>
      <c r="B1724" t="s">
        <v>87</v>
      </c>
      <c r="C1724" t="s">
        <v>8</v>
      </c>
      <c r="D1724" s="4">
        <v>189</v>
      </c>
      <c r="E1724" s="4"/>
      <c r="F1724">
        <v>230</v>
      </c>
      <c r="H1724" t="str">
        <f t="shared" si="26"/>
        <v>2024-07</v>
      </c>
      <c r="I1724" t="str">
        <f>_xlfn.XLOOKUP(Table1[[#This Row],[Customer_ID]],Customers!$A$2:$A$30,Customers!$C$2:$C$30,"Not found")</f>
        <v>Carries forward</v>
      </c>
    </row>
    <row r="1725" spans="1:9">
      <c r="A1725" s="9">
        <v>45487</v>
      </c>
      <c r="B1725" t="s">
        <v>87</v>
      </c>
      <c r="C1725" t="s">
        <v>8</v>
      </c>
      <c r="D1725" s="4">
        <v>326</v>
      </c>
      <c r="E1725" s="4">
        <v>2993</v>
      </c>
      <c r="F1725">
        <v>230</v>
      </c>
      <c r="G1725" t="s">
        <v>319</v>
      </c>
      <c r="H1725" t="str">
        <f t="shared" si="26"/>
        <v>2024-07</v>
      </c>
      <c r="I1725" t="str">
        <f>_xlfn.XLOOKUP(Table1[[#This Row],[Customer_ID]],Customers!$A$2:$A$30,Customers!$C$2:$C$30,"Not found")</f>
        <v>Carries forward</v>
      </c>
    </row>
    <row r="1726" spans="1:9">
      <c r="A1726" s="9">
        <v>45285</v>
      </c>
      <c r="B1726" t="s">
        <v>88</v>
      </c>
      <c r="C1726" t="s">
        <v>28</v>
      </c>
      <c r="D1726" s="4">
        <v>2971</v>
      </c>
      <c r="E1726" s="4">
        <v>2971</v>
      </c>
      <c r="F1726">
        <v>178</v>
      </c>
      <c r="G1726" t="s">
        <v>320</v>
      </c>
      <c r="H1726" t="str">
        <f t="shared" si="26"/>
        <v>2023-12</v>
      </c>
      <c r="I1726" t="str">
        <f>_xlfn.XLOOKUP(Table1[[#This Row],[Customer_ID]],Customers!$A$2:$A$30,Customers!$C$2:$C$30,"Not found")</f>
        <v>Pays full</v>
      </c>
    </row>
    <row r="1727" spans="1:9">
      <c r="A1727" s="9">
        <v>45285</v>
      </c>
      <c r="B1727" t="s">
        <v>88</v>
      </c>
      <c r="C1727" t="s">
        <v>8</v>
      </c>
      <c r="D1727" s="4">
        <v>20</v>
      </c>
      <c r="E1727" s="4"/>
      <c r="F1727">
        <v>178</v>
      </c>
      <c r="H1727" t="str">
        <f t="shared" ref="H1727:H1790" si="27">IF(A1727="","",TEXT(A1727,"yyyy-mm"))</f>
        <v>2023-12</v>
      </c>
      <c r="I1727" t="str">
        <f>_xlfn.XLOOKUP(Table1[[#This Row],[Customer_ID]],Customers!$A$2:$A$30,Customers!$C$2:$C$30,"Not found")</f>
        <v>Pays full</v>
      </c>
    </row>
    <row r="1728" spans="1:9">
      <c r="A1728" s="9">
        <v>45286</v>
      </c>
      <c r="B1728" t="s">
        <v>88</v>
      </c>
      <c r="C1728" t="s">
        <v>8</v>
      </c>
      <c r="D1728" s="4">
        <v>93</v>
      </c>
      <c r="E1728" s="4"/>
      <c r="F1728">
        <v>178</v>
      </c>
      <c r="H1728" t="str">
        <f t="shared" si="27"/>
        <v>2023-12</v>
      </c>
      <c r="I1728" t="str">
        <f>_xlfn.XLOOKUP(Table1[[#This Row],[Customer_ID]],Customers!$A$2:$A$30,Customers!$C$2:$C$30,"Not found")</f>
        <v>Pays full</v>
      </c>
    </row>
    <row r="1729" spans="1:9">
      <c r="A1729" s="9">
        <v>45287</v>
      </c>
      <c r="B1729" t="s">
        <v>88</v>
      </c>
      <c r="C1729" t="s">
        <v>8</v>
      </c>
      <c r="D1729" s="4">
        <v>110</v>
      </c>
      <c r="E1729" s="4"/>
      <c r="F1729">
        <v>178</v>
      </c>
      <c r="H1729" t="str">
        <f t="shared" si="27"/>
        <v>2023-12</v>
      </c>
      <c r="I1729" t="str">
        <f>_xlfn.XLOOKUP(Table1[[#This Row],[Customer_ID]],Customers!$A$2:$A$30,Customers!$C$2:$C$30,"Not found")</f>
        <v>Pays full</v>
      </c>
    </row>
    <row r="1730" spans="1:9">
      <c r="A1730" s="9">
        <v>45289</v>
      </c>
      <c r="B1730" t="s">
        <v>88</v>
      </c>
      <c r="C1730" t="s">
        <v>8</v>
      </c>
      <c r="D1730" s="4">
        <v>535</v>
      </c>
      <c r="E1730" s="4">
        <v>3729</v>
      </c>
      <c r="F1730">
        <v>178</v>
      </c>
      <c r="G1730" t="s">
        <v>321</v>
      </c>
      <c r="H1730" t="str">
        <f t="shared" si="27"/>
        <v>2023-12</v>
      </c>
      <c r="I1730" t="str">
        <f>_xlfn.XLOOKUP(Table1[[#This Row],[Customer_ID]],Customers!$A$2:$A$30,Customers!$C$2:$C$30,"Not found")</f>
        <v>Pays full</v>
      </c>
    </row>
    <row r="1731" spans="1:9">
      <c r="A1731" s="9">
        <v>45291</v>
      </c>
      <c r="B1731" t="s">
        <v>88</v>
      </c>
      <c r="C1731" t="s">
        <v>8</v>
      </c>
      <c r="D1731" s="4">
        <v>1560</v>
      </c>
      <c r="E1731" s="4"/>
      <c r="F1731">
        <v>178</v>
      </c>
      <c r="G1731" t="s">
        <v>195</v>
      </c>
      <c r="H1731" t="str">
        <f t="shared" si="27"/>
        <v>2023-12</v>
      </c>
      <c r="I1731" t="str">
        <f>_xlfn.XLOOKUP(Table1[[#This Row],[Customer_ID]],Customers!$A$2:$A$30,Customers!$C$2:$C$30,"Not found")</f>
        <v>Pays full</v>
      </c>
    </row>
    <row r="1732" spans="1:9">
      <c r="A1732" s="9">
        <v>45291</v>
      </c>
      <c r="B1732" t="s">
        <v>88</v>
      </c>
      <c r="C1732" t="s">
        <v>8</v>
      </c>
      <c r="D1732" s="4">
        <v>42</v>
      </c>
      <c r="E1732" s="4"/>
      <c r="F1732">
        <v>178</v>
      </c>
      <c r="H1732" t="str">
        <f t="shared" si="27"/>
        <v>2023-12</v>
      </c>
      <c r="I1732" t="str">
        <f>_xlfn.XLOOKUP(Table1[[#This Row],[Customer_ID]],Customers!$A$2:$A$30,Customers!$C$2:$C$30,"Not found")</f>
        <v>Pays full</v>
      </c>
    </row>
    <row r="1733" spans="1:9">
      <c r="A1733" s="9">
        <v>45292</v>
      </c>
      <c r="B1733" t="s">
        <v>88</v>
      </c>
      <c r="C1733" t="s">
        <v>8</v>
      </c>
      <c r="D1733" s="4">
        <v>62</v>
      </c>
      <c r="E1733" s="4"/>
      <c r="F1733">
        <v>178</v>
      </c>
      <c r="H1733" t="str">
        <f t="shared" si="27"/>
        <v>2024-01</v>
      </c>
      <c r="I1733" t="str">
        <f>_xlfn.XLOOKUP(Table1[[#This Row],[Customer_ID]],Customers!$A$2:$A$30,Customers!$C$2:$C$30,"Not found")</f>
        <v>Pays full</v>
      </c>
    </row>
    <row r="1734" spans="1:9">
      <c r="A1734" s="9">
        <v>45293</v>
      </c>
      <c r="B1734" t="s">
        <v>88</v>
      </c>
      <c r="C1734" t="s">
        <v>8</v>
      </c>
      <c r="D1734" s="4">
        <v>95</v>
      </c>
      <c r="E1734" s="4"/>
      <c r="F1734">
        <v>178</v>
      </c>
      <c r="H1734" t="str">
        <f t="shared" si="27"/>
        <v>2024-01</v>
      </c>
      <c r="I1734" t="str">
        <f>_xlfn.XLOOKUP(Table1[[#This Row],[Customer_ID]],Customers!$A$2:$A$30,Customers!$C$2:$C$30,"Not found")</f>
        <v>Pays full</v>
      </c>
    </row>
    <row r="1735" spans="1:9">
      <c r="A1735" s="9">
        <v>45294</v>
      </c>
      <c r="B1735" t="s">
        <v>88</v>
      </c>
      <c r="C1735" t="s">
        <v>8</v>
      </c>
      <c r="D1735" s="4">
        <v>20</v>
      </c>
      <c r="E1735" s="4"/>
      <c r="F1735">
        <v>178</v>
      </c>
      <c r="H1735" t="str">
        <f t="shared" si="27"/>
        <v>2024-01</v>
      </c>
      <c r="I1735" t="str">
        <f>_xlfn.XLOOKUP(Table1[[#This Row],[Customer_ID]],Customers!$A$2:$A$30,Customers!$C$2:$C$30,"Not found")</f>
        <v>Pays full</v>
      </c>
    </row>
    <row r="1736" spans="1:9">
      <c r="A1736" s="9">
        <v>45295</v>
      </c>
      <c r="B1736" t="s">
        <v>88</v>
      </c>
      <c r="C1736" t="s">
        <v>8</v>
      </c>
      <c r="D1736" s="4">
        <v>16</v>
      </c>
      <c r="E1736" s="4"/>
      <c r="F1736">
        <v>178</v>
      </c>
      <c r="G1736" t="s">
        <v>322</v>
      </c>
      <c r="H1736" t="str">
        <f t="shared" si="27"/>
        <v>2024-01</v>
      </c>
      <c r="I1736" t="str">
        <f>_xlfn.XLOOKUP(Table1[[#This Row],[Customer_ID]],Customers!$A$2:$A$30,Customers!$C$2:$C$30,"Not found")</f>
        <v>Pays full</v>
      </c>
    </row>
    <row r="1737" spans="1:9">
      <c r="A1737" s="9">
        <v>45296</v>
      </c>
      <c r="B1737" t="s">
        <v>88</v>
      </c>
      <c r="C1737" t="s">
        <v>8</v>
      </c>
      <c r="D1737" s="4">
        <v>103</v>
      </c>
      <c r="E1737" s="4">
        <v>5627</v>
      </c>
      <c r="F1737">
        <v>178</v>
      </c>
      <c r="G1737" t="s">
        <v>323</v>
      </c>
      <c r="H1737" t="str">
        <f t="shared" si="27"/>
        <v>2024-01</v>
      </c>
      <c r="I1737" t="str">
        <f>_xlfn.XLOOKUP(Table1[[#This Row],[Customer_ID]],Customers!$A$2:$A$30,Customers!$C$2:$C$30,"Not found")</f>
        <v>Pays full</v>
      </c>
    </row>
    <row r="1738" spans="1:9">
      <c r="A1738" s="9">
        <v>45296</v>
      </c>
      <c r="B1738" t="s">
        <v>88</v>
      </c>
      <c r="C1738" t="s">
        <v>14</v>
      </c>
      <c r="D1738" s="4">
        <v>5627</v>
      </c>
      <c r="E1738" s="4">
        <v>0</v>
      </c>
      <c r="F1738">
        <v>178</v>
      </c>
      <c r="G1738" t="s">
        <v>324</v>
      </c>
      <c r="H1738" t="str">
        <f t="shared" si="27"/>
        <v>2024-01</v>
      </c>
      <c r="I1738" t="str">
        <f>_xlfn.XLOOKUP(Table1[[#This Row],[Customer_ID]],Customers!$A$2:$A$30,Customers!$C$2:$C$30,"Not found")</f>
        <v>Pays full</v>
      </c>
    </row>
    <row r="1739" spans="1:9">
      <c r="A1739" s="9">
        <v>45298</v>
      </c>
      <c r="B1739" t="s">
        <v>88</v>
      </c>
      <c r="C1739" t="s">
        <v>8</v>
      </c>
      <c r="D1739" s="4">
        <v>380</v>
      </c>
      <c r="E1739" s="4"/>
      <c r="F1739">
        <v>178</v>
      </c>
      <c r="G1739" t="s">
        <v>325</v>
      </c>
      <c r="H1739" t="str">
        <f t="shared" si="27"/>
        <v>2024-01</v>
      </c>
      <c r="I1739" t="str">
        <f>_xlfn.XLOOKUP(Table1[[#This Row],[Customer_ID]],Customers!$A$2:$A$30,Customers!$C$2:$C$30,"Not found")</f>
        <v>Pays full</v>
      </c>
    </row>
    <row r="1740" spans="1:9">
      <c r="A1740" s="9">
        <v>45298</v>
      </c>
      <c r="B1740" t="s">
        <v>88</v>
      </c>
      <c r="C1740" t="s">
        <v>8</v>
      </c>
      <c r="D1740" s="4">
        <v>21</v>
      </c>
      <c r="E1740" s="4"/>
      <c r="F1740">
        <v>178</v>
      </c>
      <c r="G1740" t="s">
        <v>204</v>
      </c>
      <c r="H1740" t="str">
        <f t="shared" si="27"/>
        <v>2024-01</v>
      </c>
      <c r="I1740" t="str">
        <f>_xlfn.XLOOKUP(Table1[[#This Row],[Customer_ID]],Customers!$A$2:$A$30,Customers!$C$2:$C$30,"Not found")</f>
        <v>Pays full</v>
      </c>
    </row>
    <row r="1741" spans="1:9">
      <c r="A1741" s="9">
        <v>45299</v>
      </c>
      <c r="B1741" t="s">
        <v>88</v>
      </c>
      <c r="C1741" t="s">
        <v>8</v>
      </c>
      <c r="D1741" s="4">
        <v>130</v>
      </c>
      <c r="E1741" s="4"/>
      <c r="F1741">
        <v>178</v>
      </c>
      <c r="H1741" t="str">
        <f t="shared" si="27"/>
        <v>2024-01</v>
      </c>
      <c r="I1741" t="str">
        <f>_xlfn.XLOOKUP(Table1[[#This Row],[Customer_ID]],Customers!$A$2:$A$30,Customers!$C$2:$C$30,"Not found")</f>
        <v>Pays full</v>
      </c>
    </row>
    <row r="1742" spans="1:9">
      <c r="A1742" s="9">
        <v>45300</v>
      </c>
      <c r="B1742" t="s">
        <v>88</v>
      </c>
      <c r="C1742" t="s">
        <v>8</v>
      </c>
      <c r="D1742" s="4">
        <v>145</v>
      </c>
      <c r="E1742" s="4"/>
      <c r="F1742">
        <v>178</v>
      </c>
      <c r="H1742" t="str">
        <f t="shared" si="27"/>
        <v>2024-01</v>
      </c>
      <c r="I1742" t="str">
        <f>_xlfn.XLOOKUP(Table1[[#This Row],[Customer_ID]],Customers!$A$2:$A$30,Customers!$C$2:$C$30,"Not found")</f>
        <v>Pays full</v>
      </c>
    </row>
    <row r="1743" spans="1:9">
      <c r="A1743" s="9">
        <v>45301</v>
      </c>
      <c r="B1743" t="s">
        <v>88</v>
      </c>
      <c r="C1743" t="s">
        <v>8</v>
      </c>
      <c r="D1743" s="4">
        <v>20</v>
      </c>
      <c r="E1743" s="4"/>
      <c r="F1743">
        <v>178</v>
      </c>
      <c r="H1743" t="str">
        <f t="shared" si="27"/>
        <v>2024-01</v>
      </c>
      <c r="I1743" t="str">
        <f>_xlfn.XLOOKUP(Table1[[#This Row],[Customer_ID]],Customers!$A$2:$A$30,Customers!$C$2:$C$30,"Not found")</f>
        <v>Pays full</v>
      </c>
    </row>
    <row r="1744" spans="1:9">
      <c r="A1744" s="9">
        <v>45301</v>
      </c>
      <c r="B1744" t="s">
        <v>88</v>
      </c>
      <c r="C1744" t="s">
        <v>8</v>
      </c>
      <c r="D1744" s="4">
        <v>15</v>
      </c>
      <c r="E1744" s="4"/>
      <c r="F1744">
        <v>178</v>
      </c>
      <c r="H1744" t="str">
        <f t="shared" si="27"/>
        <v>2024-01</v>
      </c>
      <c r="I1744" t="str">
        <f>_xlfn.XLOOKUP(Table1[[#This Row],[Customer_ID]],Customers!$A$2:$A$30,Customers!$C$2:$C$30,"Not found")</f>
        <v>Pays full</v>
      </c>
    </row>
    <row r="1745" spans="1:9">
      <c r="A1745" s="9">
        <v>45302</v>
      </c>
      <c r="B1745" t="s">
        <v>88</v>
      </c>
      <c r="C1745" t="s">
        <v>8</v>
      </c>
      <c r="D1745" s="4">
        <v>330</v>
      </c>
      <c r="E1745" s="4"/>
      <c r="F1745">
        <v>178</v>
      </c>
      <c r="H1745" t="str">
        <f t="shared" si="27"/>
        <v>2024-01</v>
      </c>
      <c r="I1745" t="str">
        <f>_xlfn.XLOOKUP(Table1[[#This Row],[Customer_ID]],Customers!$A$2:$A$30,Customers!$C$2:$C$30,"Not found")</f>
        <v>Pays full</v>
      </c>
    </row>
    <row r="1746" spans="1:9">
      <c r="A1746" s="9">
        <v>45303</v>
      </c>
      <c r="B1746" t="s">
        <v>88</v>
      </c>
      <c r="C1746" t="s">
        <v>8</v>
      </c>
      <c r="D1746" s="4">
        <v>89</v>
      </c>
      <c r="E1746" s="4"/>
      <c r="F1746">
        <v>178</v>
      </c>
      <c r="H1746" t="str">
        <f t="shared" si="27"/>
        <v>2024-01</v>
      </c>
      <c r="I1746" t="str">
        <f>_xlfn.XLOOKUP(Table1[[#This Row],[Customer_ID]],Customers!$A$2:$A$30,Customers!$C$2:$C$30,"Not found")</f>
        <v>Pays full</v>
      </c>
    </row>
    <row r="1747" spans="1:9">
      <c r="A1747" s="9">
        <v>45303</v>
      </c>
      <c r="B1747" t="s">
        <v>88</v>
      </c>
      <c r="C1747" t="s">
        <v>8</v>
      </c>
      <c r="D1747" s="4">
        <v>10</v>
      </c>
      <c r="E1747" s="4"/>
      <c r="F1747">
        <v>178</v>
      </c>
      <c r="H1747" t="str">
        <f t="shared" si="27"/>
        <v>2024-01</v>
      </c>
      <c r="I1747" t="str">
        <f>_xlfn.XLOOKUP(Table1[[#This Row],[Customer_ID]],Customers!$A$2:$A$30,Customers!$C$2:$C$30,"Not found")</f>
        <v>Pays full</v>
      </c>
    </row>
    <row r="1748" spans="1:9">
      <c r="A1748" s="9">
        <v>45305</v>
      </c>
      <c r="B1748" t="s">
        <v>88</v>
      </c>
      <c r="C1748" t="s">
        <v>8</v>
      </c>
      <c r="D1748" s="4">
        <v>81</v>
      </c>
      <c r="E1748" s="4"/>
      <c r="F1748">
        <v>178</v>
      </c>
      <c r="H1748" t="str">
        <f t="shared" si="27"/>
        <v>2024-01</v>
      </c>
      <c r="I1748" t="str">
        <f>_xlfn.XLOOKUP(Table1[[#This Row],[Customer_ID]],Customers!$A$2:$A$30,Customers!$C$2:$C$30,"Not found")</f>
        <v>Pays full</v>
      </c>
    </row>
    <row r="1749" spans="1:9">
      <c r="A1749" s="9">
        <v>45306</v>
      </c>
      <c r="B1749" t="s">
        <v>88</v>
      </c>
      <c r="C1749" t="s">
        <v>8</v>
      </c>
      <c r="D1749" s="4">
        <v>30</v>
      </c>
      <c r="E1749" s="4"/>
      <c r="F1749">
        <v>178</v>
      </c>
      <c r="H1749" t="str">
        <f t="shared" si="27"/>
        <v>2024-01</v>
      </c>
      <c r="I1749" t="str">
        <f>_xlfn.XLOOKUP(Table1[[#This Row],[Customer_ID]],Customers!$A$2:$A$30,Customers!$C$2:$C$30,"Not found")</f>
        <v>Pays full</v>
      </c>
    </row>
    <row r="1750" spans="1:9">
      <c r="A1750" s="9">
        <v>45307</v>
      </c>
      <c r="B1750" t="s">
        <v>88</v>
      </c>
      <c r="C1750" t="s">
        <v>8</v>
      </c>
      <c r="D1750" s="4">
        <v>262</v>
      </c>
      <c r="E1750" s="4"/>
      <c r="F1750">
        <v>178</v>
      </c>
      <c r="H1750" t="str">
        <f t="shared" si="27"/>
        <v>2024-01</v>
      </c>
      <c r="I1750" t="str">
        <f>_xlfn.XLOOKUP(Table1[[#This Row],[Customer_ID]],Customers!$A$2:$A$30,Customers!$C$2:$C$30,"Not found")</f>
        <v>Pays full</v>
      </c>
    </row>
    <row r="1751" spans="1:9">
      <c r="A1751" s="9">
        <v>45308</v>
      </c>
      <c r="B1751" t="s">
        <v>88</v>
      </c>
      <c r="C1751" t="s">
        <v>8</v>
      </c>
      <c r="D1751" s="4">
        <v>126</v>
      </c>
      <c r="E1751" s="4"/>
      <c r="F1751">
        <v>178</v>
      </c>
      <c r="H1751" t="str">
        <f t="shared" si="27"/>
        <v>2024-01</v>
      </c>
      <c r="I1751" t="str">
        <f>_xlfn.XLOOKUP(Table1[[#This Row],[Customer_ID]],Customers!$A$2:$A$30,Customers!$C$2:$C$30,"Not found")</f>
        <v>Pays full</v>
      </c>
    </row>
    <row r="1752" spans="1:9">
      <c r="A1752" s="9">
        <v>45309</v>
      </c>
      <c r="B1752" t="s">
        <v>88</v>
      </c>
      <c r="C1752" t="s">
        <v>8</v>
      </c>
      <c r="D1752" s="4">
        <v>113</v>
      </c>
      <c r="E1752" s="4"/>
      <c r="F1752">
        <v>178</v>
      </c>
      <c r="H1752" t="str">
        <f t="shared" si="27"/>
        <v>2024-01</v>
      </c>
      <c r="I1752" t="str">
        <f>_xlfn.XLOOKUP(Table1[[#This Row],[Customer_ID]],Customers!$A$2:$A$30,Customers!$C$2:$C$30,"Not found")</f>
        <v>Pays full</v>
      </c>
    </row>
    <row r="1753" spans="1:9">
      <c r="A1753" s="9">
        <v>45309</v>
      </c>
      <c r="B1753" t="s">
        <v>88</v>
      </c>
      <c r="C1753" t="s">
        <v>8</v>
      </c>
      <c r="D1753" s="4">
        <v>25</v>
      </c>
      <c r="E1753" s="4"/>
      <c r="F1753">
        <v>178</v>
      </c>
      <c r="H1753" t="str">
        <f t="shared" si="27"/>
        <v>2024-01</v>
      </c>
      <c r="I1753" t="str">
        <f>_xlfn.XLOOKUP(Table1[[#This Row],[Customer_ID]],Customers!$A$2:$A$30,Customers!$C$2:$C$30,"Not found")</f>
        <v>Pays full</v>
      </c>
    </row>
    <row r="1754" spans="1:9">
      <c r="A1754" s="9">
        <v>45310</v>
      </c>
      <c r="B1754" t="s">
        <v>88</v>
      </c>
      <c r="C1754" t="s">
        <v>8</v>
      </c>
      <c r="D1754" s="4">
        <v>192</v>
      </c>
      <c r="E1754" s="4"/>
      <c r="F1754">
        <v>178</v>
      </c>
      <c r="H1754" t="str">
        <f t="shared" si="27"/>
        <v>2024-01</v>
      </c>
      <c r="I1754" t="str">
        <f>_xlfn.XLOOKUP(Table1[[#This Row],[Customer_ID]],Customers!$A$2:$A$30,Customers!$C$2:$C$30,"Not found")</f>
        <v>Pays full</v>
      </c>
    </row>
    <row r="1755" spans="1:9">
      <c r="A1755" s="9">
        <v>45311</v>
      </c>
      <c r="B1755" t="s">
        <v>88</v>
      </c>
      <c r="C1755" t="s">
        <v>8</v>
      </c>
      <c r="D1755" s="4">
        <v>137</v>
      </c>
      <c r="E1755" s="4"/>
      <c r="F1755">
        <v>178</v>
      </c>
      <c r="H1755" t="str">
        <f t="shared" si="27"/>
        <v>2024-01</v>
      </c>
      <c r="I1755" t="str">
        <f>_xlfn.XLOOKUP(Table1[[#This Row],[Customer_ID]],Customers!$A$2:$A$30,Customers!$C$2:$C$30,"Not found")</f>
        <v>Pays full</v>
      </c>
    </row>
    <row r="1756" spans="1:9">
      <c r="A1756" s="9">
        <v>45313</v>
      </c>
      <c r="B1756" t="s">
        <v>88</v>
      </c>
      <c r="C1756" t="s">
        <v>8</v>
      </c>
      <c r="D1756" s="4">
        <v>337</v>
      </c>
      <c r="E1756" s="4"/>
      <c r="F1756">
        <v>178</v>
      </c>
      <c r="H1756" t="str">
        <f t="shared" si="27"/>
        <v>2024-01</v>
      </c>
      <c r="I1756" t="str">
        <f>_xlfn.XLOOKUP(Table1[[#This Row],[Customer_ID]],Customers!$A$2:$A$30,Customers!$C$2:$C$30,"Not found")</f>
        <v>Pays full</v>
      </c>
    </row>
    <row r="1757" spans="1:9">
      <c r="A1757" s="9">
        <v>45314</v>
      </c>
      <c r="B1757" t="s">
        <v>88</v>
      </c>
      <c r="C1757" t="s">
        <v>8</v>
      </c>
      <c r="D1757" s="4">
        <v>42</v>
      </c>
      <c r="E1757" s="4"/>
      <c r="F1757">
        <v>178</v>
      </c>
      <c r="H1757" t="str">
        <f t="shared" si="27"/>
        <v>2024-01</v>
      </c>
      <c r="I1757" t="str">
        <f>_xlfn.XLOOKUP(Table1[[#This Row],[Customer_ID]],Customers!$A$2:$A$30,Customers!$C$2:$C$30,"Not found")</f>
        <v>Pays full</v>
      </c>
    </row>
    <row r="1758" spans="1:9">
      <c r="A1758" s="9">
        <v>45315</v>
      </c>
      <c r="B1758" t="s">
        <v>88</v>
      </c>
      <c r="C1758" t="s">
        <v>8</v>
      </c>
      <c r="D1758" s="4">
        <v>15</v>
      </c>
      <c r="E1758" s="4"/>
      <c r="F1758">
        <v>178</v>
      </c>
      <c r="H1758" t="str">
        <f t="shared" si="27"/>
        <v>2024-01</v>
      </c>
      <c r="I1758" t="str">
        <f>_xlfn.XLOOKUP(Table1[[#This Row],[Customer_ID]],Customers!$A$2:$A$30,Customers!$C$2:$C$30,"Not found")</f>
        <v>Pays full</v>
      </c>
    </row>
    <row r="1759" spans="1:9">
      <c r="A1759" s="9">
        <v>45316</v>
      </c>
      <c r="B1759" t="s">
        <v>88</v>
      </c>
      <c r="C1759" t="s">
        <v>8</v>
      </c>
      <c r="D1759" s="4">
        <v>234</v>
      </c>
      <c r="E1759" s="4"/>
      <c r="F1759">
        <v>178</v>
      </c>
      <c r="H1759" t="str">
        <f t="shared" si="27"/>
        <v>2024-01</v>
      </c>
      <c r="I1759" t="str">
        <f>_xlfn.XLOOKUP(Table1[[#This Row],[Customer_ID]],Customers!$A$2:$A$30,Customers!$C$2:$C$30,"Not found")</f>
        <v>Pays full</v>
      </c>
    </row>
    <row r="1760" spans="1:9">
      <c r="A1760" s="9">
        <v>45317</v>
      </c>
      <c r="B1760" t="s">
        <v>88</v>
      </c>
      <c r="C1760" t="s">
        <v>8</v>
      </c>
      <c r="D1760" s="4">
        <v>172</v>
      </c>
      <c r="E1760" s="4"/>
      <c r="F1760">
        <v>178</v>
      </c>
      <c r="H1760" t="str">
        <f t="shared" si="27"/>
        <v>2024-01</v>
      </c>
      <c r="I1760" t="str">
        <f>_xlfn.XLOOKUP(Table1[[#This Row],[Customer_ID]],Customers!$A$2:$A$30,Customers!$C$2:$C$30,"Not found")</f>
        <v>Pays full</v>
      </c>
    </row>
    <row r="1761" spans="1:9">
      <c r="A1761" s="9">
        <v>45317</v>
      </c>
      <c r="B1761" t="s">
        <v>88</v>
      </c>
      <c r="C1761" t="s">
        <v>8</v>
      </c>
      <c r="D1761" s="4">
        <v>37</v>
      </c>
      <c r="E1761" s="4"/>
      <c r="F1761">
        <v>178</v>
      </c>
      <c r="H1761" t="str">
        <f t="shared" si="27"/>
        <v>2024-01</v>
      </c>
      <c r="I1761" t="str">
        <f>_xlfn.XLOOKUP(Table1[[#This Row],[Customer_ID]],Customers!$A$2:$A$30,Customers!$C$2:$C$30,"Not found")</f>
        <v>Pays full</v>
      </c>
    </row>
    <row r="1762" spans="1:9">
      <c r="A1762" s="9">
        <v>45318</v>
      </c>
      <c r="B1762" t="s">
        <v>88</v>
      </c>
      <c r="C1762" t="s">
        <v>8</v>
      </c>
      <c r="D1762" s="4">
        <v>55</v>
      </c>
      <c r="E1762" s="4"/>
      <c r="F1762">
        <v>178</v>
      </c>
      <c r="H1762" t="str">
        <f t="shared" si="27"/>
        <v>2024-01</v>
      </c>
      <c r="I1762" t="str">
        <f>_xlfn.XLOOKUP(Table1[[#This Row],[Customer_ID]],Customers!$A$2:$A$30,Customers!$C$2:$C$30,"Not found")</f>
        <v>Pays full</v>
      </c>
    </row>
    <row r="1763" spans="1:9">
      <c r="A1763" s="9">
        <v>45319</v>
      </c>
      <c r="B1763" t="s">
        <v>88</v>
      </c>
      <c r="C1763" t="s">
        <v>8</v>
      </c>
      <c r="D1763" s="4">
        <v>43</v>
      </c>
      <c r="E1763" s="4"/>
      <c r="F1763">
        <v>178</v>
      </c>
      <c r="H1763" t="str">
        <f t="shared" si="27"/>
        <v>2024-01</v>
      </c>
      <c r="I1763" t="str">
        <f>_xlfn.XLOOKUP(Table1[[#This Row],[Customer_ID]],Customers!$A$2:$A$30,Customers!$C$2:$C$30,"Not found")</f>
        <v>Pays full</v>
      </c>
    </row>
    <row r="1764" spans="1:9">
      <c r="A1764" s="9">
        <v>45320</v>
      </c>
      <c r="B1764" t="s">
        <v>88</v>
      </c>
      <c r="C1764" t="s">
        <v>8</v>
      </c>
      <c r="D1764" s="4">
        <v>405</v>
      </c>
      <c r="E1764" s="4"/>
      <c r="F1764">
        <v>178</v>
      </c>
      <c r="H1764" t="str">
        <f t="shared" si="27"/>
        <v>2024-01</v>
      </c>
      <c r="I1764" t="str">
        <f>_xlfn.XLOOKUP(Table1[[#This Row],[Customer_ID]],Customers!$A$2:$A$30,Customers!$C$2:$C$30,"Not found")</f>
        <v>Pays full</v>
      </c>
    </row>
    <row r="1765" spans="1:9">
      <c r="A1765" s="9">
        <v>45321</v>
      </c>
      <c r="B1765" t="s">
        <v>88</v>
      </c>
      <c r="C1765" t="s">
        <v>8</v>
      </c>
      <c r="D1765" s="4">
        <v>67</v>
      </c>
      <c r="E1765" s="4"/>
      <c r="F1765">
        <v>178</v>
      </c>
      <c r="H1765" t="str">
        <f t="shared" si="27"/>
        <v>2024-01</v>
      </c>
      <c r="I1765" t="str">
        <f>_xlfn.XLOOKUP(Table1[[#This Row],[Customer_ID]],Customers!$A$2:$A$30,Customers!$C$2:$C$30,"Not found")</f>
        <v>Pays full</v>
      </c>
    </row>
    <row r="1766" spans="1:9">
      <c r="A1766" s="9">
        <v>45322</v>
      </c>
      <c r="B1766" t="s">
        <v>88</v>
      </c>
      <c r="C1766" t="s">
        <v>8</v>
      </c>
      <c r="D1766" s="4">
        <v>370</v>
      </c>
      <c r="E1766" s="4"/>
      <c r="F1766">
        <v>178</v>
      </c>
      <c r="H1766" t="str">
        <f t="shared" si="27"/>
        <v>2024-01</v>
      </c>
      <c r="I1766" t="str">
        <f>_xlfn.XLOOKUP(Table1[[#This Row],[Customer_ID]],Customers!$A$2:$A$30,Customers!$C$2:$C$30,"Not found")</f>
        <v>Pays full</v>
      </c>
    </row>
    <row r="1767" spans="1:9">
      <c r="A1767" s="9">
        <v>45322</v>
      </c>
      <c r="B1767" t="s">
        <v>88</v>
      </c>
      <c r="C1767" t="s">
        <v>8</v>
      </c>
      <c r="D1767" s="4">
        <v>144</v>
      </c>
      <c r="E1767" s="4"/>
      <c r="F1767">
        <v>178</v>
      </c>
      <c r="H1767" t="str">
        <f t="shared" si="27"/>
        <v>2024-01</v>
      </c>
      <c r="I1767" t="str">
        <f>_xlfn.XLOOKUP(Table1[[#This Row],[Customer_ID]],Customers!$A$2:$A$30,Customers!$C$2:$C$30,"Not found")</f>
        <v>Pays full</v>
      </c>
    </row>
    <row r="1768" spans="1:9">
      <c r="A1768" s="9">
        <v>45323</v>
      </c>
      <c r="B1768" t="s">
        <v>88</v>
      </c>
      <c r="C1768" t="s">
        <v>8</v>
      </c>
      <c r="D1768" s="4">
        <v>176</v>
      </c>
      <c r="E1768" s="4"/>
      <c r="F1768">
        <v>178</v>
      </c>
      <c r="H1768" t="str">
        <f t="shared" si="27"/>
        <v>2024-02</v>
      </c>
      <c r="I1768" t="str">
        <f>_xlfn.XLOOKUP(Table1[[#This Row],[Customer_ID]],Customers!$A$2:$A$30,Customers!$C$2:$C$30,"Not found")</f>
        <v>Pays full</v>
      </c>
    </row>
    <row r="1769" spans="1:9">
      <c r="A1769" s="9">
        <v>45323</v>
      </c>
      <c r="B1769" t="s">
        <v>88</v>
      </c>
      <c r="C1769" t="s">
        <v>8</v>
      </c>
      <c r="D1769" s="4">
        <v>76</v>
      </c>
      <c r="E1769" s="4"/>
      <c r="F1769">
        <v>178</v>
      </c>
      <c r="H1769" t="str">
        <f t="shared" si="27"/>
        <v>2024-02</v>
      </c>
      <c r="I1769" t="str">
        <f>_xlfn.XLOOKUP(Table1[[#This Row],[Customer_ID]],Customers!$A$2:$A$30,Customers!$C$2:$C$30,"Not found")</f>
        <v>Pays full</v>
      </c>
    </row>
    <row r="1770" spans="1:9">
      <c r="A1770" s="9">
        <v>45324</v>
      </c>
      <c r="B1770" t="s">
        <v>88</v>
      </c>
      <c r="C1770" t="s">
        <v>8</v>
      </c>
      <c r="D1770" s="4">
        <v>79</v>
      </c>
      <c r="E1770" s="4"/>
      <c r="F1770">
        <v>178</v>
      </c>
      <c r="H1770" t="str">
        <f t="shared" si="27"/>
        <v>2024-02</v>
      </c>
      <c r="I1770" t="str">
        <f>_xlfn.XLOOKUP(Table1[[#This Row],[Customer_ID]],Customers!$A$2:$A$30,Customers!$C$2:$C$30,"Not found")</f>
        <v>Pays full</v>
      </c>
    </row>
    <row r="1771" spans="1:9">
      <c r="A1771" s="9">
        <v>45325</v>
      </c>
      <c r="B1771" t="s">
        <v>88</v>
      </c>
      <c r="C1771" t="s">
        <v>8</v>
      </c>
      <c r="D1771" s="4">
        <v>85</v>
      </c>
      <c r="E1771" s="4">
        <v>4443</v>
      </c>
      <c r="F1771">
        <v>178</v>
      </c>
      <c r="G1771" t="s">
        <v>326</v>
      </c>
      <c r="H1771" t="str">
        <f t="shared" si="27"/>
        <v>2024-02</v>
      </c>
      <c r="I1771" t="str">
        <f>_xlfn.XLOOKUP(Table1[[#This Row],[Customer_ID]],Customers!$A$2:$A$30,Customers!$C$2:$C$30,"Not found")</f>
        <v>Pays full</v>
      </c>
    </row>
    <row r="1772" spans="1:9">
      <c r="A1772" s="9"/>
      <c r="B1772" t="s">
        <v>88</v>
      </c>
      <c r="C1772" t="s">
        <v>14</v>
      </c>
      <c r="D1772" s="4">
        <v>4443</v>
      </c>
      <c r="E1772" s="4">
        <v>0</v>
      </c>
      <c r="F1772">
        <v>178</v>
      </c>
      <c r="G1772" t="s">
        <v>327</v>
      </c>
      <c r="H1772" t="str">
        <f t="shared" si="27"/>
        <v/>
      </c>
      <c r="I1772" t="str">
        <f>_xlfn.XLOOKUP(Table1[[#This Row],[Customer_ID]],Customers!$A$2:$A$30,Customers!$C$2:$C$30,"Not found")</f>
        <v>Pays full</v>
      </c>
    </row>
    <row r="1773" spans="1:9">
      <c r="A1773" s="9">
        <v>45325</v>
      </c>
      <c r="B1773" t="s">
        <v>88</v>
      </c>
      <c r="C1773" t="s">
        <v>8</v>
      </c>
      <c r="D1773" s="4">
        <v>1565</v>
      </c>
      <c r="E1773" s="4"/>
      <c r="F1773">
        <v>178</v>
      </c>
      <c r="G1773" t="s">
        <v>195</v>
      </c>
      <c r="H1773" t="str">
        <f t="shared" si="27"/>
        <v>2024-02</v>
      </c>
      <c r="I1773" t="str">
        <f>_xlfn.XLOOKUP(Table1[[#This Row],[Customer_ID]],Customers!$A$2:$A$30,Customers!$C$2:$C$30,"Not found")</f>
        <v>Pays full</v>
      </c>
    </row>
    <row r="1774" spans="1:9">
      <c r="A1774" s="9">
        <v>45327</v>
      </c>
      <c r="B1774" t="s">
        <v>88</v>
      </c>
      <c r="C1774" t="s">
        <v>8</v>
      </c>
      <c r="D1774" s="4">
        <v>266</v>
      </c>
      <c r="E1774" s="4"/>
      <c r="F1774">
        <v>178</v>
      </c>
      <c r="H1774" t="str">
        <f t="shared" si="27"/>
        <v>2024-02</v>
      </c>
      <c r="I1774" t="str">
        <f>_xlfn.XLOOKUP(Table1[[#This Row],[Customer_ID]],Customers!$A$2:$A$30,Customers!$C$2:$C$30,"Not found")</f>
        <v>Pays full</v>
      </c>
    </row>
    <row r="1775" spans="1:9">
      <c r="A1775" s="9">
        <v>45328</v>
      </c>
      <c r="B1775" t="s">
        <v>88</v>
      </c>
      <c r="C1775" t="s">
        <v>8</v>
      </c>
      <c r="D1775" s="4">
        <v>20</v>
      </c>
      <c r="E1775" s="4"/>
      <c r="F1775">
        <v>178</v>
      </c>
      <c r="H1775" t="str">
        <f t="shared" si="27"/>
        <v>2024-02</v>
      </c>
      <c r="I1775" t="str">
        <f>_xlfn.XLOOKUP(Table1[[#This Row],[Customer_ID]],Customers!$A$2:$A$30,Customers!$C$2:$C$30,"Not found")</f>
        <v>Pays full</v>
      </c>
    </row>
    <row r="1776" spans="1:9">
      <c r="A1776" s="9">
        <v>45329</v>
      </c>
      <c r="B1776" t="s">
        <v>88</v>
      </c>
      <c r="C1776" t="s">
        <v>8</v>
      </c>
      <c r="D1776" s="4">
        <v>105</v>
      </c>
      <c r="E1776" s="4"/>
      <c r="F1776">
        <v>178</v>
      </c>
      <c r="H1776" t="str">
        <f t="shared" si="27"/>
        <v>2024-02</v>
      </c>
      <c r="I1776" t="str">
        <f>_xlfn.XLOOKUP(Table1[[#This Row],[Customer_ID]],Customers!$A$2:$A$30,Customers!$C$2:$C$30,"Not found")</f>
        <v>Pays full</v>
      </c>
    </row>
    <row r="1777" spans="1:9">
      <c r="A1777" s="9">
        <v>45330</v>
      </c>
      <c r="B1777" t="s">
        <v>88</v>
      </c>
      <c r="C1777" t="s">
        <v>8</v>
      </c>
      <c r="D1777" s="4">
        <v>10</v>
      </c>
      <c r="E1777" s="4"/>
      <c r="F1777">
        <v>178</v>
      </c>
      <c r="H1777" t="str">
        <f t="shared" si="27"/>
        <v>2024-02</v>
      </c>
      <c r="I1777" t="str">
        <f>_xlfn.XLOOKUP(Table1[[#This Row],[Customer_ID]],Customers!$A$2:$A$30,Customers!$C$2:$C$30,"Not found")</f>
        <v>Pays full</v>
      </c>
    </row>
    <row r="1778" spans="1:9">
      <c r="A1778" s="9">
        <v>45330</v>
      </c>
      <c r="B1778" t="s">
        <v>88</v>
      </c>
      <c r="C1778" t="s">
        <v>8</v>
      </c>
      <c r="D1778" s="4">
        <v>10</v>
      </c>
      <c r="E1778" s="4"/>
      <c r="F1778">
        <v>178</v>
      </c>
      <c r="H1778" t="str">
        <f t="shared" si="27"/>
        <v>2024-02</v>
      </c>
      <c r="I1778" t="str">
        <f>_xlfn.XLOOKUP(Table1[[#This Row],[Customer_ID]],Customers!$A$2:$A$30,Customers!$C$2:$C$30,"Not found")</f>
        <v>Pays full</v>
      </c>
    </row>
    <row r="1779" spans="1:9">
      <c r="A1779" s="9">
        <v>45332</v>
      </c>
      <c r="B1779" t="s">
        <v>88</v>
      </c>
      <c r="C1779" t="s">
        <v>8</v>
      </c>
      <c r="D1779" s="4">
        <v>66</v>
      </c>
      <c r="E1779" s="4"/>
      <c r="F1779">
        <v>178</v>
      </c>
      <c r="H1779" t="str">
        <f t="shared" si="27"/>
        <v>2024-02</v>
      </c>
      <c r="I1779" t="str">
        <f>_xlfn.XLOOKUP(Table1[[#This Row],[Customer_ID]],Customers!$A$2:$A$30,Customers!$C$2:$C$30,"Not found")</f>
        <v>Pays full</v>
      </c>
    </row>
    <row r="1780" spans="1:9">
      <c r="A1780" s="9">
        <v>45332</v>
      </c>
      <c r="B1780" t="s">
        <v>88</v>
      </c>
      <c r="C1780" t="s">
        <v>8</v>
      </c>
      <c r="D1780" s="4">
        <v>10</v>
      </c>
      <c r="E1780" s="4"/>
      <c r="F1780">
        <v>178</v>
      </c>
      <c r="H1780" t="str">
        <f t="shared" si="27"/>
        <v>2024-02</v>
      </c>
      <c r="I1780" t="str">
        <f>_xlfn.XLOOKUP(Table1[[#This Row],[Customer_ID]],Customers!$A$2:$A$30,Customers!$C$2:$C$30,"Not found")</f>
        <v>Pays full</v>
      </c>
    </row>
    <row r="1781" spans="1:9">
      <c r="A1781" s="9">
        <v>45334</v>
      </c>
      <c r="B1781" t="s">
        <v>88</v>
      </c>
      <c r="C1781" t="s">
        <v>8</v>
      </c>
      <c r="D1781" s="4">
        <v>20</v>
      </c>
      <c r="E1781" s="4"/>
      <c r="F1781">
        <v>178</v>
      </c>
      <c r="H1781" t="str">
        <f t="shared" si="27"/>
        <v>2024-02</v>
      </c>
      <c r="I1781" t="str">
        <f>_xlfn.XLOOKUP(Table1[[#This Row],[Customer_ID]],Customers!$A$2:$A$30,Customers!$C$2:$C$30,"Not found")</f>
        <v>Pays full</v>
      </c>
    </row>
    <row r="1782" spans="1:9">
      <c r="A1782" s="9">
        <v>45334</v>
      </c>
      <c r="B1782" t="s">
        <v>88</v>
      </c>
      <c r="C1782" t="s">
        <v>8</v>
      </c>
      <c r="D1782" s="4">
        <v>30</v>
      </c>
      <c r="E1782" s="4"/>
      <c r="F1782">
        <v>178</v>
      </c>
      <c r="H1782" t="str">
        <f t="shared" si="27"/>
        <v>2024-02</v>
      </c>
      <c r="I1782" t="str">
        <f>_xlfn.XLOOKUP(Table1[[#This Row],[Customer_ID]],Customers!$A$2:$A$30,Customers!$C$2:$C$30,"Not found")</f>
        <v>Pays full</v>
      </c>
    </row>
    <row r="1783" spans="1:9">
      <c r="A1783" s="9">
        <v>45335</v>
      </c>
      <c r="B1783" t="s">
        <v>88</v>
      </c>
      <c r="C1783" t="s">
        <v>8</v>
      </c>
      <c r="D1783" s="4">
        <v>291</v>
      </c>
      <c r="E1783" s="4"/>
      <c r="F1783">
        <v>178</v>
      </c>
      <c r="H1783" t="str">
        <f t="shared" si="27"/>
        <v>2024-02</v>
      </c>
      <c r="I1783" t="str">
        <f>_xlfn.XLOOKUP(Table1[[#This Row],[Customer_ID]],Customers!$A$2:$A$30,Customers!$C$2:$C$30,"Not found")</f>
        <v>Pays full</v>
      </c>
    </row>
    <row r="1784" spans="1:9">
      <c r="A1784" s="9">
        <v>45336</v>
      </c>
      <c r="B1784" t="s">
        <v>88</v>
      </c>
      <c r="C1784" t="s">
        <v>8</v>
      </c>
      <c r="D1784" s="4">
        <v>37</v>
      </c>
      <c r="E1784" s="4"/>
      <c r="F1784">
        <v>178</v>
      </c>
      <c r="H1784" t="str">
        <f t="shared" si="27"/>
        <v>2024-02</v>
      </c>
      <c r="I1784" t="str">
        <f>_xlfn.XLOOKUP(Table1[[#This Row],[Customer_ID]],Customers!$A$2:$A$30,Customers!$C$2:$C$30,"Not found")</f>
        <v>Pays full</v>
      </c>
    </row>
    <row r="1785" spans="1:9">
      <c r="A1785" s="9">
        <v>45337</v>
      </c>
      <c r="B1785" t="s">
        <v>88</v>
      </c>
      <c r="C1785" t="s">
        <v>8</v>
      </c>
      <c r="D1785" s="4">
        <v>150</v>
      </c>
      <c r="E1785" s="4"/>
      <c r="F1785">
        <v>178</v>
      </c>
      <c r="H1785" t="str">
        <f t="shared" si="27"/>
        <v>2024-02</v>
      </c>
      <c r="I1785" t="str">
        <f>_xlfn.XLOOKUP(Table1[[#This Row],[Customer_ID]],Customers!$A$2:$A$30,Customers!$C$2:$C$30,"Not found")</f>
        <v>Pays full</v>
      </c>
    </row>
    <row r="1786" spans="1:9">
      <c r="A1786" s="9">
        <v>45338</v>
      </c>
      <c r="B1786" t="s">
        <v>88</v>
      </c>
      <c r="C1786" t="s">
        <v>8</v>
      </c>
      <c r="D1786" s="4">
        <v>427</v>
      </c>
      <c r="E1786" s="4"/>
      <c r="F1786">
        <v>178</v>
      </c>
      <c r="H1786" t="str">
        <f t="shared" si="27"/>
        <v>2024-02</v>
      </c>
      <c r="I1786" t="str">
        <f>_xlfn.XLOOKUP(Table1[[#This Row],[Customer_ID]],Customers!$A$2:$A$30,Customers!$C$2:$C$30,"Not found")</f>
        <v>Pays full</v>
      </c>
    </row>
    <row r="1787" spans="1:9">
      <c r="A1787" s="9">
        <v>45341</v>
      </c>
      <c r="B1787" t="s">
        <v>88</v>
      </c>
      <c r="C1787" t="s">
        <v>8</v>
      </c>
      <c r="D1787" s="4">
        <v>54</v>
      </c>
      <c r="E1787" s="4"/>
      <c r="F1787">
        <v>178</v>
      </c>
      <c r="H1787" t="str">
        <f t="shared" si="27"/>
        <v>2024-02</v>
      </c>
      <c r="I1787" t="str">
        <f>_xlfn.XLOOKUP(Table1[[#This Row],[Customer_ID]],Customers!$A$2:$A$30,Customers!$C$2:$C$30,"Not found")</f>
        <v>Pays full</v>
      </c>
    </row>
    <row r="1788" spans="1:9">
      <c r="A1788" s="9">
        <v>45342</v>
      </c>
      <c r="B1788" t="s">
        <v>88</v>
      </c>
      <c r="C1788" t="s">
        <v>8</v>
      </c>
      <c r="D1788" s="4">
        <v>40</v>
      </c>
      <c r="E1788" s="4"/>
      <c r="F1788">
        <v>178</v>
      </c>
      <c r="H1788" t="str">
        <f t="shared" si="27"/>
        <v>2024-02</v>
      </c>
      <c r="I1788" t="str">
        <f>_xlfn.XLOOKUP(Table1[[#This Row],[Customer_ID]],Customers!$A$2:$A$30,Customers!$C$2:$C$30,"Not found")</f>
        <v>Pays full</v>
      </c>
    </row>
    <row r="1789" spans="1:9">
      <c r="A1789" s="9">
        <v>45343</v>
      </c>
      <c r="B1789" t="s">
        <v>88</v>
      </c>
      <c r="C1789" t="s">
        <v>8</v>
      </c>
      <c r="D1789" s="4">
        <v>33</v>
      </c>
      <c r="E1789" s="4"/>
      <c r="F1789">
        <v>178</v>
      </c>
      <c r="H1789" t="str">
        <f t="shared" si="27"/>
        <v>2024-02</v>
      </c>
      <c r="I1789" t="str">
        <f>_xlfn.XLOOKUP(Table1[[#This Row],[Customer_ID]],Customers!$A$2:$A$30,Customers!$C$2:$C$30,"Not found")</f>
        <v>Pays full</v>
      </c>
    </row>
    <row r="1790" spans="1:9">
      <c r="A1790" s="9">
        <v>45343</v>
      </c>
      <c r="B1790" t="s">
        <v>88</v>
      </c>
      <c r="C1790" t="s">
        <v>8</v>
      </c>
      <c r="D1790" s="4">
        <v>29</v>
      </c>
      <c r="E1790" s="4"/>
      <c r="F1790">
        <v>178</v>
      </c>
      <c r="H1790" t="str">
        <f t="shared" si="27"/>
        <v>2024-02</v>
      </c>
      <c r="I1790" t="str">
        <f>_xlfn.XLOOKUP(Table1[[#This Row],[Customer_ID]],Customers!$A$2:$A$30,Customers!$C$2:$C$30,"Not found")</f>
        <v>Pays full</v>
      </c>
    </row>
    <row r="1791" spans="1:9">
      <c r="A1791" s="9">
        <v>45344</v>
      </c>
      <c r="B1791" t="s">
        <v>88</v>
      </c>
      <c r="C1791" t="s">
        <v>8</v>
      </c>
      <c r="D1791" s="4">
        <v>30</v>
      </c>
      <c r="E1791" s="4"/>
      <c r="F1791">
        <v>178</v>
      </c>
      <c r="H1791" t="str">
        <f t="shared" ref="H1791:H1854" si="28">IF(A1791="","",TEXT(A1791,"yyyy-mm"))</f>
        <v>2024-02</v>
      </c>
      <c r="I1791" t="str">
        <f>_xlfn.XLOOKUP(Table1[[#This Row],[Customer_ID]],Customers!$A$2:$A$30,Customers!$C$2:$C$30,"Not found")</f>
        <v>Pays full</v>
      </c>
    </row>
    <row r="1792" spans="1:9">
      <c r="A1792" s="9">
        <v>45345</v>
      </c>
      <c r="B1792" t="s">
        <v>88</v>
      </c>
      <c r="C1792" t="s">
        <v>8</v>
      </c>
      <c r="D1792" s="4">
        <v>10</v>
      </c>
      <c r="E1792" s="4"/>
      <c r="F1792">
        <v>178</v>
      </c>
      <c r="H1792" t="str">
        <f t="shared" si="28"/>
        <v>2024-02</v>
      </c>
      <c r="I1792" t="str">
        <f>_xlfn.XLOOKUP(Table1[[#This Row],[Customer_ID]],Customers!$A$2:$A$30,Customers!$C$2:$C$30,"Not found")</f>
        <v>Pays full</v>
      </c>
    </row>
    <row r="1793" spans="1:9">
      <c r="A1793" s="9">
        <v>45345</v>
      </c>
      <c r="B1793" t="s">
        <v>88</v>
      </c>
      <c r="C1793" t="s">
        <v>8</v>
      </c>
      <c r="D1793" s="4">
        <v>5</v>
      </c>
      <c r="E1793" s="4"/>
      <c r="F1793">
        <v>178</v>
      </c>
      <c r="H1793" t="str">
        <f t="shared" si="28"/>
        <v>2024-02</v>
      </c>
      <c r="I1793" t="str">
        <f>_xlfn.XLOOKUP(Table1[[#This Row],[Customer_ID]],Customers!$A$2:$A$30,Customers!$C$2:$C$30,"Not found")</f>
        <v>Pays full</v>
      </c>
    </row>
    <row r="1794" spans="1:9">
      <c r="A1794" s="9">
        <v>45345</v>
      </c>
      <c r="B1794" t="s">
        <v>88</v>
      </c>
      <c r="C1794" t="s">
        <v>8</v>
      </c>
      <c r="D1794" s="4">
        <v>20</v>
      </c>
      <c r="E1794" s="4"/>
      <c r="F1794">
        <v>178</v>
      </c>
      <c r="H1794" t="str">
        <f t="shared" si="28"/>
        <v>2024-02</v>
      </c>
      <c r="I1794" t="str">
        <f>_xlfn.XLOOKUP(Table1[[#This Row],[Customer_ID]],Customers!$A$2:$A$30,Customers!$C$2:$C$30,"Not found")</f>
        <v>Pays full</v>
      </c>
    </row>
    <row r="1795" spans="1:9">
      <c r="A1795" s="9">
        <v>45346</v>
      </c>
      <c r="B1795" t="s">
        <v>88</v>
      </c>
      <c r="C1795" t="s">
        <v>8</v>
      </c>
      <c r="D1795" s="4">
        <v>50</v>
      </c>
      <c r="E1795" s="4"/>
      <c r="F1795">
        <v>178</v>
      </c>
      <c r="H1795" t="str">
        <f t="shared" si="28"/>
        <v>2024-02</v>
      </c>
      <c r="I1795" t="str">
        <f>_xlfn.XLOOKUP(Table1[[#This Row],[Customer_ID]],Customers!$A$2:$A$30,Customers!$C$2:$C$30,"Not found")</f>
        <v>Pays full</v>
      </c>
    </row>
    <row r="1796" spans="1:9">
      <c r="A1796" s="9">
        <v>45346</v>
      </c>
      <c r="B1796" t="s">
        <v>88</v>
      </c>
      <c r="C1796" t="s">
        <v>8</v>
      </c>
      <c r="D1796" s="4">
        <v>318</v>
      </c>
      <c r="E1796" s="4"/>
      <c r="F1796">
        <v>178</v>
      </c>
      <c r="H1796" t="str">
        <f t="shared" si="28"/>
        <v>2024-02</v>
      </c>
      <c r="I1796" t="str">
        <f>_xlfn.XLOOKUP(Table1[[#This Row],[Customer_ID]],Customers!$A$2:$A$30,Customers!$C$2:$C$30,"Not found")</f>
        <v>Pays full</v>
      </c>
    </row>
    <row r="1797" spans="1:9">
      <c r="A1797" s="9">
        <v>45348</v>
      </c>
      <c r="B1797" t="s">
        <v>88</v>
      </c>
      <c r="C1797" t="s">
        <v>8</v>
      </c>
      <c r="D1797" s="4">
        <v>25</v>
      </c>
      <c r="E1797" s="4"/>
      <c r="F1797">
        <v>178</v>
      </c>
      <c r="H1797" t="str">
        <f t="shared" si="28"/>
        <v>2024-02</v>
      </c>
      <c r="I1797" t="str">
        <f>_xlfn.XLOOKUP(Table1[[#This Row],[Customer_ID]],Customers!$A$2:$A$30,Customers!$C$2:$C$30,"Not found")</f>
        <v>Pays full</v>
      </c>
    </row>
    <row r="1798" spans="1:9">
      <c r="A1798" s="9">
        <v>45349</v>
      </c>
      <c r="B1798" t="s">
        <v>88</v>
      </c>
      <c r="C1798" t="s">
        <v>8</v>
      </c>
      <c r="D1798" s="4">
        <v>235</v>
      </c>
      <c r="E1798" s="4"/>
      <c r="F1798">
        <v>178</v>
      </c>
      <c r="H1798" t="str">
        <f t="shared" si="28"/>
        <v>2024-02</v>
      </c>
      <c r="I1798" t="str">
        <f>_xlfn.XLOOKUP(Table1[[#This Row],[Customer_ID]],Customers!$A$2:$A$30,Customers!$C$2:$C$30,"Not found")</f>
        <v>Pays full</v>
      </c>
    </row>
    <row r="1799" spans="1:9">
      <c r="A1799" s="9">
        <v>45350</v>
      </c>
      <c r="B1799" t="s">
        <v>88</v>
      </c>
      <c r="C1799" t="s">
        <v>8</v>
      </c>
      <c r="D1799" s="4">
        <v>14</v>
      </c>
      <c r="E1799" s="4"/>
      <c r="F1799">
        <v>178</v>
      </c>
      <c r="H1799" t="str">
        <f t="shared" si="28"/>
        <v>2024-02</v>
      </c>
      <c r="I1799" t="str">
        <f>_xlfn.XLOOKUP(Table1[[#This Row],[Customer_ID]],Customers!$A$2:$A$30,Customers!$C$2:$C$30,"Not found")</f>
        <v>Pays full</v>
      </c>
    </row>
    <row r="1800" spans="1:9">
      <c r="A1800" s="9">
        <v>45351</v>
      </c>
      <c r="B1800" t="s">
        <v>88</v>
      </c>
      <c r="C1800" t="s">
        <v>8</v>
      </c>
      <c r="D1800" s="4">
        <v>10</v>
      </c>
      <c r="E1800" s="4"/>
      <c r="F1800">
        <v>178</v>
      </c>
      <c r="H1800" t="str">
        <f t="shared" si="28"/>
        <v>2024-02</v>
      </c>
      <c r="I1800" t="str">
        <f>_xlfn.XLOOKUP(Table1[[#This Row],[Customer_ID]],Customers!$A$2:$A$30,Customers!$C$2:$C$30,"Not found")</f>
        <v>Pays full</v>
      </c>
    </row>
    <row r="1801" spans="1:9">
      <c r="A1801" s="9">
        <v>45351</v>
      </c>
      <c r="B1801" t="s">
        <v>88</v>
      </c>
      <c r="C1801" t="s">
        <v>8</v>
      </c>
      <c r="D1801" s="4">
        <v>54</v>
      </c>
      <c r="E1801" s="4"/>
      <c r="F1801">
        <v>178</v>
      </c>
      <c r="H1801" t="str">
        <f t="shared" si="28"/>
        <v>2024-02</v>
      </c>
      <c r="I1801" t="str">
        <f>_xlfn.XLOOKUP(Table1[[#This Row],[Customer_ID]],Customers!$A$2:$A$30,Customers!$C$2:$C$30,"Not found")</f>
        <v>Pays full</v>
      </c>
    </row>
    <row r="1802" spans="1:9">
      <c r="A1802" s="9">
        <v>45353</v>
      </c>
      <c r="B1802" t="s">
        <v>88</v>
      </c>
      <c r="C1802" t="s">
        <v>8</v>
      </c>
      <c r="D1802" s="4">
        <v>279</v>
      </c>
      <c r="E1802" s="4"/>
      <c r="F1802">
        <v>178</v>
      </c>
      <c r="H1802" t="str">
        <f t="shared" si="28"/>
        <v>2024-03</v>
      </c>
      <c r="I1802" t="str">
        <f>_xlfn.XLOOKUP(Table1[[#This Row],[Customer_ID]],Customers!$A$2:$A$30,Customers!$C$2:$C$30,"Not found")</f>
        <v>Pays full</v>
      </c>
    </row>
    <row r="1803" spans="1:9">
      <c r="A1803" s="9">
        <v>45355</v>
      </c>
      <c r="B1803" t="s">
        <v>88</v>
      </c>
      <c r="C1803" t="s">
        <v>8</v>
      </c>
      <c r="D1803" s="4">
        <v>10</v>
      </c>
      <c r="E1803" s="4"/>
      <c r="F1803">
        <v>178</v>
      </c>
      <c r="H1803" t="str">
        <f t="shared" si="28"/>
        <v>2024-03</v>
      </c>
      <c r="I1803" t="str">
        <f>_xlfn.XLOOKUP(Table1[[#This Row],[Customer_ID]],Customers!$A$2:$A$30,Customers!$C$2:$C$30,"Not found")</f>
        <v>Pays full</v>
      </c>
    </row>
    <row r="1804" spans="1:9">
      <c r="A1804" s="9">
        <v>45355</v>
      </c>
      <c r="B1804" t="s">
        <v>88</v>
      </c>
      <c r="C1804" t="s">
        <v>8</v>
      </c>
      <c r="D1804" s="4">
        <v>59</v>
      </c>
      <c r="E1804" s="4"/>
      <c r="F1804">
        <v>178</v>
      </c>
      <c r="H1804" t="str">
        <f t="shared" si="28"/>
        <v>2024-03</v>
      </c>
      <c r="I1804" t="str">
        <f>_xlfn.XLOOKUP(Table1[[#This Row],[Customer_ID]],Customers!$A$2:$A$30,Customers!$C$2:$C$30,"Not found")</f>
        <v>Pays full</v>
      </c>
    </row>
    <row r="1805" spans="1:9">
      <c r="A1805" s="9">
        <v>45355</v>
      </c>
      <c r="B1805" t="s">
        <v>88</v>
      </c>
      <c r="C1805" t="s">
        <v>22</v>
      </c>
      <c r="D1805" s="4">
        <v>96</v>
      </c>
      <c r="E1805" s="4">
        <v>4378</v>
      </c>
      <c r="F1805">
        <v>178</v>
      </c>
      <c r="G1805" t="s">
        <v>328</v>
      </c>
      <c r="H1805" t="str">
        <f t="shared" si="28"/>
        <v>2024-03</v>
      </c>
      <c r="I1805" t="str">
        <f>_xlfn.XLOOKUP(Table1[[#This Row],[Customer_ID]],Customers!$A$2:$A$30,Customers!$C$2:$C$30,"Not found")</f>
        <v>Pays full</v>
      </c>
    </row>
    <row r="1806" spans="1:9">
      <c r="A1806" s="9">
        <v>45357</v>
      </c>
      <c r="B1806" t="s">
        <v>88</v>
      </c>
      <c r="C1806" t="s">
        <v>8</v>
      </c>
      <c r="D1806" s="4">
        <v>154</v>
      </c>
      <c r="E1806" s="4">
        <v>4532</v>
      </c>
      <c r="F1806">
        <v>178</v>
      </c>
      <c r="G1806" t="s">
        <v>329</v>
      </c>
      <c r="H1806" t="str">
        <f t="shared" si="28"/>
        <v>2024-03</v>
      </c>
      <c r="I1806" t="str">
        <f>_xlfn.XLOOKUP(Table1[[#This Row],[Customer_ID]],Customers!$A$2:$A$30,Customers!$C$2:$C$30,"Not found")</f>
        <v>Pays full</v>
      </c>
    </row>
    <row r="1807" spans="1:9">
      <c r="A1807" s="9">
        <v>45357</v>
      </c>
      <c r="B1807" t="s">
        <v>88</v>
      </c>
      <c r="C1807" t="s">
        <v>22</v>
      </c>
      <c r="D1807" s="4">
        <v>10</v>
      </c>
      <c r="E1807" s="4">
        <v>4542</v>
      </c>
      <c r="F1807">
        <v>178</v>
      </c>
      <c r="G1807" t="s">
        <v>330</v>
      </c>
      <c r="H1807" t="str">
        <f t="shared" si="28"/>
        <v>2024-03</v>
      </c>
      <c r="I1807" t="str">
        <f>_xlfn.XLOOKUP(Table1[[#This Row],[Customer_ID]],Customers!$A$2:$A$30,Customers!$C$2:$C$30,"Not found")</f>
        <v>Pays full</v>
      </c>
    </row>
    <row r="1808" spans="1:9">
      <c r="A1808" s="9">
        <v>45359</v>
      </c>
      <c r="B1808" t="s">
        <v>88</v>
      </c>
      <c r="C1808" t="s">
        <v>14</v>
      </c>
      <c r="D1808" s="4">
        <v>4542</v>
      </c>
      <c r="E1808" s="4">
        <v>0</v>
      </c>
      <c r="F1808">
        <v>178</v>
      </c>
      <c r="G1808" t="s">
        <v>331</v>
      </c>
      <c r="H1808" t="str">
        <f t="shared" si="28"/>
        <v>2024-03</v>
      </c>
      <c r="I1808" t="str">
        <f>_xlfn.XLOOKUP(Table1[[#This Row],[Customer_ID]],Customers!$A$2:$A$30,Customers!$C$2:$C$30,"Not found")</f>
        <v>Pays full</v>
      </c>
    </row>
    <row r="1809" spans="1:9">
      <c r="A1809" s="9">
        <v>45358</v>
      </c>
      <c r="B1809" t="s">
        <v>88</v>
      </c>
      <c r="C1809" t="s">
        <v>8</v>
      </c>
      <c r="D1809" s="4">
        <v>1784</v>
      </c>
      <c r="E1809" s="4"/>
      <c r="F1809">
        <v>179</v>
      </c>
      <c r="G1809" t="s">
        <v>332</v>
      </c>
      <c r="H1809" t="str">
        <f t="shared" si="28"/>
        <v>2024-03</v>
      </c>
      <c r="I1809" t="str">
        <f>_xlfn.XLOOKUP(Table1[[#This Row],[Customer_ID]],Customers!$A$2:$A$30,Customers!$C$2:$C$30,"Not found")</f>
        <v>Pays full</v>
      </c>
    </row>
    <row r="1810" spans="1:9">
      <c r="A1810" s="9">
        <v>45360</v>
      </c>
      <c r="B1810" t="s">
        <v>88</v>
      </c>
      <c r="C1810" t="s">
        <v>8</v>
      </c>
      <c r="D1810" s="4">
        <v>10</v>
      </c>
      <c r="E1810" s="4"/>
      <c r="F1810">
        <v>179</v>
      </c>
      <c r="H1810" t="str">
        <f t="shared" si="28"/>
        <v>2024-03</v>
      </c>
      <c r="I1810" t="str">
        <f>_xlfn.XLOOKUP(Table1[[#This Row],[Customer_ID]],Customers!$A$2:$A$30,Customers!$C$2:$C$30,"Not found")</f>
        <v>Pays full</v>
      </c>
    </row>
    <row r="1811" spans="1:9">
      <c r="A1811" s="9">
        <v>45361</v>
      </c>
      <c r="B1811" t="s">
        <v>88</v>
      </c>
      <c r="C1811" t="s">
        <v>8</v>
      </c>
      <c r="D1811" s="4">
        <v>30</v>
      </c>
      <c r="E1811" s="4"/>
      <c r="F1811">
        <v>179</v>
      </c>
      <c r="H1811" t="str">
        <f t="shared" si="28"/>
        <v>2024-03</v>
      </c>
      <c r="I1811" t="str">
        <f>_xlfn.XLOOKUP(Table1[[#This Row],[Customer_ID]],Customers!$A$2:$A$30,Customers!$C$2:$C$30,"Not found")</f>
        <v>Pays full</v>
      </c>
    </row>
    <row r="1812" spans="1:9">
      <c r="A1812" s="9">
        <v>45362</v>
      </c>
      <c r="B1812" t="s">
        <v>88</v>
      </c>
      <c r="C1812" t="s">
        <v>8</v>
      </c>
      <c r="D1812" s="4">
        <v>40</v>
      </c>
      <c r="E1812" s="4"/>
      <c r="F1812">
        <v>179</v>
      </c>
      <c r="H1812" t="str">
        <f t="shared" si="28"/>
        <v>2024-03</v>
      </c>
      <c r="I1812" t="str">
        <f>_xlfn.XLOOKUP(Table1[[#This Row],[Customer_ID]],Customers!$A$2:$A$30,Customers!$C$2:$C$30,"Not found")</f>
        <v>Pays full</v>
      </c>
    </row>
    <row r="1813" spans="1:9">
      <c r="A1813" s="9">
        <v>45363</v>
      </c>
      <c r="B1813" t="s">
        <v>88</v>
      </c>
      <c r="C1813" t="s">
        <v>8</v>
      </c>
      <c r="D1813" s="4">
        <v>209</v>
      </c>
      <c r="E1813" s="4"/>
      <c r="F1813">
        <v>179</v>
      </c>
      <c r="H1813" t="str">
        <f t="shared" si="28"/>
        <v>2024-03</v>
      </c>
      <c r="I1813" t="str">
        <f>_xlfn.XLOOKUP(Table1[[#This Row],[Customer_ID]],Customers!$A$2:$A$30,Customers!$C$2:$C$30,"Not found")</f>
        <v>Pays full</v>
      </c>
    </row>
    <row r="1814" spans="1:9">
      <c r="A1814" s="9">
        <v>45364</v>
      </c>
      <c r="B1814" t="s">
        <v>88</v>
      </c>
      <c r="C1814" t="s">
        <v>8</v>
      </c>
      <c r="D1814" s="4">
        <v>4</v>
      </c>
      <c r="E1814" s="4"/>
      <c r="F1814">
        <v>179</v>
      </c>
      <c r="G1814" t="s">
        <v>333</v>
      </c>
      <c r="H1814" t="str">
        <f t="shared" si="28"/>
        <v>2024-03</v>
      </c>
      <c r="I1814" t="str">
        <f>_xlfn.XLOOKUP(Table1[[#This Row],[Customer_ID]],Customers!$A$2:$A$30,Customers!$C$2:$C$30,"Not found")</f>
        <v>Pays full</v>
      </c>
    </row>
    <row r="1815" spans="1:9">
      <c r="A1815" s="9">
        <v>45365</v>
      </c>
      <c r="B1815" t="s">
        <v>88</v>
      </c>
      <c r="C1815" t="s">
        <v>8</v>
      </c>
      <c r="D1815" s="4">
        <v>105</v>
      </c>
      <c r="E1815" s="4"/>
      <c r="F1815">
        <v>179</v>
      </c>
      <c r="H1815" t="str">
        <f t="shared" si="28"/>
        <v>2024-03</v>
      </c>
      <c r="I1815" t="str">
        <f>_xlfn.XLOOKUP(Table1[[#This Row],[Customer_ID]],Customers!$A$2:$A$30,Customers!$C$2:$C$30,"Not found")</f>
        <v>Pays full</v>
      </c>
    </row>
    <row r="1816" spans="1:9">
      <c r="A1816" s="9">
        <v>45367</v>
      </c>
      <c r="B1816" t="s">
        <v>88</v>
      </c>
      <c r="C1816" t="s">
        <v>8</v>
      </c>
      <c r="D1816" s="4">
        <v>74</v>
      </c>
      <c r="E1816" s="4"/>
      <c r="F1816">
        <v>179</v>
      </c>
      <c r="H1816" t="str">
        <f t="shared" si="28"/>
        <v>2024-03</v>
      </c>
      <c r="I1816" t="str">
        <f>_xlfn.XLOOKUP(Table1[[#This Row],[Customer_ID]],Customers!$A$2:$A$30,Customers!$C$2:$C$30,"Not found")</f>
        <v>Pays full</v>
      </c>
    </row>
    <row r="1817" spans="1:9">
      <c r="A1817" s="9">
        <v>45368</v>
      </c>
      <c r="B1817" t="s">
        <v>88</v>
      </c>
      <c r="C1817" t="s">
        <v>8</v>
      </c>
      <c r="D1817" s="4">
        <v>440</v>
      </c>
      <c r="E1817" s="4"/>
      <c r="F1817">
        <v>179</v>
      </c>
      <c r="H1817" t="str">
        <f t="shared" si="28"/>
        <v>2024-03</v>
      </c>
      <c r="I1817" t="str">
        <f>_xlfn.XLOOKUP(Table1[[#This Row],[Customer_ID]],Customers!$A$2:$A$30,Customers!$C$2:$C$30,"Not found")</f>
        <v>Pays full</v>
      </c>
    </row>
    <row r="1818" spans="1:9">
      <c r="A1818" s="9">
        <v>45369</v>
      </c>
      <c r="B1818" t="s">
        <v>88</v>
      </c>
      <c r="C1818" t="s">
        <v>8</v>
      </c>
      <c r="D1818" s="4">
        <v>99</v>
      </c>
      <c r="E1818" s="4"/>
      <c r="F1818">
        <v>179</v>
      </c>
      <c r="H1818" t="str">
        <f t="shared" si="28"/>
        <v>2024-03</v>
      </c>
      <c r="I1818" t="str">
        <f>_xlfn.XLOOKUP(Table1[[#This Row],[Customer_ID]],Customers!$A$2:$A$30,Customers!$C$2:$C$30,"Not found")</f>
        <v>Pays full</v>
      </c>
    </row>
    <row r="1819" spans="1:9">
      <c r="A1819" s="9">
        <v>45370</v>
      </c>
      <c r="B1819" t="s">
        <v>88</v>
      </c>
      <c r="C1819" t="s">
        <v>8</v>
      </c>
      <c r="D1819" s="4">
        <v>40</v>
      </c>
      <c r="E1819" s="4"/>
      <c r="F1819">
        <v>179</v>
      </c>
      <c r="H1819" t="str">
        <f t="shared" si="28"/>
        <v>2024-03</v>
      </c>
      <c r="I1819" t="str">
        <f>_xlfn.XLOOKUP(Table1[[#This Row],[Customer_ID]],Customers!$A$2:$A$30,Customers!$C$2:$C$30,"Not found")</f>
        <v>Pays full</v>
      </c>
    </row>
    <row r="1820" spans="1:9">
      <c r="A1820" s="9">
        <v>45372</v>
      </c>
      <c r="B1820" t="s">
        <v>88</v>
      </c>
      <c r="C1820" t="s">
        <v>8</v>
      </c>
      <c r="D1820" s="4">
        <v>60</v>
      </c>
      <c r="E1820" s="4"/>
      <c r="F1820">
        <v>179</v>
      </c>
      <c r="H1820" t="str">
        <f t="shared" si="28"/>
        <v>2024-03</v>
      </c>
      <c r="I1820" t="str">
        <f>_xlfn.XLOOKUP(Table1[[#This Row],[Customer_ID]],Customers!$A$2:$A$30,Customers!$C$2:$C$30,"Not found")</f>
        <v>Pays full</v>
      </c>
    </row>
    <row r="1821" spans="1:9">
      <c r="A1821" s="9">
        <v>45373</v>
      </c>
      <c r="B1821" t="s">
        <v>88</v>
      </c>
      <c r="C1821" t="s">
        <v>8</v>
      </c>
      <c r="D1821" s="4">
        <v>40</v>
      </c>
      <c r="E1821" s="4"/>
      <c r="F1821">
        <v>179</v>
      </c>
      <c r="H1821" t="str">
        <f t="shared" si="28"/>
        <v>2024-03</v>
      </c>
      <c r="I1821" t="str">
        <f>_xlfn.XLOOKUP(Table1[[#This Row],[Customer_ID]],Customers!$A$2:$A$30,Customers!$C$2:$C$30,"Not found")</f>
        <v>Pays full</v>
      </c>
    </row>
    <row r="1822" spans="1:9">
      <c r="A1822" s="9">
        <v>45373</v>
      </c>
      <c r="B1822" t="s">
        <v>88</v>
      </c>
      <c r="C1822" t="s">
        <v>8</v>
      </c>
      <c r="D1822" s="4">
        <v>146</v>
      </c>
      <c r="E1822" s="4"/>
      <c r="F1822">
        <v>179</v>
      </c>
      <c r="H1822" t="str">
        <f t="shared" si="28"/>
        <v>2024-03</v>
      </c>
      <c r="I1822" t="str">
        <f>_xlfn.XLOOKUP(Table1[[#This Row],[Customer_ID]],Customers!$A$2:$A$30,Customers!$C$2:$C$30,"Not found")</f>
        <v>Pays full</v>
      </c>
    </row>
    <row r="1823" spans="1:9">
      <c r="A1823" s="9">
        <v>45374</v>
      </c>
      <c r="B1823" t="s">
        <v>88</v>
      </c>
      <c r="C1823" t="s">
        <v>8</v>
      </c>
      <c r="D1823" s="4">
        <v>25</v>
      </c>
      <c r="E1823" s="4"/>
      <c r="F1823">
        <v>179</v>
      </c>
      <c r="H1823" t="str">
        <f t="shared" si="28"/>
        <v>2024-03</v>
      </c>
      <c r="I1823" t="str">
        <f>_xlfn.XLOOKUP(Table1[[#This Row],[Customer_ID]],Customers!$A$2:$A$30,Customers!$C$2:$C$30,"Not found")</f>
        <v>Pays full</v>
      </c>
    </row>
    <row r="1824" spans="1:9">
      <c r="A1824" s="9">
        <v>45374</v>
      </c>
      <c r="B1824" t="s">
        <v>88</v>
      </c>
      <c r="C1824" t="s">
        <v>8</v>
      </c>
      <c r="D1824" s="4">
        <v>54</v>
      </c>
      <c r="E1824" s="4"/>
      <c r="F1824">
        <v>179</v>
      </c>
      <c r="H1824" t="str">
        <f t="shared" si="28"/>
        <v>2024-03</v>
      </c>
      <c r="I1824" t="str">
        <f>_xlfn.XLOOKUP(Table1[[#This Row],[Customer_ID]],Customers!$A$2:$A$30,Customers!$C$2:$C$30,"Not found")</f>
        <v>Pays full</v>
      </c>
    </row>
    <row r="1825" spans="1:9">
      <c r="A1825" s="9">
        <v>45375</v>
      </c>
      <c r="B1825" t="s">
        <v>88</v>
      </c>
      <c r="C1825" t="s">
        <v>8</v>
      </c>
      <c r="D1825" s="4">
        <v>48</v>
      </c>
      <c r="E1825" s="4"/>
      <c r="F1825">
        <v>179</v>
      </c>
      <c r="H1825" t="str">
        <f t="shared" si="28"/>
        <v>2024-03</v>
      </c>
      <c r="I1825" t="str">
        <f>_xlfn.XLOOKUP(Table1[[#This Row],[Customer_ID]],Customers!$A$2:$A$30,Customers!$C$2:$C$30,"Not found")</f>
        <v>Pays full</v>
      </c>
    </row>
    <row r="1826" spans="1:9">
      <c r="A1826" s="9">
        <v>45376</v>
      </c>
      <c r="B1826" t="s">
        <v>88</v>
      </c>
      <c r="C1826" t="s">
        <v>8</v>
      </c>
      <c r="D1826" s="4">
        <v>10</v>
      </c>
      <c r="E1826" s="4"/>
      <c r="F1826">
        <v>179</v>
      </c>
      <c r="H1826" t="str">
        <f t="shared" si="28"/>
        <v>2024-03</v>
      </c>
      <c r="I1826" t="str">
        <f>_xlfn.XLOOKUP(Table1[[#This Row],[Customer_ID]],Customers!$A$2:$A$30,Customers!$C$2:$C$30,"Not found")</f>
        <v>Pays full</v>
      </c>
    </row>
    <row r="1827" spans="1:9">
      <c r="A1827" s="9">
        <v>45376</v>
      </c>
      <c r="B1827" t="s">
        <v>88</v>
      </c>
      <c r="C1827" t="s">
        <v>8</v>
      </c>
      <c r="D1827" s="4">
        <v>160</v>
      </c>
      <c r="E1827" s="4"/>
      <c r="F1827">
        <v>179</v>
      </c>
      <c r="H1827" t="str">
        <f t="shared" si="28"/>
        <v>2024-03</v>
      </c>
      <c r="I1827" t="str">
        <f>_xlfn.XLOOKUP(Table1[[#This Row],[Customer_ID]],Customers!$A$2:$A$30,Customers!$C$2:$C$30,"Not found")</f>
        <v>Pays full</v>
      </c>
    </row>
    <row r="1828" spans="1:9">
      <c r="A1828" s="9">
        <v>45377</v>
      </c>
      <c r="B1828" t="s">
        <v>88</v>
      </c>
      <c r="C1828" t="s">
        <v>8</v>
      </c>
      <c r="D1828" s="4">
        <v>93</v>
      </c>
      <c r="E1828" s="4"/>
      <c r="F1828">
        <v>179</v>
      </c>
      <c r="H1828" t="str">
        <f t="shared" si="28"/>
        <v>2024-03</v>
      </c>
      <c r="I1828" t="str">
        <f>_xlfn.XLOOKUP(Table1[[#This Row],[Customer_ID]],Customers!$A$2:$A$30,Customers!$C$2:$C$30,"Not found")</f>
        <v>Pays full</v>
      </c>
    </row>
    <row r="1829" spans="1:9">
      <c r="A1829" s="9">
        <v>45378</v>
      </c>
      <c r="B1829" t="s">
        <v>88</v>
      </c>
      <c r="C1829" t="s">
        <v>8</v>
      </c>
      <c r="D1829" s="4">
        <v>84</v>
      </c>
      <c r="E1829" s="4"/>
      <c r="F1829">
        <v>179</v>
      </c>
      <c r="H1829" t="str">
        <f t="shared" si="28"/>
        <v>2024-03</v>
      </c>
      <c r="I1829" t="str">
        <f>_xlfn.XLOOKUP(Table1[[#This Row],[Customer_ID]],Customers!$A$2:$A$30,Customers!$C$2:$C$30,"Not found")</f>
        <v>Pays full</v>
      </c>
    </row>
    <row r="1830" spans="1:9">
      <c r="A1830" s="9">
        <v>45379</v>
      </c>
      <c r="B1830" t="s">
        <v>88</v>
      </c>
      <c r="C1830" t="s">
        <v>8</v>
      </c>
      <c r="D1830" s="4">
        <v>220</v>
      </c>
      <c r="E1830" s="4"/>
      <c r="F1830">
        <v>179</v>
      </c>
      <c r="H1830" t="str">
        <f t="shared" si="28"/>
        <v>2024-03</v>
      </c>
      <c r="I1830" t="str">
        <f>_xlfn.XLOOKUP(Table1[[#This Row],[Customer_ID]],Customers!$A$2:$A$30,Customers!$C$2:$C$30,"Not found")</f>
        <v>Pays full</v>
      </c>
    </row>
    <row r="1831" spans="1:9">
      <c r="A1831" s="9">
        <v>45380</v>
      </c>
      <c r="B1831" t="s">
        <v>88</v>
      </c>
      <c r="C1831" t="s">
        <v>8</v>
      </c>
      <c r="D1831" s="4">
        <v>102</v>
      </c>
      <c r="E1831" s="4"/>
      <c r="F1831">
        <v>179</v>
      </c>
      <c r="H1831" t="str">
        <f t="shared" si="28"/>
        <v>2024-03</v>
      </c>
      <c r="I1831" t="str">
        <f>_xlfn.XLOOKUP(Table1[[#This Row],[Customer_ID]],Customers!$A$2:$A$30,Customers!$C$2:$C$30,"Not found")</f>
        <v>Pays full</v>
      </c>
    </row>
    <row r="1832" spans="1:9">
      <c r="A1832" s="9">
        <v>45381</v>
      </c>
      <c r="B1832" t="s">
        <v>88</v>
      </c>
      <c r="C1832" t="s">
        <v>8</v>
      </c>
      <c r="D1832" s="4">
        <v>20</v>
      </c>
      <c r="E1832" s="4"/>
      <c r="F1832">
        <v>179</v>
      </c>
      <c r="H1832" t="str">
        <f t="shared" si="28"/>
        <v>2024-03</v>
      </c>
      <c r="I1832" t="str">
        <f>_xlfn.XLOOKUP(Table1[[#This Row],[Customer_ID]],Customers!$A$2:$A$30,Customers!$C$2:$C$30,"Not found")</f>
        <v>Pays full</v>
      </c>
    </row>
    <row r="1833" spans="1:9">
      <c r="A1833" s="9">
        <v>45381</v>
      </c>
      <c r="B1833" t="s">
        <v>88</v>
      </c>
      <c r="C1833" t="s">
        <v>8</v>
      </c>
      <c r="D1833" s="4">
        <v>345</v>
      </c>
      <c r="E1833" s="4"/>
      <c r="F1833">
        <v>179</v>
      </c>
      <c r="H1833" t="str">
        <f t="shared" si="28"/>
        <v>2024-03</v>
      </c>
      <c r="I1833" t="str">
        <f>_xlfn.XLOOKUP(Table1[[#This Row],[Customer_ID]],Customers!$A$2:$A$30,Customers!$C$2:$C$30,"Not found")</f>
        <v>Pays full</v>
      </c>
    </row>
    <row r="1834" spans="1:9">
      <c r="A1834" s="9">
        <v>45382</v>
      </c>
      <c r="B1834" t="s">
        <v>88</v>
      </c>
      <c r="C1834" t="s">
        <v>8</v>
      </c>
      <c r="D1834" s="4">
        <v>10</v>
      </c>
      <c r="E1834" s="4"/>
      <c r="F1834">
        <v>179</v>
      </c>
      <c r="H1834" t="str">
        <f t="shared" si="28"/>
        <v>2024-03</v>
      </c>
      <c r="I1834" t="str">
        <f>_xlfn.XLOOKUP(Table1[[#This Row],[Customer_ID]],Customers!$A$2:$A$30,Customers!$C$2:$C$30,"Not found")</f>
        <v>Pays full</v>
      </c>
    </row>
    <row r="1835" spans="1:9">
      <c r="A1835" s="9">
        <v>45383</v>
      </c>
      <c r="B1835" t="s">
        <v>88</v>
      </c>
      <c r="C1835" t="s">
        <v>8</v>
      </c>
      <c r="D1835" s="4">
        <v>10</v>
      </c>
      <c r="E1835" s="4"/>
      <c r="F1835">
        <v>179</v>
      </c>
      <c r="H1835" t="str">
        <f t="shared" si="28"/>
        <v>2024-04</v>
      </c>
      <c r="I1835" t="str">
        <f>_xlfn.XLOOKUP(Table1[[#This Row],[Customer_ID]],Customers!$A$2:$A$30,Customers!$C$2:$C$30,"Not found")</f>
        <v>Pays full</v>
      </c>
    </row>
    <row r="1836" spans="1:9">
      <c r="A1836" s="9">
        <v>45383</v>
      </c>
      <c r="B1836" t="s">
        <v>88</v>
      </c>
      <c r="C1836" t="s">
        <v>8</v>
      </c>
      <c r="D1836" s="4">
        <v>267</v>
      </c>
      <c r="E1836" s="4"/>
      <c r="F1836">
        <v>179</v>
      </c>
      <c r="H1836" t="str">
        <f t="shared" si="28"/>
        <v>2024-04</v>
      </c>
      <c r="I1836" t="str">
        <f>_xlfn.XLOOKUP(Table1[[#This Row],[Customer_ID]],Customers!$A$2:$A$30,Customers!$C$2:$C$30,"Not found")</f>
        <v>Pays full</v>
      </c>
    </row>
    <row r="1837" spans="1:9">
      <c r="A1837" s="9">
        <v>45384</v>
      </c>
      <c r="B1837" t="s">
        <v>88</v>
      </c>
      <c r="C1837" t="s">
        <v>8</v>
      </c>
      <c r="D1837" s="4">
        <v>85</v>
      </c>
      <c r="E1837" s="4"/>
      <c r="F1837">
        <v>179</v>
      </c>
      <c r="H1837" t="str">
        <f t="shared" si="28"/>
        <v>2024-04</v>
      </c>
      <c r="I1837" t="str">
        <f>_xlfn.XLOOKUP(Table1[[#This Row],[Customer_ID]],Customers!$A$2:$A$30,Customers!$C$2:$C$30,"Not found")</f>
        <v>Pays full</v>
      </c>
    </row>
    <row r="1838" spans="1:9">
      <c r="A1838" s="9">
        <v>45385</v>
      </c>
      <c r="B1838" t="s">
        <v>88</v>
      </c>
      <c r="C1838" t="s">
        <v>8</v>
      </c>
      <c r="D1838" s="4">
        <v>37</v>
      </c>
      <c r="E1838" s="4"/>
      <c r="F1838">
        <v>179</v>
      </c>
      <c r="H1838" t="str">
        <f t="shared" si="28"/>
        <v>2024-04</v>
      </c>
      <c r="I1838" t="str">
        <f>_xlfn.XLOOKUP(Table1[[#This Row],[Customer_ID]],Customers!$A$2:$A$30,Customers!$C$2:$C$30,"Not found")</f>
        <v>Pays full</v>
      </c>
    </row>
    <row r="1839" spans="1:9">
      <c r="A1839" s="9">
        <v>45385</v>
      </c>
      <c r="B1839" t="s">
        <v>88</v>
      </c>
      <c r="C1839" t="s">
        <v>8</v>
      </c>
      <c r="D1839" s="4">
        <v>66</v>
      </c>
      <c r="E1839" s="4"/>
      <c r="F1839">
        <v>179</v>
      </c>
      <c r="H1839" t="str">
        <f t="shared" si="28"/>
        <v>2024-04</v>
      </c>
      <c r="I1839" t="str">
        <f>_xlfn.XLOOKUP(Table1[[#This Row],[Customer_ID]],Customers!$A$2:$A$30,Customers!$C$2:$C$30,"Not found")</f>
        <v>Pays full</v>
      </c>
    </row>
    <row r="1840" spans="1:9">
      <c r="A1840" s="9">
        <v>45386</v>
      </c>
      <c r="B1840" t="s">
        <v>88</v>
      </c>
      <c r="C1840" t="s">
        <v>8</v>
      </c>
      <c r="D1840" s="4">
        <v>60</v>
      </c>
      <c r="E1840" s="4"/>
      <c r="F1840">
        <v>179</v>
      </c>
      <c r="H1840" t="str">
        <f t="shared" si="28"/>
        <v>2024-04</v>
      </c>
      <c r="I1840" t="str">
        <f>_xlfn.XLOOKUP(Table1[[#This Row],[Customer_ID]],Customers!$A$2:$A$30,Customers!$C$2:$C$30,"Not found")</f>
        <v>Pays full</v>
      </c>
    </row>
    <row r="1841" spans="1:9">
      <c r="A1841" s="9">
        <v>45386</v>
      </c>
      <c r="B1841" t="s">
        <v>88</v>
      </c>
      <c r="C1841" t="s">
        <v>22</v>
      </c>
      <c r="D1841" s="4">
        <v>23</v>
      </c>
      <c r="E1841" s="4">
        <v>4800</v>
      </c>
      <c r="F1841">
        <v>179</v>
      </c>
      <c r="G1841" t="s">
        <v>334</v>
      </c>
      <c r="H1841" t="str">
        <f t="shared" si="28"/>
        <v>2024-04</v>
      </c>
      <c r="I1841" t="str">
        <f>_xlfn.XLOOKUP(Table1[[#This Row],[Customer_ID]],Customers!$A$2:$A$30,Customers!$C$2:$C$30,"Not found")</f>
        <v>Pays full</v>
      </c>
    </row>
    <row r="1842" spans="1:9">
      <c r="A1842" s="9">
        <v>45387</v>
      </c>
      <c r="B1842" t="s">
        <v>88</v>
      </c>
      <c r="C1842" t="s">
        <v>14</v>
      </c>
      <c r="D1842" s="4">
        <v>4800</v>
      </c>
      <c r="E1842" s="4">
        <v>0</v>
      </c>
      <c r="F1842">
        <v>179</v>
      </c>
      <c r="G1842" t="s">
        <v>335</v>
      </c>
      <c r="H1842" t="str">
        <f t="shared" si="28"/>
        <v>2024-04</v>
      </c>
      <c r="I1842" t="str">
        <f>_xlfn.XLOOKUP(Table1[[#This Row],[Customer_ID]],Customers!$A$2:$A$30,Customers!$C$2:$C$30,"Not found")</f>
        <v>Pays full</v>
      </c>
    </row>
    <row r="1843" spans="1:9">
      <c r="A1843" s="9">
        <v>45386</v>
      </c>
      <c r="B1843" t="s">
        <v>88</v>
      </c>
      <c r="C1843" t="s">
        <v>8</v>
      </c>
      <c r="D1843" s="4">
        <v>10</v>
      </c>
      <c r="E1843" s="4"/>
      <c r="F1843">
        <v>179</v>
      </c>
      <c r="H1843" t="str">
        <f t="shared" si="28"/>
        <v>2024-04</v>
      </c>
      <c r="I1843" t="str">
        <f>_xlfn.XLOOKUP(Table1[[#This Row],[Customer_ID]],Customers!$A$2:$A$30,Customers!$C$2:$C$30,"Not found")</f>
        <v>Pays full</v>
      </c>
    </row>
    <row r="1844" spans="1:9">
      <c r="A1844" s="9">
        <v>45387</v>
      </c>
      <c r="B1844" t="s">
        <v>88</v>
      </c>
      <c r="C1844" t="s">
        <v>8</v>
      </c>
      <c r="D1844" s="4">
        <v>50</v>
      </c>
      <c r="E1844" s="4"/>
      <c r="F1844">
        <v>179</v>
      </c>
      <c r="H1844" t="str">
        <f t="shared" si="28"/>
        <v>2024-04</v>
      </c>
      <c r="I1844" t="str">
        <f>_xlfn.XLOOKUP(Table1[[#This Row],[Customer_ID]],Customers!$A$2:$A$30,Customers!$C$2:$C$30,"Not found")</f>
        <v>Pays full</v>
      </c>
    </row>
    <row r="1845" spans="1:9">
      <c r="A1845" s="9">
        <v>45387</v>
      </c>
      <c r="B1845" t="s">
        <v>88</v>
      </c>
      <c r="C1845" t="s">
        <v>8</v>
      </c>
      <c r="D1845" s="4">
        <v>47</v>
      </c>
      <c r="E1845" s="4"/>
      <c r="F1845">
        <v>179</v>
      </c>
      <c r="H1845" t="str">
        <f t="shared" si="28"/>
        <v>2024-04</v>
      </c>
      <c r="I1845" t="str">
        <f>_xlfn.XLOOKUP(Table1[[#This Row],[Customer_ID]],Customers!$A$2:$A$30,Customers!$C$2:$C$30,"Not found")</f>
        <v>Pays full</v>
      </c>
    </row>
    <row r="1846" spans="1:9">
      <c r="A1846" s="9">
        <v>45388</v>
      </c>
      <c r="B1846" t="s">
        <v>88</v>
      </c>
      <c r="C1846" t="s">
        <v>8</v>
      </c>
      <c r="D1846" s="4">
        <v>10</v>
      </c>
      <c r="E1846" s="4"/>
      <c r="F1846">
        <v>179</v>
      </c>
      <c r="H1846" t="str">
        <f t="shared" si="28"/>
        <v>2024-04</v>
      </c>
      <c r="I1846" t="str">
        <f>_xlfn.XLOOKUP(Table1[[#This Row],[Customer_ID]],Customers!$A$2:$A$30,Customers!$C$2:$C$30,"Not found")</f>
        <v>Pays full</v>
      </c>
    </row>
    <row r="1847" spans="1:9">
      <c r="A1847" s="9">
        <v>45388</v>
      </c>
      <c r="B1847" t="s">
        <v>88</v>
      </c>
      <c r="C1847" t="s">
        <v>8</v>
      </c>
      <c r="D1847" s="4">
        <v>90</v>
      </c>
      <c r="E1847" s="4"/>
      <c r="F1847">
        <v>179</v>
      </c>
      <c r="H1847" t="str">
        <f t="shared" si="28"/>
        <v>2024-04</v>
      </c>
      <c r="I1847" t="str">
        <f>_xlfn.XLOOKUP(Table1[[#This Row],[Customer_ID]],Customers!$A$2:$A$30,Customers!$C$2:$C$30,"Not found")</f>
        <v>Pays full</v>
      </c>
    </row>
    <row r="1848" spans="1:9">
      <c r="A1848" s="9">
        <v>45388</v>
      </c>
      <c r="B1848" t="s">
        <v>88</v>
      </c>
      <c r="C1848" t="s">
        <v>8</v>
      </c>
      <c r="D1848" s="4">
        <v>32</v>
      </c>
      <c r="E1848" s="4"/>
      <c r="F1848">
        <v>179</v>
      </c>
      <c r="H1848" t="str">
        <f t="shared" si="28"/>
        <v>2024-04</v>
      </c>
      <c r="I1848" t="str">
        <f>_xlfn.XLOOKUP(Table1[[#This Row],[Customer_ID]],Customers!$A$2:$A$30,Customers!$C$2:$C$30,"Not found")</f>
        <v>Pays full</v>
      </c>
    </row>
    <row r="1849" spans="1:9">
      <c r="A1849" s="9">
        <v>45388</v>
      </c>
      <c r="B1849" t="s">
        <v>88</v>
      </c>
      <c r="C1849" t="s">
        <v>8</v>
      </c>
      <c r="D1849" s="4">
        <v>1660</v>
      </c>
      <c r="E1849" s="4">
        <v>1899</v>
      </c>
      <c r="F1849">
        <v>179</v>
      </c>
      <c r="G1849" t="s">
        <v>336</v>
      </c>
      <c r="H1849" t="str">
        <f t="shared" si="28"/>
        <v>2024-04</v>
      </c>
      <c r="I1849" t="str">
        <f>_xlfn.XLOOKUP(Table1[[#This Row],[Customer_ID]],Customers!$A$2:$A$30,Customers!$C$2:$C$30,"Not found")</f>
        <v>Pays full</v>
      </c>
    </row>
    <row r="1850" spans="1:9">
      <c r="A1850" s="9">
        <v>45389</v>
      </c>
      <c r="B1850" t="s">
        <v>88</v>
      </c>
      <c r="C1850" t="s">
        <v>8</v>
      </c>
      <c r="D1850" s="4">
        <v>216</v>
      </c>
      <c r="E1850" s="4"/>
      <c r="F1850">
        <v>179</v>
      </c>
      <c r="H1850" t="str">
        <f t="shared" si="28"/>
        <v>2024-04</v>
      </c>
      <c r="I1850" t="str">
        <f>_xlfn.XLOOKUP(Table1[[#This Row],[Customer_ID]],Customers!$A$2:$A$30,Customers!$C$2:$C$30,"Not found")</f>
        <v>Pays full</v>
      </c>
    </row>
    <row r="1851" spans="1:9">
      <c r="A1851" s="9">
        <v>45393</v>
      </c>
      <c r="B1851" t="s">
        <v>88</v>
      </c>
      <c r="C1851" t="s">
        <v>8</v>
      </c>
      <c r="D1851" s="4">
        <v>204</v>
      </c>
      <c r="E1851" s="4"/>
      <c r="F1851">
        <v>179</v>
      </c>
      <c r="H1851" t="str">
        <f t="shared" si="28"/>
        <v>2024-04</v>
      </c>
      <c r="I1851" t="str">
        <f>_xlfn.XLOOKUP(Table1[[#This Row],[Customer_ID]],Customers!$A$2:$A$30,Customers!$C$2:$C$30,"Not found")</f>
        <v>Pays full</v>
      </c>
    </row>
    <row r="1852" spans="1:9">
      <c r="A1852" s="9">
        <v>45393</v>
      </c>
      <c r="B1852" t="s">
        <v>88</v>
      </c>
      <c r="C1852" t="s">
        <v>8</v>
      </c>
      <c r="D1852" s="4">
        <v>22</v>
      </c>
      <c r="E1852" s="4"/>
      <c r="F1852">
        <v>179</v>
      </c>
      <c r="H1852" t="str">
        <f t="shared" si="28"/>
        <v>2024-04</v>
      </c>
      <c r="I1852" t="str">
        <f>_xlfn.XLOOKUP(Table1[[#This Row],[Customer_ID]],Customers!$A$2:$A$30,Customers!$C$2:$C$30,"Not found")</f>
        <v>Pays full</v>
      </c>
    </row>
    <row r="1853" spans="1:9">
      <c r="A1853" s="9">
        <v>45394</v>
      </c>
      <c r="B1853" t="s">
        <v>88</v>
      </c>
      <c r="C1853" t="s">
        <v>8</v>
      </c>
      <c r="D1853" s="4">
        <v>138</v>
      </c>
      <c r="E1853" s="4"/>
      <c r="F1853">
        <v>179</v>
      </c>
      <c r="H1853" t="str">
        <f t="shared" si="28"/>
        <v>2024-04</v>
      </c>
      <c r="I1853" t="str">
        <f>_xlfn.XLOOKUP(Table1[[#This Row],[Customer_ID]],Customers!$A$2:$A$30,Customers!$C$2:$C$30,"Not found")</f>
        <v>Pays full</v>
      </c>
    </row>
    <row r="1854" spans="1:9">
      <c r="A1854" s="9">
        <v>45396</v>
      </c>
      <c r="B1854" t="s">
        <v>88</v>
      </c>
      <c r="C1854" t="s">
        <v>8</v>
      </c>
      <c r="D1854" s="4">
        <v>20</v>
      </c>
      <c r="E1854" s="4"/>
      <c r="F1854">
        <v>179</v>
      </c>
      <c r="H1854" t="str">
        <f t="shared" si="28"/>
        <v>2024-04</v>
      </c>
      <c r="I1854" t="str">
        <f>_xlfn.XLOOKUP(Table1[[#This Row],[Customer_ID]],Customers!$A$2:$A$30,Customers!$C$2:$C$30,"Not found")</f>
        <v>Pays full</v>
      </c>
    </row>
    <row r="1855" spans="1:9">
      <c r="A1855" s="9">
        <v>45397</v>
      </c>
      <c r="B1855" t="s">
        <v>88</v>
      </c>
      <c r="C1855" t="s">
        <v>8</v>
      </c>
      <c r="D1855" s="4">
        <v>176</v>
      </c>
      <c r="E1855" s="4"/>
      <c r="F1855">
        <v>179</v>
      </c>
      <c r="H1855" t="str">
        <f t="shared" ref="H1855:H1918" si="29">IF(A1855="","",TEXT(A1855,"yyyy-mm"))</f>
        <v>2024-04</v>
      </c>
      <c r="I1855" t="str">
        <f>_xlfn.XLOOKUP(Table1[[#This Row],[Customer_ID]],Customers!$A$2:$A$30,Customers!$C$2:$C$30,"Not found")</f>
        <v>Pays full</v>
      </c>
    </row>
    <row r="1856" spans="1:9">
      <c r="A1856" s="9">
        <v>45397</v>
      </c>
      <c r="B1856" t="s">
        <v>88</v>
      </c>
      <c r="C1856" t="s">
        <v>8</v>
      </c>
      <c r="D1856" s="4">
        <v>66</v>
      </c>
      <c r="E1856" s="4"/>
      <c r="F1856">
        <v>179</v>
      </c>
      <c r="H1856" t="str">
        <f t="shared" si="29"/>
        <v>2024-04</v>
      </c>
      <c r="I1856" t="str">
        <f>_xlfn.XLOOKUP(Table1[[#This Row],[Customer_ID]],Customers!$A$2:$A$30,Customers!$C$2:$C$30,"Not found")</f>
        <v>Pays full</v>
      </c>
    </row>
    <row r="1857" spans="1:9">
      <c r="A1857" s="9">
        <v>45398</v>
      </c>
      <c r="B1857" t="s">
        <v>88</v>
      </c>
      <c r="C1857" t="s">
        <v>8</v>
      </c>
      <c r="D1857" s="4">
        <v>236</v>
      </c>
      <c r="E1857" s="4"/>
      <c r="F1857">
        <v>179</v>
      </c>
      <c r="H1857" t="str">
        <f t="shared" si="29"/>
        <v>2024-04</v>
      </c>
      <c r="I1857" t="str">
        <f>_xlfn.XLOOKUP(Table1[[#This Row],[Customer_ID]],Customers!$A$2:$A$30,Customers!$C$2:$C$30,"Not found")</f>
        <v>Pays full</v>
      </c>
    </row>
    <row r="1858" spans="1:9">
      <c r="A1858" s="9">
        <v>45399</v>
      </c>
      <c r="B1858" t="s">
        <v>88</v>
      </c>
      <c r="C1858" t="s">
        <v>8</v>
      </c>
      <c r="D1858" s="4">
        <v>115</v>
      </c>
      <c r="E1858" s="4"/>
      <c r="F1858">
        <v>179</v>
      </c>
      <c r="H1858" t="str">
        <f t="shared" si="29"/>
        <v>2024-04</v>
      </c>
      <c r="I1858" t="str">
        <f>_xlfn.XLOOKUP(Table1[[#This Row],[Customer_ID]],Customers!$A$2:$A$30,Customers!$C$2:$C$30,"Not found")</f>
        <v>Pays full</v>
      </c>
    </row>
    <row r="1859" spans="1:9">
      <c r="A1859" s="9">
        <v>45400</v>
      </c>
      <c r="B1859" t="s">
        <v>88</v>
      </c>
      <c r="C1859" t="s">
        <v>8</v>
      </c>
      <c r="D1859" s="4">
        <v>10</v>
      </c>
      <c r="E1859" s="4"/>
      <c r="F1859">
        <v>179</v>
      </c>
      <c r="H1859" t="str">
        <f t="shared" si="29"/>
        <v>2024-04</v>
      </c>
      <c r="I1859" t="str">
        <f>_xlfn.XLOOKUP(Table1[[#This Row],[Customer_ID]],Customers!$A$2:$A$30,Customers!$C$2:$C$30,"Not found")</f>
        <v>Pays full</v>
      </c>
    </row>
    <row r="1860" spans="1:9">
      <c r="A1860" s="9">
        <v>45401</v>
      </c>
      <c r="B1860" t="s">
        <v>88</v>
      </c>
      <c r="C1860" t="s">
        <v>8</v>
      </c>
      <c r="D1860" s="4">
        <v>40</v>
      </c>
      <c r="E1860" s="4"/>
      <c r="F1860">
        <v>179</v>
      </c>
      <c r="H1860" t="str">
        <f t="shared" si="29"/>
        <v>2024-04</v>
      </c>
      <c r="I1860" t="str">
        <f>_xlfn.XLOOKUP(Table1[[#This Row],[Customer_ID]],Customers!$A$2:$A$30,Customers!$C$2:$C$30,"Not found")</f>
        <v>Pays full</v>
      </c>
    </row>
    <row r="1861" spans="1:9">
      <c r="A1861" s="9">
        <v>45401</v>
      </c>
      <c r="B1861" t="s">
        <v>88</v>
      </c>
      <c r="C1861" t="s">
        <v>8</v>
      </c>
      <c r="D1861" s="4">
        <v>44</v>
      </c>
      <c r="E1861" s="4"/>
      <c r="F1861">
        <v>179</v>
      </c>
      <c r="H1861" t="str">
        <f t="shared" si="29"/>
        <v>2024-04</v>
      </c>
      <c r="I1861" t="str">
        <f>_xlfn.XLOOKUP(Table1[[#This Row],[Customer_ID]],Customers!$A$2:$A$30,Customers!$C$2:$C$30,"Not found")</f>
        <v>Pays full</v>
      </c>
    </row>
    <row r="1862" spans="1:9">
      <c r="A1862" s="9">
        <v>45402</v>
      </c>
      <c r="B1862" t="s">
        <v>88</v>
      </c>
      <c r="C1862" t="s">
        <v>8</v>
      </c>
      <c r="D1862" s="4">
        <v>66</v>
      </c>
      <c r="E1862" s="4"/>
      <c r="F1862">
        <v>179</v>
      </c>
      <c r="H1862" t="str">
        <f t="shared" si="29"/>
        <v>2024-04</v>
      </c>
      <c r="I1862" t="str">
        <f>_xlfn.XLOOKUP(Table1[[#This Row],[Customer_ID]],Customers!$A$2:$A$30,Customers!$C$2:$C$30,"Not found")</f>
        <v>Pays full</v>
      </c>
    </row>
    <row r="1863" spans="1:9">
      <c r="A1863" s="9">
        <v>45403</v>
      </c>
      <c r="B1863" t="s">
        <v>88</v>
      </c>
      <c r="C1863" t="s">
        <v>8</v>
      </c>
      <c r="D1863" s="4">
        <v>35</v>
      </c>
      <c r="E1863" s="4"/>
      <c r="F1863">
        <v>179</v>
      </c>
      <c r="H1863" t="str">
        <f t="shared" si="29"/>
        <v>2024-04</v>
      </c>
      <c r="I1863" t="str">
        <f>_xlfn.XLOOKUP(Table1[[#This Row],[Customer_ID]],Customers!$A$2:$A$30,Customers!$C$2:$C$30,"Not found")</f>
        <v>Pays full</v>
      </c>
    </row>
    <row r="1864" spans="1:9">
      <c r="A1864" s="9">
        <v>45404</v>
      </c>
      <c r="B1864" t="s">
        <v>88</v>
      </c>
      <c r="C1864" t="s">
        <v>8</v>
      </c>
      <c r="D1864" s="4">
        <v>173</v>
      </c>
      <c r="E1864" s="4"/>
      <c r="F1864">
        <v>179</v>
      </c>
      <c r="H1864" t="str">
        <f t="shared" si="29"/>
        <v>2024-04</v>
      </c>
      <c r="I1864" t="str">
        <f>_xlfn.XLOOKUP(Table1[[#This Row],[Customer_ID]],Customers!$A$2:$A$30,Customers!$C$2:$C$30,"Not found")</f>
        <v>Pays full</v>
      </c>
    </row>
    <row r="1865" spans="1:9">
      <c r="A1865" s="9">
        <v>45405</v>
      </c>
      <c r="B1865" t="s">
        <v>88</v>
      </c>
      <c r="C1865" t="s">
        <v>8</v>
      </c>
      <c r="D1865" s="4">
        <v>10</v>
      </c>
      <c r="E1865" s="4"/>
      <c r="F1865">
        <v>179</v>
      </c>
      <c r="H1865" t="str">
        <f t="shared" si="29"/>
        <v>2024-04</v>
      </c>
      <c r="I1865" t="str">
        <f>_xlfn.XLOOKUP(Table1[[#This Row],[Customer_ID]],Customers!$A$2:$A$30,Customers!$C$2:$C$30,"Not found")</f>
        <v>Pays full</v>
      </c>
    </row>
    <row r="1866" spans="1:9">
      <c r="A1866" s="9">
        <v>45406</v>
      </c>
      <c r="B1866" t="s">
        <v>88</v>
      </c>
      <c r="C1866" t="s">
        <v>8</v>
      </c>
      <c r="D1866" s="4">
        <v>91</v>
      </c>
      <c r="E1866" s="4"/>
      <c r="F1866">
        <v>179</v>
      </c>
      <c r="H1866" t="str">
        <f t="shared" si="29"/>
        <v>2024-04</v>
      </c>
      <c r="I1866" t="str">
        <f>_xlfn.XLOOKUP(Table1[[#This Row],[Customer_ID]],Customers!$A$2:$A$30,Customers!$C$2:$C$30,"Not found")</f>
        <v>Pays full</v>
      </c>
    </row>
    <row r="1867" spans="1:9">
      <c r="A1867" s="9">
        <v>45407</v>
      </c>
      <c r="B1867" t="s">
        <v>88</v>
      </c>
      <c r="C1867" t="s">
        <v>8</v>
      </c>
      <c r="D1867" s="4">
        <v>35</v>
      </c>
      <c r="E1867" s="4"/>
      <c r="F1867">
        <v>179</v>
      </c>
      <c r="H1867" t="str">
        <f t="shared" si="29"/>
        <v>2024-04</v>
      </c>
      <c r="I1867" t="str">
        <f>_xlfn.XLOOKUP(Table1[[#This Row],[Customer_ID]],Customers!$A$2:$A$30,Customers!$C$2:$C$30,"Not found")</f>
        <v>Pays full</v>
      </c>
    </row>
    <row r="1868" spans="1:9">
      <c r="A1868" s="9">
        <v>45407</v>
      </c>
      <c r="B1868" t="s">
        <v>88</v>
      </c>
      <c r="C1868" t="s">
        <v>8</v>
      </c>
      <c r="D1868" s="4">
        <v>477</v>
      </c>
      <c r="E1868" s="4"/>
      <c r="F1868">
        <v>179</v>
      </c>
      <c r="H1868" t="str">
        <f t="shared" si="29"/>
        <v>2024-04</v>
      </c>
      <c r="I1868" t="str">
        <f>_xlfn.XLOOKUP(Table1[[#This Row],[Customer_ID]],Customers!$A$2:$A$30,Customers!$C$2:$C$30,"Not found")</f>
        <v>Pays full</v>
      </c>
    </row>
    <row r="1869" spans="1:9">
      <c r="A1869" s="9">
        <v>45410</v>
      </c>
      <c r="B1869" t="s">
        <v>88</v>
      </c>
      <c r="C1869" t="s">
        <v>8</v>
      </c>
      <c r="D1869" s="4">
        <v>20</v>
      </c>
      <c r="E1869" s="4"/>
      <c r="F1869">
        <v>179</v>
      </c>
      <c r="H1869" t="str">
        <f t="shared" si="29"/>
        <v>2024-04</v>
      </c>
      <c r="I1869" t="str">
        <f>_xlfn.XLOOKUP(Table1[[#This Row],[Customer_ID]],Customers!$A$2:$A$30,Customers!$C$2:$C$30,"Not found")</f>
        <v>Pays full</v>
      </c>
    </row>
    <row r="1870" spans="1:9">
      <c r="A1870" s="9">
        <v>45411</v>
      </c>
      <c r="B1870" t="s">
        <v>88</v>
      </c>
      <c r="C1870" t="s">
        <v>8</v>
      </c>
      <c r="D1870" s="4">
        <v>37</v>
      </c>
      <c r="E1870" s="4"/>
      <c r="F1870">
        <v>179</v>
      </c>
      <c r="H1870" t="str">
        <f t="shared" si="29"/>
        <v>2024-04</v>
      </c>
      <c r="I1870" t="str">
        <f>_xlfn.XLOOKUP(Table1[[#This Row],[Customer_ID]],Customers!$A$2:$A$30,Customers!$C$2:$C$30,"Not found")</f>
        <v>Pays full</v>
      </c>
    </row>
    <row r="1871" spans="1:9">
      <c r="A1871" s="9">
        <v>45411</v>
      </c>
      <c r="B1871" t="s">
        <v>88</v>
      </c>
      <c r="C1871" t="s">
        <v>8</v>
      </c>
      <c r="D1871" s="4">
        <v>33</v>
      </c>
      <c r="E1871" s="4"/>
      <c r="F1871">
        <v>179</v>
      </c>
      <c r="H1871" t="str">
        <f t="shared" si="29"/>
        <v>2024-04</v>
      </c>
      <c r="I1871" t="str">
        <f>_xlfn.XLOOKUP(Table1[[#This Row],[Customer_ID]],Customers!$A$2:$A$30,Customers!$C$2:$C$30,"Not found")</f>
        <v>Pays full</v>
      </c>
    </row>
    <row r="1872" spans="1:9">
      <c r="A1872" s="9">
        <v>45411</v>
      </c>
      <c r="B1872" t="s">
        <v>88</v>
      </c>
      <c r="C1872" t="s">
        <v>8</v>
      </c>
      <c r="D1872" s="4">
        <v>20</v>
      </c>
      <c r="E1872" s="4"/>
      <c r="F1872">
        <v>179</v>
      </c>
      <c r="H1872" t="str">
        <f t="shared" si="29"/>
        <v>2024-04</v>
      </c>
      <c r="I1872" t="str">
        <f>_xlfn.XLOOKUP(Table1[[#This Row],[Customer_ID]],Customers!$A$2:$A$30,Customers!$C$2:$C$30,"Not found")</f>
        <v>Pays full</v>
      </c>
    </row>
    <row r="1873" spans="1:9">
      <c r="A1873" s="9">
        <v>45412</v>
      </c>
      <c r="B1873" t="s">
        <v>88</v>
      </c>
      <c r="C1873" t="s">
        <v>8</v>
      </c>
      <c r="D1873" s="4">
        <v>186</v>
      </c>
      <c r="E1873" s="4"/>
      <c r="F1873">
        <v>179</v>
      </c>
      <c r="H1873" t="str">
        <f t="shared" si="29"/>
        <v>2024-04</v>
      </c>
      <c r="I1873" t="str">
        <f>_xlfn.XLOOKUP(Table1[[#This Row],[Customer_ID]],Customers!$A$2:$A$30,Customers!$C$2:$C$30,"Not found")</f>
        <v>Pays full</v>
      </c>
    </row>
    <row r="1874" spans="1:9">
      <c r="A1874" s="9">
        <v>45412</v>
      </c>
      <c r="B1874" t="s">
        <v>88</v>
      </c>
      <c r="C1874" t="s">
        <v>8</v>
      </c>
      <c r="D1874" s="4">
        <v>190</v>
      </c>
      <c r="E1874" s="4"/>
      <c r="F1874">
        <v>179</v>
      </c>
      <c r="H1874" t="str">
        <f t="shared" si="29"/>
        <v>2024-04</v>
      </c>
      <c r="I1874" t="str">
        <f>_xlfn.XLOOKUP(Table1[[#This Row],[Customer_ID]],Customers!$A$2:$A$30,Customers!$C$2:$C$30,"Not found")</f>
        <v>Pays full</v>
      </c>
    </row>
    <row r="1875" spans="1:9">
      <c r="A1875" s="9">
        <v>45413</v>
      </c>
      <c r="B1875" t="s">
        <v>88</v>
      </c>
      <c r="C1875" t="s">
        <v>8</v>
      </c>
      <c r="D1875" s="4">
        <v>327</v>
      </c>
      <c r="E1875" s="4"/>
      <c r="F1875">
        <v>179</v>
      </c>
      <c r="H1875" t="str">
        <f t="shared" si="29"/>
        <v>2024-05</v>
      </c>
      <c r="I1875" t="str">
        <f>_xlfn.XLOOKUP(Table1[[#This Row],[Customer_ID]],Customers!$A$2:$A$30,Customers!$C$2:$C$30,"Not found")</f>
        <v>Pays full</v>
      </c>
    </row>
    <row r="1876" spans="1:9">
      <c r="A1876" s="9">
        <v>45415</v>
      </c>
      <c r="B1876" t="s">
        <v>88</v>
      </c>
      <c r="C1876" t="s">
        <v>8</v>
      </c>
      <c r="D1876" s="4">
        <v>10</v>
      </c>
      <c r="E1876" s="4"/>
      <c r="F1876">
        <v>179</v>
      </c>
      <c r="H1876" t="str">
        <f t="shared" si="29"/>
        <v>2024-05</v>
      </c>
      <c r="I1876" t="str">
        <f>_xlfn.XLOOKUP(Table1[[#This Row],[Customer_ID]],Customers!$A$2:$A$30,Customers!$C$2:$C$30,"Not found")</f>
        <v>Pays full</v>
      </c>
    </row>
    <row r="1877" spans="1:9">
      <c r="A1877" s="9">
        <v>45415</v>
      </c>
      <c r="B1877" t="s">
        <v>88</v>
      </c>
      <c r="C1877" t="s">
        <v>22</v>
      </c>
      <c r="D1877" s="4">
        <v>-40</v>
      </c>
      <c r="E1877" s="4">
        <v>4856</v>
      </c>
      <c r="F1877">
        <v>179</v>
      </c>
      <c r="G1877" t="s">
        <v>337</v>
      </c>
      <c r="H1877" t="str">
        <f t="shared" si="29"/>
        <v>2024-05</v>
      </c>
      <c r="I1877" t="str">
        <f>_xlfn.XLOOKUP(Table1[[#This Row],[Customer_ID]],Customers!$A$2:$A$30,Customers!$C$2:$C$30,"Not found")</f>
        <v>Pays full</v>
      </c>
    </row>
    <row r="1878" spans="1:9">
      <c r="A1878" s="9">
        <v>45415</v>
      </c>
      <c r="B1878" t="s">
        <v>88</v>
      </c>
      <c r="C1878" t="s">
        <v>14</v>
      </c>
      <c r="D1878" s="4">
        <v>4856</v>
      </c>
      <c r="E1878" s="4">
        <v>0</v>
      </c>
      <c r="F1878">
        <v>179</v>
      </c>
      <c r="G1878" t="s">
        <v>338</v>
      </c>
      <c r="H1878" t="str">
        <f t="shared" si="29"/>
        <v>2024-05</v>
      </c>
      <c r="I1878" t="str">
        <f>_xlfn.XLOOKUP(Table1[[#This Row],[Customer_ID]],Customers!$A$2:$A$30,Customers!$C$2:$C$30,"Not found")</f>
        <v>Pays full</v>
      </c>
    </row>
    <row r="1879" spans="1:9">
      <c r="A1879" s="9">
        <v>45415</v>
      </c>
      <c r="B1879" t="s">
        <v>88</v>
      </c>
      <c r="C1879" t="s">
        <v>8</v>
      </c>
      <c r="D1879" s="4">
        <v>968</v>
      </c>
      <c r="E1879" s="4"/>
      <c r="F1879">
        <v>179</v>
      </c>
      <c r="H1879" t="str">
        <f t="shared" si="29"/>
        <v>2024-05</v>
      </c>
      <c r="I1879" t="str">
        <f>_xlfn.XLOOKUP(Table1[[#This Row],[Customer_ID]],Customers!$A$2:$A$30,Customers!$C$2:$C$30,"Not found")</f>
        <v>Pays full</v>
      </c>
    </row>
    <row r="1880" spans="1:9">
      <c r="A1880" s="9">
        <v>45415</v>
      </c>
      <c r="B1880" t="s">
        <v>88</v>
      </c>
      <c r="C1880" t="s">
        <v>8</v>
      </c>
      <c r="D1880" s="4">
        <v>160</v>
      </c>
      <c r="E1880" s="4"/>
      <c r="F1880">
        <v>179</v>
      </c>
      <c r="H1880" t="str">
        <f t="shared" si="29"/>
        <v>2024-05</v>
      </c>
      <c r="I1880" t="str">
        <f>_xlfn.XLOOKUP(Table1[[#This Row],[Customer_ID]],Customers!$A$2:$A$30,Customers!$C$2:$C$30,"Not found")</f>
        <v>Pays full</v>
      </c>
    </row>
    <row r="1881" spans="1:9">
      <c r="A1881" s="9">
        <v>45416</v>
      </c>
      <c r="B1881" t="s">
        <v>88</v>
      </c>
      <c r="C1881" t="s">
        <v>8</v>
      </c>
      <c r="D1881" s="4">
        <v>25</v>
      </c>
      <c r="E1881" s="4"/>
      <c r="F1881">
        <v>179</v>
      </c>
      <c r="H1881" t="str">
        <f t="shared" si="29"/>
        <v>2024-05</v>
      </c>
      <c r="I1881" t="str">
        <f>_xlfn.XLOOKUP(Table1[[#This Row],[Customer_ID]],Customers!$A$2:$A$30,Customers!$C$2:$C$30,"Not found")</f>
        <v>Pays full</v>
      </c>
    </row>
    <row r="1882" spans="1:9">
      <c r="A1882" s="9">
        <v>45416</v>
      </c>
      <c r="B1882" t="s">
        <v>88</v>
      </c>
      <c r="C1882" t="s">
        <v>8</v>
      </c>
      <c r="D1882" s="4">
        <v>26</v>
      </c>
      <c r="E1882" s="4"/>
      <c r="F1882">
        <v>179</v>
      </c>
      <c r="H1882" t="str">
        <f t="shared" si="29"/>
        <v>2024-05</v>
      </c>
      <c r="I1882" t="str">
        <f>_xlfn.XLOOKUP(Table1[[#This Row],[Customer_ID]],Customers!$A$2:$A$30,Customers!$C$2:$C$30,"Not found")</f>
        <v>Pays full</v>
      </c>
    </row>
    <row r="1883" spans="1:9">
      <c r="A1883" s="9">
        <v>45416</v>
      </c>
      <c r="B1883" t="s">
        <v>88</v>
      </c>
      <c r="C1883" t="s">
        <v>8</v>
      </c>
      <c r="D1883" s="4">
        <v>10</v>
      </c>
      <c r="E1883" s="4"/>
      <c r="F1883">
        <v>179</v>
      </c>
      <c r="H1883" t="str">
        <f t="shared" si="29"/>
        <v>2024-05</v>
      </c>
      <c r="I1883" t="str">
        <f>_xlfn.XLOOKUP(Table1[[#This Row],[Customer_ID]],Customers!$A$2:$A$30,Customers!$C$2:$C$30,"Not found")</f>
        <v>Pays full</v>
      </c>
    </row>
    <row r="1884" spans="1:9">
      <c r="A1884" s="9">
        <v>45417</v>
      </c>
      <c r="B1884" t="s">
        <v>88</v>
      </c>
      <c r="C1884" t="s">
        <v>8</v>
      </c>
      <c r="D1884" s="4">
        <v>195</v>
      </c>
      <c r="E1884" s="4"/>
      <c r="F1884">
        <v>179</v>
      </c>
      <c r="H1884" t="str">
        <f t="shared" si="29"/>
        <v>2024-05</v>
      </c>
      <c r="I1884" t="str">
        <f>_xlfn.XLOOKUP(Table1[[#This Row],[Customer_ID]],Customers!$A$2:$A$30,Customers!$C$2:$C$30,"Not found")</f>
        <v>Pays full</v>
      </c>
    </row>
    <row r="1885" spans="1:9">
      <c r="A1885" s="9">
        <v>45418</v>
      </c>
      <c r="B1885" t="s">
        <v>88</v>
      </c>
      <c r="C1885" t="s">
        <v>8</v>
      </c>
      <c r="D1885" s="4">
        <v>52</v>
      </c>
      <c r="E1885" s="4"/>
      <c r="F1885">
        <v>179</v>
      </c>
      <c r="H1885" t="str">
        <f t="shared" si="29"/>
        <v>2024-05</v>
      </c>
      <c r="I1885" t="str">
        <f>_xlfn.XLOOKUP(Table1[[#This Row],[Customer_ID]],Customers!$A$2:$A$30,Customers!$C$2:$C$30,"Not found")</f>
        <v>Pays full</v>
      </c>
    </row>
    <row r="1886" spans="1:9">
      <c r="A1886" s="9">
        <v>45418</v>
      </c>
      <c r="B1886" t="s">
        <v>88</v>
      </c>
      <c r="C1886" t="s">
        <v>8</v>
      </c>
      <c r="D1886" s="4">
        <v>170</v>
      </c>
      <c r="E1886" s="4"/>
      <c r="F1886">
        <v>179</v>
      </c>
      <c r="H1886" t="str">
        <f t="shared" si="29"/>
        <v>2024-05</v>
      </c>
      <c r="I1886" t="str">
        <f>_xlfn.XLOOKUP(Table1[[#This Row],[Customer_ID]],Customers!$A$2:$A$30,Customers!$C$2:$C$30,"Not found")</f>
        <v>Pays full</v>
      </c>
    </row>
    <row r="1887" spans="1:9">
      <c r="A1887" s="9">
        <v>45419</v>
      </c>
      <c r="B1887" t="s">
        <v>88</v>
      </c>
      <c r="C1887" t="s">
        <v>8</v>
      </c>
      <c r="D1887" s="4">
        <v>67</v>
      </c>
      <c r="E1887" s="4">
        <v>1673</v>
      </c>
      <c r="F1887">
        <v>179</v>
      </c>
      <c r="G1887" t="s">
        <v>339</v>
      </c>
      <c r="H1887" t="str">
        <f t="shared" si="29"/>
        <v>2024-05</v>
      </c>
      <c r="I1887" t="str">
        <f>_xlfn.XLOOKUP(Table1[[#This Row],[Customer_ID]],Customers!$A$2:$A$30,Customers!$C$2:$C$30,"Not found")</f>
        <v>Pays full</v>
      </c>
    </row>
    <row r="1888" spans="1:9">
      <c r="A1888" s="9"/>
      <c r="B1888" t="s">
        <v>88</v>
      </c>
      <c r="C1888" t="s">
        <v>14</v>
      </c>
      <c r="D1888" s="4">
        <v>1673</v>
      </c>
      <c r="E1888" s="4">
        <v>0</v>
      </c>
      <c r="F1888">
        <v>179</v>
      </c>
      <c r="G1888" t="s">
        <v>340</v>
      </c>
      <c r="H1888" t="str">
        <f t="shared" si="29"/>
        <v/>
      </c>
      <c r="I1888" t="str">
        <f>_xlfn.XLOOKUP(Table1[[#This Row],[Customer_ID]],Customers!$A$2:$A$30,Customers!$C$2:$C$30,"Not found")</f>
        <v>Pays full</v>
      </c>
    </row>
    <row r="1889" spans="1:9">
      <c r="A1889" s="9">
        <v>45460</v>
      </c>
      <c r="B1889" t="s">
        <v>88</v>
      </c>
      <c r="C1889" t="s">
        <v>8</v>
      </c>
      <c r="D1889" s="4">
        <v>1642</v>
      </c>
      <c r="E1889" s="4"/>
      <c r="F1889">
        <v>179</v>
      </c>
      <c r="G1889" t="s">
        <v>341</v>
      </c>
      <c r="H1889" t="str">
        <f t="shared" si="29"/>
        <v>2024-06</v>
      </c>
      <c r="I1889" t="str">
        <f>_xlfn.XLOOKUP(Table1[[#This Row],[Customer_ID]],Customers!$A$2:$A$30,Customers!$C$2:$C$30,"Not found")</f>
        <v>Pays full</v>
      </c>
    </row>
    <row r="1890" spans="1:9">
      <c r="A1890" s="9">
        <v>45462</v>
      </c>
      <c r="B1890" t="s">
        <v>88</v>
      </c>
      <c r="C1890" t="s">
        <v>8</v>
      </c>
      <c r="D1890" s="4">
        <v>80</v>
      </c>
      <c r="E1890" s="4"/>
      <c r="F1890">
        <v>179</v>
      </c>
      <c r="H1890" t="str">
        <f t="shared" si="29"/>
        <v>2024-06</v>
      </c>
      <c r="I1890" t="str">
        <f>_xlfn.XLOOKUP(Table1[[#This Row],[Customer_ID]],Customers!$A$2:$A$30,Customers!$C$2:$C$30,"Not found")</f>
        <v>Pays full</v>
      </c>
    </row>
    <row r="1891" spans="1:9">
      <c r="A1891" s="9">
        <v>45464</v>
      </c>
      <c r="B1891" t="s">
        <v>88</v>
      </c>
      <c r="C1891" t="s">
        <v>8</v>
      </c>
      <c r="D1891" s="4">
        <v>707</v>
      </c>
      <c r="E1891" s="4"/>
      <c r="F1891">
        <v>179</v>
      </c>
      <c r="H1891" t="str">
        <f t="shared" si="29"/>
        <v>2024-06</v>
      </c>
      <c r="I1891" t="str">
        <f>_xlfn.XLOOKUP(Table1[[#This Row],[Customer_ID]],Customers!$A$2:$A$30,Customers!$C$2:$C$30,"Not found")</f>
        <v>Pays full</v>
      </c>
    </row>
    <row r="1892" spans="1:9">
      <c r="A1892" s="9">
        <v>45464</v>
      </c>
      <c r="B1892" t="s">
        <v>88</v>
      </c>
      <c r="C1892" t="s">
        <v>8</v>
      </c>
      <c r="D1892" s="4">
        <v>20</v>
      </c>
      <c r="E1892" s="4"/>
      <c r="F1892">
        <v>179</v>
      </c>
      <c r="H1892" t="str">
        <f t="shared" si="29"/>
        <v>2024-06</v>
      </c>
      <c r="I1892" t="str">
        <f>_xlfn.XLOOKUP(Table1[[#This Row],[Customer_ID]],Customers!$A$2:$A$30,Customers!$C$2:$C$30,"Not found")</f>
        <v>Pays full</v>
      </c>
    </row>
    <row r="1893" spans="1:9">
      <c r="A1893" s="9">
        <v>45465</v>
      </c>
      <c r="B1893" t="s">
        <v>88</v>
      </c>
      <c r="C1893" t="s">
        <v>8</v>
      </c>
      <c r="D1893" s="4">
        <v>10</v>
      </c>
      <c r="E1893" s="4"/>
      <c r="F1893">
        <v>179</v>
      </c>
      <c r="H1893" t="str">
        <f t="shared" si="29"/>
        <v>2024-06</v>
      </c>
      <c r="I1893" t="str">
        <f>_xlfn.XLOOKUP(Table1[[#This Row],[Customer_ID]],Customers!$A$2:$A$30,Customers!$C$2:$C$30,"Not found")</f>
        <v>Pays full</v>
      </c>
    </row>
    <row r="1894" spans="1:9">
      <c r="A1894" s="9">
        <v>45467</v>
      </c>
      <c r="B1894" t="s">
        <v>88</v>
      </c>
      <c r="C1894" t="s">
        <v>8</v>
      </c>
      <c r="D1894" s="4">
        <v>20</v>
      </c>
      <c r="E1894" s="4"/>
      <c r="F1894">
        <v>179</v>
      </c>
      <c r="H1894" t="str">
        <f t="shared" si="29"/>
        <v>2024-06</v>
      </c>
      <c r="I1894" t="str">
        <f>_xlfn.XLOOKUP(Table1[[#This Row],[Customer_ID]],Customers!$A$2:$A$30,Customers!$C$2:$C$30,"Not found")</f>
        <v>Pays full</v>
      </c>
    </row>
    <row r="1895" spans="1:9">
      <c r="A1895" s="9">
        <v>45470</v>
      </c>
      <c r="B1895" t="s">
        <v>88</v>
      </c>
      <c r="C1895" t="s">
        <v>8</v>
      </c>
      <c r="D1895" s="4">
        <v>175</v>
      </c>
      <c r="E1895" s="4"/>
      <c r="F1895">
        <v>179</v>
      </c>
      <c r="H1895" t="str">
        <f t="shared" si="29"/>
        <v>2024-06</v>
      </c>
      <c r="I1895" t="str">
        <f>_xlfn.XLOOKUP(Table1[[#This Row],[Customer_ID]],Customers!$A$2:$A$30,Customers!$C$2:$C$30,"Not found")</f>
        <v>Pays full</v>
      </c>
    </row>
    <row r="1896" spans="1:9">
      <c r="A1896" s="9">
        <v>45470</v>
      </c>
      <c r="B1896" t="s">
        <v>88</v>
      </c>
      <c r="C1896" t="s">
        <v>8</v>
      </c>
      <c r="D1896" s="4">
        <v>132</v>
      </c>
      <c r="E1896" s="4"/>
      <c r="F1896">
        <v>179</v>
      </c>
      <c r="H1896" t="str">
        <f t="shared" si="29"/>
        <v>2024-06</v>
      </c>
      <c r="I1896" t="str">
        <f>_xlfn.XLOOKUP(Table1[[#This Row],[Customer_ID]],Customers!$A$2:$A$30,Customers!$C$2:$C$30,"Not found")</f>
        <v>Pays full</v>
      </c>
    </row>
    <row r="1897" spans="1:9">
      <c r="A1897" s="9">
        <v>45475</v>
      </c>
      <c r="B1897" t="s">
        <v>88</v>
      </c>
      <c r="C1897" t="s">
        <v>8</v>
      </c>
      <c r="D1897" s="4">
        <v>331</v>
      </c>
      <c r="E1897" s="4"/>
      <c r="F1897">
        <v>179</v>
      </c>
      <c r="H1897" t="str">
        <f t="shared" si="29"/>
        <v>2024-07</v>
      </c>
      <c r="I1897" t="str">
        <f>_xlfn.XLOOKUP(Table1[[#This Row],[Customer_ID]],Customers!$A$2:$A$30,Customers!$C$2:$C$30,"Not found")</f>
        <v>Pays full</v>
      </c>
    </row>
    <row r="1898" spans="1:9">
      <c r="A1898" s="9">
        <v>45475</v>
      </c>
      <c r="B1898" t="s">
        <v>88</v>
      </c>
      <c r="C1898" t="s">
        <v>8</v>
      </c>
      <c r="D1898" s="4">
        <v>28</v>
      </c>
      <c r="E1898" s="4"/>
      <c r="F1898">
        <v>179</v>
      </c>
      <c r="H1898" t="str">
        <f t="shared" si="29"/>
        <v>2024-07</v>
      </c>
      <c r="I1898" t="str">
        <f>_xlfn.XLOOKUP(Table1[[#This Row],[Customer_ID]],Customers!$A$2:$A$30,Customers!$C$2:$C$30,"Not found")</f>
        <v>Pays full</v>
      </c>
    </row>
    <row r="1899" spans="1:9">
      <c r="A1899" s="9">
        <v>45476</v>
      </c>
      <c r="B1899" t="s">
        <v>88</v>
      </c>
      <c r="C1899" t="s">
        <v>8</v>
      </c>
      <c r="D1899" s="4">
        <v>14</v>
      </c>
      <c r="E1899" s="4"/>
      <c r="F1899">
        <v>179</v>
      </c>
      <c r="H1899" t="str">
        <f t="shared" si="29"/>
        <v>2024-07</v>
      </c>
      <c r="I1899" t="str">
        <f>_xlfn.XLOOKUP(Table1[[#This Row],[Customer_ID]],Customers!$A$2:$A$30,Customers!$C$2:$C$30,"Not found")</f>
        <v>Pays full</v>
      </c>
    </row>
    <row r="1900" spans="1:9">
      <c r="A1900" s="9">
        <v>45478</v>
      </c>
      <c r="B1900" t="s">
        <v>88</v>
      </c>
      <c r="C1900" t="s">
        <v>8</v>
      </c>
      <c r="D1900" s="4">
        <v>172</v>
      </c>
      <c r="E1900" s="4"/>
      <c r="F1900">
        <v>179</v>
      </c>
      <c r="H1900" t="str">
        <f t="shared" si="29"/>
        <v>2024-07</v>
      </c>
      <c r="I1900" t="str">
        <f>_xlfn.XLOOKUP(Table1[[#This Row],[Customer_ID]],Customers!$A$2:$A$30,Customers!$C$2:$C$30,"Not found")</f>
        <v>Pays full</v>
      </c>
    </row>
    <row r="1901" spans="1:9">
      <c r="A1901" s="9">
        <v>45479</v>
      </c>
      <c r="B1901" t="s">
        <v>88</v>
      </c>
      <c r="C1901" t="s">
        <v>8</v>
      </c>
      <c r="D1901" s="4">
        <v>678</v>
      </c>
      <c r="E1901" s="4"/>
      <c r="F1901">
        <v>179</v>
      </c>
      <c r="H1901" t="str">
        <f t="shared" si="29"/>
        <v>2024-07</v>
      </c>
      <c r="I1901" t="str">
        <f>_xlfn.XLOOKUP(Table1[[#This Row],[Customer_ID]],Customers!$A$2:$A$30,Customers!$C$2:$C$30,"Not found")</f>
        <v>Pays full</v>
      </c>
    </row>
    <row r="1902" spans="1:9">
      <c r="A1902" s="9">
        <v>45475</v>
      </c>
      <c r="B1902" t="s">
        <v>88</v>
      </c>
      <c r="C1902" t="s">
        <v>8</v>
      </c>
      <c r="D1902" s="4">
        <v>76</v>
      </c>
      <c r="E1902" s="4"/>
      <c r="F1902">
        <v>179</v>
      </c>
      <c r="G1902" t="s">
        <v>302</v>
      </c>
      <c r="H1902" t="str">
        <f t="shared" si="29"/>
        <v>2024-07</v>
      </c>
      <c r="I1902" t="str">
        <f>_xlfn.XLOOKUP(Table1[[#This Row],[Customer_ID]],Customers!$A$2:$A$30,Customers!$C$2:$C$30,"Not found")</f>
        <v>Pays full</v>
      </c>
    </row>
    <row r="1903" spans="1:9">
      <c r="A1903" s="9">
        <v>45481</v>
      </c>
      <c r="B1903" t="s">
        <v>88</v>
      </c>
      <c r="C1903" t="s">
        <v>8</v>
      </c>
      <c r="D1903" s="4">
        <v>104</v>
      </c>
      <c r="E1903" s="4"/>
      <c r="F1903">
        <v>179</v>
      </c>
      <c r="H1903" t="str">
        <f t="shared" si="29"/>
        <v>2024-07</v>
      </c>
      <c r="I1903" t="str">
        <f>_xlfn.XLOOKUP(Table1[[#This Row],[Customer_ID]],Customers!$A$2:$A$30,Customers!$C$2:$C$30,"Not found")</f>
        <v>Pays full</v>
      </c>
    </row>
    <row r="1904" spans="1:9">
      <c r="A1904" s="10">
        <v>45481</v>
      </c>
      <c r="B1904" s="7" t="s">
        <v>88</v>
      </c>
      <c r="C1904" s="7" t="s">
        <v>22</v>
      </c>
      <c r="D1904" s="8">
        <v>-126</v>
      </c>
      <c r="E1904" s="8">
        <v>4063</v>
      </c>
      <c r="F1904" s="7">
        <v>179</v>
      </c>
      <c r="G1904" s="7" t="s">
        <v>342</v>
      </c>
      <c r="H1904" t="str">
        <f t="shared" si="29"/>
        <v>2024-07</v>
      </c>
      <c r="I1904" t="str">
        <f>_xlfn.XLOOKUP(Table1[[#This Row],[Customer_ID]],Customers!$A$2:$A$30,Customers!$C$2:$C$30,"Not found")</f>
        <v>Pays full</v>
      </c>
    </row>
    <row r="1905" spans="1:9">
      <c r="A1905" s="9">
        <v>45482</v>
      </c>
      <c r="B1905" t="s">
        <v>88</v>
      </c>
      <c r="C1905" t="s">
        <v>8</v>
      </c>
      <c r="D1905" s="4">
        <v>36</v>
      </c>
      <c r="E1905" s="4"/>
      <c r="F1905">
        <v>179</v>
      </c>
      <c r="H1905" t="str">
        <f t="shared" si="29"/>
        <v>2024-07</v>
      </c>
      <c r="I1905" t="str">
        <f>_xlfn.XLOOKUP(Table1[[#This Row],[Customer_ID]],Customers!$A$2:$A$30,Customers!$C$2:$C$30,"Not found")</f>
        <v>Pays full</v>
      </c>
    </row>
    <row r="1906" spans="1:9">
      <c r="A1906" s="9">
        <v>45482</v>
      </c>
      <c r="B1906" t="s">
        <v>88</v>
      </c>
      <c r="C1906" t="s">
        <v>8</v>
      </c>
      <c r="D1906" s="4">
        <v>10</v>
      </c>
      <c r="E1906" s="4">
        <v>4109</v>
      </c>
      <c r="F1906">
        <v>179</v>
      </c>
      <c r="G1906" t="s">
        <v>343</v>
      </c>
      <c r="H1906" t="str">
        <f t="shared" si="29"/>
        <v>2024-07</v>
      </c>
      <c r="I1906" t="str">
        <f>_xlfn.XLOOKUP(Table1[[#This Row],[Customer_ID]],Customers!$A$2:$A$30,Customers!$C$2:$C$30,"Not found")</f>
        <v>Pays full</v>
      </c>
    </row>
    <row r="1907" spans="1:9">
      <c r="A1907" s="9">
        <v>44810</v>
      </c>
      <c r="B1907" t="s">
        <v>89</v>
      </c>
      <c r="C1907" t="s">
        <v>28</v>
      </c>
      <c r="D1907" s="4">
        <v>1445</v>
      </c>
      <c r="E1907" s="4">
        <v>1445</v>
      </c>
      <c r="F1907">
        <v>228</v>
      </c>
      <c r="G1907" t="s">
        <v>344</v>
      </c>
      <c r="H1907" t="str">
        <f t="shared" si="29"/>
        <v>2022-09</v>
      </c>
      <c r="I1907" t="str">
        <f>_xlfn.XLOOKUP(Table1[[#This Row],[Customer_ID]],Customers!$A$2:$A$30,Customers!$C$2:$C$30,"Not found")</f>
        <v>Mixed</v>
      </c>
    </row>
    <row r="1908" spans="1:9">
      <c r="A1908" s="9">
        <v>44810</v>
      </c>
      <c r="B1908" t="s">
        <v>89</v>
      </c>
      <c r="C1908" t="s">
        <v>8</v>
      </c>
      <c r="D1908" s="4">
        <v>107</v>
      </c>
      <c r="E1908" s="4"/>
      <c r="F1908">
        <v>228</v>
      </c>
      <c r="H1908" t="str">
        <f t="shared" si="29"/>
        <v>2022-09</v>
      </c>
      <c r="I1908" t="str">
        <f>_xlfn.XLOOKUP(Table1[[#This Row],[Customer_ID]],Customers!$A$2:$A$30,Customers!$C$2:$C$30,"Not found")</f>
        <v>Mixed</v>
      </c>
    </row>
    <row r="1909" spans="1:9">
      <c r="A1909" s="9">
        <v>44810</v>
      </c>
      <c r="B1909" t="s">
        <v>89</v>
      </c>
      <c r="C1909" t="s">
        <v>8</v>
      </c>
      <c r="D1909" s="4">
        <v>10</v>
      </c>
      <c r="E1909" s="4"/>
      <c r="F1909">
        <v>228</v>
      </c>
      <c r="H1909" t="str">
        <f t="shared" si="29"/>
        <v>2022-09</v>
      </c>
      <c r="I1909" t="str">
        <f>_xlfn.XLOOKUP(Table1[[#This Row],[Customer_ID]],Customers!$A$2:$A$30,Customers!$C$2:$C$30,"Not found")</f>
        <v>Mixed</v>
      </c>
    </row>
    <row r="1910" spans="1:9">
      <c r="A1910" s="9">
        <v>44812</v>
      </c>
      <c r="B1910" t="s">
        <v>89</v>
      </c>
      <c r="C1910" t="s">
        <v>8</v>
      </c>
      <c r="D1910" s="4">
        <v>120</v>
      </c>
      <c r="E1910" s="4"/>
      <c r="F1910">
        <v>228</v>
      </c>
      <c r="H1910" t="str">
        <f t="shared" si="29"/>
        <v>2022-09</v>
      </c>
      <c r="I1910" t="str">
        <f>_xlfn.XLOOKUP(Table1[[#This Row],[Customer_ID]],Customers!$A$2:$A$30,Customers!$C$2:$C$30,"Not found")</f>
        <v>Mixed</v>
      </c>
    </row>
    <row r="1911" spans="1:9">
      <c r="A1911" s="9">
        <v>44814</v>
      </c>
      <c r="B1911" t="s">
        <v>89</v>
      </c>
      <c r="C1911" t="s">
        <v>8</v>
      </c>
      <c r="D1911" s="4">
        <v>20</v>
      </c>
      <c r="E1911" s="4"/>
      <c r="F1911">
        <v>228</v>
      </c>
      <c r="H1911" t="str">
        <f t="shared" si="29"/>
        <v>2022-09</v>
      </c>
      <c r="I1911" t="str">
        <f>_xlfn.XLOOKUP(Table1[[#This Row],[Customer_ID]],Customers!$A$2:$A$30,Customers!$C$2:$C$30,"Not found")</f>
        <v>Mixed</v>
      </c>
    </row>
    <row r="1912" spans="1:9">
      <c r="A1912" s="9">
        <v>44815</v>
      </c>
      <c r="B1912" t="s">
        <v>89</v>
      </c>
      <c r="C1912" t="s">
        <v>8</v>
      </c>
      <c r="D1912" s="4">
        <v>10</v>
      </c>
      <c r="E1912" s="4">
        <v>1712</v>
      </c>
      <c r="F1912">
        <v>228</v>
      </c>
      <c r="G1912" t="s">
        <v>345</v>
      </c>
      <c r="H1912" t="str">
        <f t="shared" si="29"/>
        <v>2022-09</v>
      </c>
      <c r="I1912" t="str">
        <f>_xlfn.XLOOKUP(Table1[[#This Row],[Customer_ID]],Customers!$A$2:$A$30,Customers!$C$2:$C$30,"Not found")</f>
        <v>Mixed</v>
      </c>
    </row>
    <row r="1913" spans="1:9">
      <c r="A1913" s="9">
        <v>44817</v>
      </c>
      <c r="B1913" t="s">
        <v>89</v>
      </c>
      <c r="C1913" t="s">
        <v>14</v>
      </c>
      <c r="D1913" s="4">
        <v>800</v>
      </c>
      <c r="E1913" s="4">
        <v>912</v>
      </c>
      <c r="F1913">
        <v>228</v>
      </c>
      <c r="G1913" t="s">
        <v>346</v>
      </c>
      <c r="H1913" t="str">
        <f t="shared" si="29"/>
        <v>2022-09</v>
      </c>
      <c r="I1913" t="str">
        <f>_xlfn.XLOOKUP(Table1[[#This Row],[Customer_ID]],Customers!$A$2:$A$30,Customers!$C$2:$C$30,"Not found")</f>
        <v>Mixed</v>
      </c>
    </row>
    <row r="1914" spans="1:9">
      <c r="A1914" s="9">
        <v>44817</v>
      </c>
      <c r="B1914" t="s">
        <v>89</v>
      </c>
      <c r="C1914" t="s">
        <v>8</v>
      </c>
      <c r="D1914" s="4">
        <v>180</v>
      </c>
      <c r="E1914" s="4"/>
      <c r="F1914">
        <v>228</v>
      </c>
      <c r="H1914" t="str">
        <f t="shared" si="29"/>
        <v>2022-09</v>
      </c>
      <c r="I1914" t="str">
        <f>_xlfn.XLOOKUP(Table1[[#This Row],[Customer_ID]],Customers!$A$2:$A$30,Customers!$C$2:$C$30,"Not found")</f>
        <v>Mixed</v>
      </c>
    </row>
    <row r="1915" spans="1:9">
      <c r="A1915" s="9">
        <v>44817</v>
      </c>
      <c r="B1915" t="s">
        <v>89</v>
      </c>
      <c r="C1915" t="s">
        <v>8</v>
      </c>
      <c r="D1915" s="4">
        <v>10</v>
      </c>
      <c r="E1915" s="4"/>
      <c r="F1915">
        <v>228</v>
      </c>
      <c r="G1915" t="s">
        <v>347</v>
      </c>
      <c r="H1915" t="str">
        <f t="shared" si="29"/>
        <v>2022-09</v>
      </c>
      <c r="I1915" t="str">
        <f>_xlfn.XLOOKUP(Table1[[#This Row],[Customer_ID]],Customers!$A$2:$A$30,Customers!$C$2:$C$30,"Not found")</f>
        <v>Mixed</v>
      </c>
    </row>
    <row r="1916" spans="1:9">
      <c r="A1916" s="9">
        <v>44820</v>
      </c>
      <c r="B1916" t="s">
        <v>89</v>
      </c>
      <c r="C1916" t="s">
        <v>8</v>
      </c>
      <c r="D1916" s="4">
        <v>120</v>
      </c>
      <c r="E1916" s="4"/>
      <c r="F1916">
        <v>228</v>
      </c>
      <c r="H1916" t="str">
        <f t="shared" si="29"/>
        <v>2022-09</v>
      </c>
      <c r="I1916" t="str">
        <f>_xlfn.XLOOKUP(Table1[[#This Row],[Customer_ID]],Customers!$A$2:$A$30,Customers!$C$2:$C$30,"Not found")</f>
        <v>Mixed</v>
      </c>
    </row>
    <row r="1917" spans="1:9">
      <c r="A1917" s="9">
        <v>44820</v>
      </c>
      <c r="B1917" t="s">
        <v>89</v>
      </c>
      <c r="C1917" t="s">
        <v>8</v>
      </c>
      <c r="D1917" s="4">
        <v>10</v>
      </c>
      <c r="E1917" s="4"/>
      <c r="F1917">
        <v>228</v>
      </c>
      <c r="H1917" t="str">
        <f t="shared" si="29"/>
        <v>2022-09</v>
      </c>
      <c r="I1917" t="str">
        <f>_xlfn.XLOOKUP(Table1[[#This Row],[Customer_ID]],Customers!$A$2:$A$30,Customers!$C$2:$C$30,"Not found")</f>
        <v>Mixed</v>
      </c>
    </row>
    <row r="1918" spans="1:9">
      <c r="A1918" s="9">
        <v>44825</v>
      </c>
      <c r="B1918" t="s">
        <v>89</v>
      </c>
      <c r="C1918" t="s">
        <v>8</v>
      </c>
      <c r="D1918" s="4">
        <v>35</v>
      </c>
      <c r="E1918" s="4"/>
      <c r="F1918">
        <v>228</v>
      </c>
      <c r="H1918" t="str">
        <f t="shared" si="29"/>
        <v>2022-09</v>
      </c>
      <c r="I1918" t="str">
        <f>_xlfn.XLOOKUP(Table1[[#This Row],[Customer_ID]],Customers!$A$2:$A$30,Customers!$C$2:$C$30,"Not found")</f>
        <v>Mixed</v>
      </c>
    </row>
    <row r="1919" spans="1:9">
      <c r="A1919" s="9">
        <v>44821</v>
      </c>
      <c r="B1919" t="s">
        <v>89</v>
      </c>
      <c r="C1919" t="s">
        <v>8</v>
      </c>
      <c r="D1919" s="4">
        <v>20</v>
      </c>
      <c r="E1919" s="4"/>
      <c r="F1919">
        <v>228</v>
      </c>
      <c r="H1919" t="str">
        <f t="shared" ref="H1919:H1982" si="30">IF(A1919="","",TEXT(A1919,"yyyy-mm"))</f>
        <v>2022-09</v>
      </c>
      <c r="I1919" t="str">
        <f>_xlfn.XLOOKUP(Table1[[#This Row],[Customer_ID]],Customers!$A$2:$A$30,Customers!$C$2:$C$30,"Not found")</f>
        <v>Mixed</v>
      </c>
    </row>
    <row r="1920" spans="1:9">
      <c r="A1920" s="9">
        <v>44828</v>
      </c>
      <c r="B1920" t="s">
        <v>89</v>
      </c>
      <c r="C1920" t="s">
        <v>8</v>
      </c>
      <c r="D1920" s="4">
        <v>168</v>
      </c>
      <c r="E1920" s="4"/>
      <c r="F1920">
        <v>228</v>
      </c>
      <c r="H1920" t="str">
        <f t="shared" si="30"/>
        <v>2022-09</v>
      </c>
      <c r="I1920" t="str">
        <f>_xlfn.XLOOKUP(Table1[[#This Row],[Customer_ID]],Customers!$A$2:$A$30,Customers!$C$2:$C$30,"Not found")</f>
        <v>Mixed</v>
      </c>
    </row>
    <row r="1921" spans="1:9">
      <c r="A1921" s="9">
        <v>44829</v>
      </c>
      <c r="B1921" t="s">
        <v>89</v>
      </c>
      <c r="C1921" t="s">
        <v>8</v>
      </c>
      <c r="D1921" s="4">
        <v>30</v>
      </c>
      <c r="E1921" s="4"/>
      <c r="F1921">
        <v>228</v>
      </c>
      <c r="H1921" t="str">
        <f t="shared" si="30"/>
        <v>2022-09</v>
      </c>
      <c r="I1921" t="str">
        <f>_xlfn.XLOOKUP(Table1[[#This Row],[Customer_ID]],Customers!$A$2:$A$30,Customers!$C$2:$C$30,"Not found")</f>
        <v>Mixed</v>
      </c>
    </row>
    <row r="1922" spans="1:9">
      <c r="A1922" s="9">
        <v>44830</v>
      </c>
      <c r="B1922" t="s">
        <v>89</v>
      </c>
      <c r="C1922" t="s">
        <v>8</v>
      </c>
      <c r="D1922" s="4">
        <v>153</v>
      </c>
      <c r="E1922" s="4"/>
      <c r="F1922">
        <v>228</v>
      </c>
      <c r="H1922" t="str">
        <f t="shared" si="30"/>
        <v>2022-09</v>
      </c>
      <c r="I1922" t="str">
        <f>_xlfn.XLOOKUP(Table1[[#This Row],[Customer_ID]],Customers!$A$2:$A$30,Customers!$C$2:$C$30,"Not found")</f>
        <v>Mixed</v>
      </c>
    </row>
    <row r="1923" spans="1:9">
      <c r="A1923" s="9">
        <v>44834</v>
      </c>
      <c r="B1923" t="s">
        <v>89</v>
      </c>
      <c r="C1923" t="s">
        <v>8</v>
      </c>
      <c r="D1923" s="4">
        <v>186</v>
      </c>
      <c r="E1923" s="4"/>
      <c r="F1923">
        <v>228</v>
      </c>
      <c r="H1923" t="str">
        <f t="shared" si="30"/>
        <v>2022-09</v>
      </c>
      <c r="I1923" t="str">
        <f>_xlfn.XLOOKUP(Table1[[#This Row],[Customer_ID]],Customers!$A$2:$A$30,Customers!$C$2:$C$30,"Not found")</f>
        <v>Mixed</v>
      </c>
    </row>
    <row r="1924" spans="1:9">
      <c r="A1924" s="9">
        <v>44834</v>
      </c>
      <c r="B1924" t="s">
        <v>89</v>
      </c>
      <c r="C1924" t="s">
        <v>22</v>
      </c>
      <c r="D1924" s="4">
        <v>18</v>
      </c>
      <c r="E1924" s="4">
        <v>1842</v>
      </c>
      <c r="F1924">
        <v>228</v>
      </c>
      <c r="G1924" t="s">
        <v>348</v>
      </c>
      <c r="H1924" t="str">
        <f t="shared" si="30"/>
        <v>2022-09</v>
      </c>
      <c r="I1924" t="str">
        <f>_xlfn.XLOOKUP(Table1[[#This Row],[Customer_ID]],Customers!$A$2:$A$30,Customers!$C$2:$C$30,"Not found")</f>
        <v>Mixed</v>
      </c>
    </row>
    <row r="1925" spans="1:9">
      <c r="A1925" s="9"/>
      <c r="B1925" t="s">
        <v>89</v>
      </c>
      <c r="C1925" t="s">
        <v>14</v>
      </c>
      <c r="D1925" s="4">
        <v>1000</v>
      </c>
      <c r="E1925" s="4">
        <v>842</v>
      </c>
      <c r="F1925">
        <v>228</v>
      </c>
      <c r="G1925" t="s">
        <v>349</v>
      </c>
      <c r="H1925" t="str">
        <f t="shared" si="30"/>
        <v/>
      </c>
      <c r="I1925" t="str">
        <f>_xlfn.XLOOKUP(Table1[[#This Row],[Customer_ID]],Customers!$A$2:$A$30,Customers!$C$2:$C$30,"Not found")</f>
        <v>Mixed</v>
      </c>
    </row>
    <row r="1926" spans="1:9">
      <c r="A1926" s="9"/>
      <c r="B1926" t="s">
        <v>89</v>
      </c>
      <c r="C1926" t="s">
        <v>22</v>
      </c>
      <c r="D1926" s="4">
        <v>-4</v>
      </c>
      <c r="E1926" s="4">
        <v>838</v>
      </c>
      <c r="F1926">
        <v>228</v>
      </c>
      <c r="G1926" t="s">
        <v>350</v>
      </c>
      <c r="H1926" t="str">
        <f t="shared" si="30"/>
        <v/>
      </c>
      <c r="I1926" t="str">
        <f>_xlfn.XLOOKUP(Table1[[#This Row],[Customer_ID]],Customers!$A$2:$A$30,Customers!$C$2:$C$30,"Not found")</f>
        <v>Mixed</v>
      </c>
    </row>
    <row r="1927" spans="1:9">
      <c r="A1927" s="9">
        <v>44835</v>
      </c>
      <c r="B1927" t="s">
        <v>89</v>
      </c>
      <c r="C1927" t="s">
        <v>8</v>
      </c>
      <c r="D1927" s="4">
        <v>165</v>
      </c>
      <c r="E1927" s="4"/>
      <c r="F1927">
        <v>228</v>
      </c>
      <c r="H1927" t="str">
        <f t="shared" si="30"/>
        <v>2022-10</v>
      </c>
      <c r="I1927" t="str">
        <f>_xlfn.XLOOKUP(Table1[[#This Row],[Customer_ID]],Customers!$A$2:$A$30,Customers!$C$2:$C$30,"Not found")</f>
        <v>Mixed</v>
      </c>
    </row>
    <row r="1928" spans="1:9">
      <c r="A1928" s="9">
        <v>44837</v>
      </c>
      <c r="B1928" t="s">
        <v>89</v>
      </c>
      <c r="C1928" t="s">
        <v>8</v>
      </c>
      <c r="D1928" s="4">
        <v>58</v>
      </c>
      <c r="E1928" s="4"/>
      <c r="F1928">
        <v>228</v>
      </c>
      <c r="H1928" t="str">
        <f t="shared" si="30"/>
        <v>2022-10</v>
      </c>
      <c r="I1928" t="str">
        <f>_xlfn.XLOOKUP(Table1[[#This Row],[Customer_ID]],Customers!$A$2:$A$30,Customers!$C$2:$C$30,"Not found")</f>
        <v>Mixed</v>
      </c>
    </row>
    <row r="1929" spans="1:9">
      <c r="A1929" s="9">
        <v>44838</v>
      </c>
      <c r="B1929" t="s">
        <v>89</v>
      </c>
      <c r="C1929" t="s">
        <v>8</v>
      </c>
      <c r="D1929" s="4">
        <v>100</v>
      </c>
      <c r="E1929" s="4"/>
      <c r="F1929">
        <v>228</v>
      </c>
      <c r="H1929" t="str">
        <f t="shared" si="30"/>
        <v>2022-10</v>
      </c>
      <c r="I1929" t="str">
        <f>_xlfn.XLOOKUP(Table1[[#This Row],[Customer_ID]],Customers!$A$2:$A$30,Customers!$C$2:$C$30,"Not found")</f>
        <v>Mixed</v>
      </c>
    </row>
    <row r="1930" spans="1:9">
      <c r="A1930" s="9">
        <v>44839</v>
      </c>
      <c r="B1930" t="s">
        <v>89</v>
      </c>
      <c r="C1930" t="s">
        <v>8</v>
      </c>
      <c r="D1930" s="4">
        <v>250</v>
      </c>
      <c r="E1930" s="4"/>
      <c r="F1930">
        <v>228</v>
      </c>
      <c r="H1930" t="str">
        <f t="shared" si="30"/>
        <v>2022-10</v>
      </c>
      <c r="I1930" t="str">
        <f>_xlfn.XLOOKUP(Table1[[#This Row],[Customer_ID]],Customers!$A$2:$A$30,Customers!$C$2:$C$30,"Not found")</f>
        <v>Mixed</v>
      </c>
    </row>
    <row r="1931" spans="1:9">
      <c r="A1931" s="9">
        <v>44840</v>
      </c>
      <c r="B1931" t="s">
        <v>89</v>
      </c>
      <c r="C1931" t="s">
        <v>8</v>
      </c>
      <c r="D1931" s="4">
        <v>112</v>
      </c>
      <c r="E1931" s="4"/>
      <c r="F1931">
        <v>228</v>
      </c>
      <c r="H1931" t="str">
        <f t="shared" si="30"/>
        <v>2022-10</v>
      </c>
      <c r="I1931" t="str">
        <f>_xlfn.XLOOKUP(Table1[[#This Row],[Customer_ID]],Customers!$A$2:$A$30,Customers!$C$2:$C$30,"Not found")</f>
        <v>Mixed</v>
      </c>
    </row>
    <row r="1932" spans="1:9">
      <c r="A1932" s="9">
        <v>44843</v>
      </c>
      <c r="B1932" t="s">
        <v>89</v>
      </c>
      <c r="C1932" t="s">
        <v>8</v>
      </c>
      <c r="D1932" s="4">
        <v>76</v>
      </c>
      <c r="E1932" s="4">
        <v>1599</v>
      </c>
      <c r="F1932">
        <v>228</v>
      </c>
      <c r="G1932" t="s">
        <v>351</v>
      </c>
      <c r="H1932" t="str">
        <f t="shared" si="30"/>
        <v>2022-10</v>
      </c>
      <c r="I1932" t="str">
        <f>_xlfn.XLOOKUP(Table1[[#This Row],[Customer_ID]],Customers!$A$2:$A$30,Customers!$C$2:$C$30,"Not found")</f>
        <v>Mixed</v>
      </c>
    </row>
    <row r="1933" spans="1:9">
      <c r="A1933" s="10"/>
      <c r="B1933" s="7" t="s">
        <v>89</v>
      </c>
      <c r="C1933" s="7" t="s">
        <v>14</v>
      </c>
      <c r="D1933" s="8">
        <v>1599</v>
      </c>
      <c r="E1933" s="8">
        <v>0</v>
      </c>
      <c r="F1933" s="7">
        <v>228</v>
      </c>
      <c r="G1933" s="7" t="s">
        <v>352</v>
      </c>
      <c r="H1933" t="str">
        <f t="shared" si="30"/>
        <v/>
      </c>
      <c r="I1933" t="str">
        <f>_xlfn.XLOOKUP(Table1[[#This Row],[Customer_ID]],Customers!$A$2:$A$30,Customers!$C$2:$C$30,"Not found")</f>
        <v>Mixed</v>
      </c>
    </row>
    <row r="1934" spans="1:9">
      <c r="A1934" s="9">
        <v>44845</v>
      </c>
      <c r="B1934" t="s">
        <v>89</v>
      </c>
      <c r="C1934" t="s">
        <v>8</v>
      </c>
      <c r="D1934" s="4">
        <v>1170</v>
      </c>
      <c r="E1934" s="4"/>
      <c r="F1934">
        <v>228</v>
      </c>
      <c r="H1934" t="str">
        <f t="shared" si="30"/>
        <v>2022-10</v>
      </c>
      <c r="I1934" t="str">
        <f>_xlfn.XLOOKUP(Table1[[#This Row],[Customer_ID]],Customers!$A$2:$A$30,Customers!$C$2:$C$30,"Not found")</f>
        <v>Mixed</v>
      </c>
    </row>
    <row r="1935" spans="1:9">
      <c r="A1935" s="9">
        <v>44847</v>
      </c>
      <c r="B1935" t="s">
        <v>89</v>
      </c>
      <c r="C1935" t="s">
        <v>8</v>
      </c>
      <c r="D1935" s="4">
        <v>30</v>
      </c>
      <c r="E1935" s="4"/>
      <c r="F1935">
        <v>228</v>
      </c>
      <c r="H1935" t="str">
        <f t="shared" si="30"/>
        <v>2022-10</v>
      </c>
      <c r="I1935" t="str">
        <f>_xlfn.XLOOKUP(Table1[[#This Row],[Customer_ID]],Customers!$A$2:$A$30,Customers!$C$2:$C$30,"Not found")</f>
        <v>Mixed</v>
      </c>
    </row>
    <row r="1936" spans="1:9">
      <c r="A1936" s="9">
        <v>44850</v>
      </c>
      <c r="B1936" t="s">
        <v>89</v>
      </c>
      <c r="C1936" t="s">
        <v>8</v>
      </c>
      <c r="D1936" s="4">
        <v>444</v>
      </c>
      <c r="E1936" s="4"/>
      <c r="F1936">
        <v>228</v>
      </c>
      <c r="H1936" t="str">
        <f t="shared" si="30"/>
        <v>2022-10</v>
      </c>
      <c r="I1936" t="str">
        <f>_xlfn.XLOOKUP(Table1[[#This Row],[Customer_ID]],Customers!$A$2:$A$30,Customers!$C$2:$C$30,"Not found")</f>
        <v>Mixed</v>
      </c>
    </row>
    <row r="1937" spans="1:9">
      <c r="A1937" s="9">
        <v>44855</v>
      </c>
      <c r="B1937" t="s">
        <v>89</v>
      </c>
      <c r="C1937" t="s">
        <v>8</v>
      </c>
      <c r="D1937" s="4">
        <v>107</v>
      </c>
      <c r="E1937" s="4"/>
      <c r="F1937">
        <v>228</v>
      </c>
      <c r="H1937" t="str">
        <f t="shared" si="30"/>
        <v>2022-10</v>
      </c>
      <c r="I1937" t="str">
        <f>_xlfn.XLOOKUP(Table1[[#This Row],[Customer_ID]],Customers!$A$2:$A$30,Customers!$C$2:$C$30,"Not found")</f>
        <v>Mixed</v>
      </c>
    </row>
    <row r="1938" spans="1:9">
      <c r="A1938" s="9">
        <v>44857</v>
      </c>
      <c r="B1938" t="s">
        <v>89</v>
      </c>
      <c r="C1938" t="s">
        <v>8</v>
      </c>
      <c r="D1938" s="4">
        <v>309</v>
      </c>
      <c r="E1938" s="4"/>
      <c r="F1938">
        <v>228</v>
      </c>
      <c r="H1938" t="str">
        <f t="shared" si="30"/>
        <v>2022-10</v>
      </c>
      <c r="I1938" t="str">
        <f>_xlfn.XLOOKUP(Table1[[#This Row],[Customer_ID]],Customers!$A$2:$A$30,Customers!$C$2:$C$30,"Not found")</f>
        <v>Mixed</v>
      </c>
    </row>
    <row r="1939" spans="1:9">
      <c r="A1939" s="9">
        <v>44861</v>
      </c>
      <c r="B1939" t="s">
        <v>89</v>
      </c>
      <c r="C1939" t="s">
        <v>8</v>
      </c>
      <c r="D1939" s="4">
        <v>103</v>
      </c>
      <c r="E1939" s="4"/>
      <c r="F1939">
        <v>228</v>
      </c>
      <c r="H1939" t="str">
        <f t="shared" si="30"/>
        <v>2022-10</v>
      </c>
      <c r="I1939" t="str">
        <f>_xlfn.XLOOKUP(Table1[[#This Row],[Customer_ID]],Customers!$A$2:$A$30,Customers!$C$2:$C$30,"Not found")</f>
        <v>Mixed</v>
      </c>
    </row>
    <row r="1940" spans="1:9">
      <c r="A1940" s="9">
        <v>44861</v>
      </c>
      <c r="B1940" t="s">
        <v>89</v>
      </c>
      <c r="C1940" t="s">
        <v>8</v>
      </c>
      <c r="D1940" s="4">
        <v>70</v>
      </c>
      <c r="E1940" s="4"/>
      <c r="F1940">
        <v>228</v>
      </c>
      <c r="G1940" t="s">
        <v>353</v>
      </c>
      <c r="H1940" t="str">
        <f t="shared" si="30"/>
        <v>2022-10</v>
      </c>
      <c r="I1940" t="str">
        <f>_xlfn.XLOOKUP(Table1[[#This Row],[Customer_ID]],Customers!$A$2:$A$30,Customers!$C$2:$C$30,"Not found")</f>
        <v>Mixed</v>
      </c>
    </row>
    <row r="1941" spans="1:9">
      <c r="A1941" s="9">
        <v>44864</v>
      </c>
      <c r="B1941" t="s">
        <v>89</v>
      </c>
      <c r="C1941" t="s">
        <v>8</v>
      </c>
      <c r="D1941" s="4">
        <v>120</v>
      </c>
      <c r="E1941" s="4">
        <v>2353</v>
      </c>
      <c r="F1941">
        <v>228</v>
      </c>
      <c r="G1941" t="s">
        <v>354</v>
      </c>
      <c r="H1941" t="str">
        <f t="shared" si="30"/>
        <v>2022-10</v>
      </c>
      <c r="I1941" t="str">
        <f>_xlfn.XLOOKUP(Table1[[#This Row],[Customer_ID]],Customers!$A$2:$A$30,Customers!$C$2:$C$30,"Not found")</f>
        <v>Mixed</v>
      </c>
    </row>
    <row r="1942" spans="1:9">
      <c r="A1942" s="9"/>
      <c r="B1942" t="s">
        <v>89</v>
      </c>
      <c r="C1942" t="s">
        <v>14</v>
      </c>
      <c r="D1942" s="4">
        <v>2353</v>
      </c>
      <c r="E1942" s="4">
        <v>0</v>
      </c>
      <c r="F1942">
        <v>228</v>
      </c>
      <c r="G1942" t="s">
        <v>355</v>
      </c>
      <c r="H1942" t="str">
        <f t="shared" si="30"/>
        <v/>
      </c>
      <c r="I1942" t="str">
        <f>_xlfn.XLOOKUP(Table1[[#This Row],[Customer_ID]],Customers!$A$2:$A$30,Customers!$C$2:$C$30,"Not found")</f>
        <v>Mixed</v>
      </c>
    </row>
    <row r="1943" spans="1:9">
      <c r="A1943" s="9">
        <v>44866</v>
      </c>
      <c r="B1943" t="s">
        <v>89</v>
      </c>
      <c r="C1943" t="s">
        <v>8</v>
      </c>
      <c r="D1943" s="4">
        <v>1810</v>
      </c>
      <c r="E1943" s="4"/>
      <c r="F1943">
        <v>228</v>
      </c>
      <c r="H1943" t="str">
        <f t="shared" si="30"/>
        <v>2022-11</v>
      </c>
      <c r="I1943" t="str">
        <f>_xlfn.XLOOKUP(Table1[[#This Row],[Customer_ID]],Customers!$A$2:$A$30,Customers!$C$2:$C$30,"Not found")</f>
        <v>Mixed</v>
      </c>
    </row>
    <row r="1944" spans="1:9">
      <c r="A1944" s="9">
        <v>44868</v>
      </c>
      <c r="B1944" t="s">
        <v>89</v>
      </c>
      <c r="C1944" t="s">
        <v>8</v>
      </c>
      <c r="D1944" s="4">
        <v>209</v>
      </c>
      <c r="E1944" s="4"/>
      <c r="F1944">
        <v>228</v>
      </c>
      <c r="H1944" t="str">
        <f t="shared" si="30"/>
        <v>2022-11</v>
      </c>
      <c r="I1944" t="str">
        <f>_xlfn.XLOOKUP(Table1[[#This Row],[Customer_ID]],Customers!$A$2:$A$30,Customers!$C$2:$C$30,"Not found")</f>
        <v>Mixed</v>
      </c>
    </row>
    <row r="1945" spans="1:9">
      <c r="A1945" s="9">
        <v>44877</v>
      </c>
      <c r="B1945" t="s">
        <v>89</v>
      </c>
      <c r="C1945" t="s">
        <v>8</v>
      </c>
      <c r="D1945" s="4">
        <v>73</v>
      </c>
      <c r="E1945" s="4"/>
      <c r="F1945">
        <v>228</v>
      </c>
      <c r="H1945" t="str">
        <f t="shared" si="30"/>
        <v>2022-11</v>
      </c>
      <c r="I1945" t="str">
        <f>_xlfn.XLOOKUP(Table1[[#This Row],[Customer_ID]],Customers!$A$2:$A$30,Customers!$C$2:$C$30,"Not found")</f>
        <v>Mixed</v>
      </c>
    </row>
    <row r="1946" spans="1:9">
      <c r="A1946" s="9">
        <v>44879</v>
      </c>
      <c r="B1946" t="s">
        <v>89</v>
      </c>
      <c r="C1946" t="s">
        <v>8</v>
      </c>
      <c r="D1946" s="4">
        <v>273</v>
      </c>
      <c r="E1946" s="4"/>
      <c r="F1946">
        <v>228</v>
      </c>
      <c r="H1946" t="str">
        <f t="shared" si="30"/>
        <v>2022-11</v>
      </c>
      <c r="I1946" t="str">
        <f>_xlfn.XLOOKUP(Table1[[#This Row],[Customer_ID]],Customers!$A$2:$A$30,Customers!$C$2:$C$30,"Not found")</f>
        <v>Mixed</v>
      </c>
    </row>
    <row r="1947" spans="1:9">
      <c r="A1947" s="9">
        <v>44881</v>
      </c>
      <c r="B1947" t="s">
        <v>89</v>
      </c>
      <c r="C1947" t="s">
        <v>8</v>
      </c>
      <c r="D1947" s="4">
        <v>72</v>
      </c>
      <c r="E1947" s="4"/>
      <c r="F1947">
        <v>228</v>
      </c>
      <c r="H1947" t="str">
        <f t="shared" si="30"/>
        <v>2022-11</v>
      </c>
      <c r="I1947" t="str">
        <f>_xlfn.XLOOKUP(Table1[[#This Row],[Customer_ID]],Customers!$A$2:$A$30,Customers!$C$2:$C$30,"Not found")</f>
        <v>Mixed</v>
      </c>
    </row>
    <row r="1948" spans="1:9">
      <c r="A1948" s="9">
        <v>44885</v>
      </c>
      <c r="B1948" t="s">
        <v>89</v>
      </c>
      <c r="C1948" t="s">
        <v>8</v>
      </c>
      <c r="D1948" s="4">
        <v>466</v>
      </c>
      <c r="E1948" s="4"/>
      <c r="F1948">
        <v>228</v>
      </c>
      <c r="H1948" t="str">
        <f t="shared" si="30"/>
        <v>2022-11</v>
      </c>
      <c r="I1948" t="str">
        <f>_xlfn.XLOOKUP(Table1[[#This Row],[Customer_ID]],Customers!$A$2:$A$30,Customers!$C$2:$C$30,"Not found")</f>
        <v>Mixed</v>
      </c>
    </row>
    <row r="1949" spans="1:9">
      <c r="A1949" s="9">
        <v>44889</v>
      </c>
      <c r="B1949" t="s">
        <v>89</v>
      </c>
      <c r="C1949" t="s">
        <v>8</v>
      </c>
      <c r="D1949" s="4">
        <v>130</v>
      </c>
      <c r="E1949" s="4"/>
      <c r="F1949">
        <v>228</v>
      </c>
      <c r="H1949" t="str">
        <f t="shared" si="30"/>
        <v>2022-11</v>
      </c>
      <c r="I1949" t="str">
        <f>_xlfn.XLOOKUP(Table1[[#This Row],[Customer_ID]],Customers!$A$2:$A$30,Customers!$C$2:$C$30,"Not found")</f>
        <v>Mixed</v>
      </c>
    </row>
    <row r="1950" spans="1:9">
      <c r="A1950" s="9">
        <v>44889</v>
      </c>
      <c r="B1950" t="s">
        <v>89</v>
      </c>
      <c r="C1950" t="s">
        <v>8</v>
      </c>
      <c r="D1950" s="4">
        <v>20</v>
      </c>
      <c r="E1950" s="4"/>
      <c r="F1950">
        <v>228</v>
      </c>
      <c r="H1950" t="str">
        <f t="shared" si="30"/>
        <v>2022-11</v>
      </c>
      <c r="I1950" t="str">
        <f>_xlfn.XLOOKUP(Table1[[#This Row],[Customer_ID]],Customers!$A$2:$A$30,Customers!$C$2:$C$30,"Not found")</f>
        <v>Mixed</v>
      </c>
    </row>
    <row r="1951" spans="1:9">
      <c r="A1951" s="9">
        <v>44892</v>
      </c>
      <c r="B1951" t="s">
        <v>89</v>
      </c>
      <c r="C1951" t="s">
        <v>8</v>
      </c>
      <c r="D1951" s="4">
        <v>326</v>
      </c>
      <c r="E1951" s="4">
        <v>3379</v>
      </c>
      <c r="F1951">
        <v>228</v>
      </c>
      <c r="G1951" t="s">
        <v>356</v>
      </c>
      <c r="H1951" t="str">
        <f t="shared" si="30"/>
        <v>2022-11</v>
      </c>
      <c r="I1951" t="str">
        <f>_xlfn.XLOOKUP(Table1[[#This Row],[Customer_ID]],Customers!$A$2:$A$30,Customers!$C$2:$C$30,"Not found")</f>
        <v>Mixed</v>
      </c>
    </row>
    <row r="1952" spans="1:9">
      <c r="A1952" s="9">
        <v>44896</v>
      </c>
      <c r="B1952" t="s">
        <v>89</v>
      </c>
      <c r="C1952" t="s">
        <v>14</v>
      </c>
      <c r="D1952" s="4">
        <v>900</v>
      </c>
      <c r="E1952" s="4">
        <v>2479</v>
      </c>
      <c r="F1952">
        <v>228</v>
      </c>
      <c r="G1952" t="s">
        <v>357</v>
      </c>
      <c r="H1952" t="str">
        <f t="shared" si="30"/>
        <v>2022-12</v>
      </c>
      <c r="I1952" t="str">
        <f>_xlfn.XLOOKUP(Table1[[#This Row],[Customer_ID]],Customers!$A$2:$A$30,Customers!$C$2:$C$30,"Not found")</f>
        <v>Mixed</v>
      </c>
    </row>
    <row r="1953" spans="1:9">
      <c r="A1953" s="10"/>
      <c r="B1953" s="7" t="s">
        <v>89</v>
      </c>
      <c r="C1953" s="7" t="s">
        <v>14</v>
      </c>
      <c r="D1953" s="8">
        <v>2479</v>
      </c>
      <c r="E1953" s="8">
        <v>0</v>
      </c>
      <c r="F1953" s="7">
        <v>228</v>
      </c>
      <c r="G1953" s="7" t="s">
        <v>358</v>
      </c>
      <c r="H1953" t="str">
        <f t="shared" si="30"/>
        <v/>
      </c>
      <c r="I1953" t="str">
        <f>_xlfn.XLOOKUP(Table1[[#This Row],[Customer_ID]],Customers!$A$2:$A$30,Customers!$C$2:$C$30,"Not found")</f>
        <v>Mixed</v>
      </c>
    </row>
    <row r="1954" spans="1:9">
      <c r="A1954" s="9">
        <v>44896</v>
      </c>
      <c r="B1954" t="s">
        <v>89</v>
      </c>
      <c r="C1954" t="s">
        <v>8</v>
      </c>
      <c r="D1954" s="4">
        <v>1659</v>
      </c>
      <c r="E1954" s="4"/>
      <c r="F1954">
        <v>228</v>
      </c>
      <c r="H1954" t="str">
        <f t="shared" si="30"/>
        <v>2022-12</v>
      </c>
      <c r="I1954" t="str">
        <f>_xlfn.XLOOKUP(Table1[[#This Row],[Customer_ID]],Customers!$A$2:$A$30,Customers!$C$2:$C$30,"Not found")</f>
        <v>Mixed</v>
      </c>
    </row>
    <row r="1955" spans="1:9">
      <c r="A1955" s="9">
        <v>44897</v>
      </c>
      <c r="B1955" t="s">
        <v>89</v>
      </c>
      <c r="C1955" t="s">
        <v>8</v>
      </c>
      <c r="D1955" s="4">
        <v>40</v>
      </c>
      <c r="E1955" s="4"/>
      <c r="F1955">
        <v>228</v>
      </c>
      <c r="H1955" t="str">
        <f t="shared" si="30"/>
        <v>2022-12</v>
      </c>
      <c r="I1955" t="str">
        <f>_xlfn.XLOOKUP(Table1[[#This Row],[Customer_ID]],Customers!$A$2:$A$30,Customers!$C$2:$C$30,"Not found")</f>
        <v>Mixed</v>
      </c>
    </row>
    <row r="1956" spans="1:9">
      <c r="A1956" s="9">
        <v>44899</v>
      </c>
      <c r="B1956" t="s">
        <v>89</v>
      </c>
      <c r="C1956" t="s">
        <v>8</v>
      </c>
      <c r="D1956" s="4">
        <v>190</v>
      </c>
      <c r="E1956" s="4"/>
      <c r="F1956">
        <v>228</v>
      </c>
      <c r="H1956" t="str">
        <f t="shared" si="30"/>
        <v>2022-12</v>
      </c>
      <c r="I1956" t="str">
        <f>_xlfn.XLOOKUP(Table1[[#This Row],[Customer_ID]],Customers!$A$2:$A$30,Customers!$C$2:$C$30,"Not found")</f>
        <v>Mixed</v>
      </c>
    </row>
    <row r="1957" spans="1:9">
      <c r="A1957" s="9">
        <v>44906</v>
      </c>
      <c r="B1957" t="s">
        <v>89</v>
      </c>
      <c r="C1957" t="s">
        <v>8</v>
      </c>
      <c r="D1957" s="4">
        <v>213</v>
      </c>
      <c r="E1957" s="4"/>
      <c r="F1957">
        <v>228</v>
      </c>
      <c r="H1957" t="str">
        <f t="shared" si="30"/>
        <v>2022-12</v>
      </c>
      <c r="I1957" t="str">
        <f>_xlfn.XLOOKUP(Table1[[#This Row],[Customer_ID]],Customers!$A$2:$A$30,Customers!$C$2:$C$30,"Not found")</f>
        <v>Mixed</v>
      </c>
    </row>
    <row r="1958" spans="1:9">
      <c r="A1958" s="9">
        <v>44907</v>
      </c>
      <c r="B1958" t="s">
        <v>89</v>
      </c>
      <c r="C1958" t="s">
        <v>8</v>
      </c>
      <c r="D1958" s="4">
        <v>15</v>
      </c>
      <c r="E1958" s="4">
        <v>2117</v>
      </c>
      <c r="F1958">
        <v>228</v>
      </c>
      <c r="G1958" t="s">
        <v>359</v>
      </c>
      <c r="H1958" t="str">
        <f t="shared" si="30"/>
        <v>2022-12</v>
      </c>
      <c r="I1958" t="str">
        <f>_xlfn.XLOOKUP(Table1[[#This Row],[Customer_ID]],Customers!$A$2:$A$30,Customers!$C$2:$C$30,"Not found")</f>
        <v>Mixed</v>
      </c>
    </row>
    <row r="1959" spans="1:9">
      <c r="A1959" s="9"/>
      <c r="B1959" t="s">
        <v>89</v>
      </c>
      <c r="C1959" t="s">
        <v>14</v>
      </c>
      <c r="D1959" s="4">
        <v>700</v>
      </c>
      <c r="E1959" s="4">
        <v>1417</v>
      </c>
      <c r="F1959">
        <v>229</v>
      </c>
      <c r="G1959" t="s">
        <v>360</v>
      </c>
      <c r="H1959" t="str">
        <f t="shared" si="30"/>
        <v/>
      </c>
      <c r="I1959" t="str">
        <f>_xlfn.XLOOKUP(Table1[[#This Row],[Customer_ID]],Customers!$A$2:$A$30,Customers!$C$2:$C$30,"Not found")</f>
        <v>Mixed</v>
      </c>
    </row>
    <row r="1960" spans="1:9">
      <c r="A1960" s="9"/>
      <c r="B1960" t="s">
        <v>89</v>
      </c>
      <c r="C1960" t="s">
        <v>28</v>
      </c>
      <c r="D1960" s="4">
        <v>406</v>
      </c>
      <c r="E1960" s="4">
        <v>1823</v>
      </c>
      <c r="F1960">
        <v>229</v>
      </c>
      <c r="G1960" t="s">
        <v>361</v>
      </c>
      <c r="H1960" t="str">
        <f t="shared" si="30"/>
        <v/>
      </c>
      <c r="I1960" t="str">
        <f>_xlfn.XLOOKUP(Table1[[#This Row],[Customer_ID]],Customers!$A$2:$A$30,Customers!$C$2:$C$30,"Not found")</f>
        <v>Mixed</v>
      </c>
    </row>
    <row r="1961" spans="1:9">
      <c r="A1961" s="9"/>
      <c r="B1961" t="s">
        <v>89</v>
      </c>
      <c r="C1961" t="s">
        <v>14</v>
      </c>
      <c r="D1961" s="4">
        <v>600</v>
      </c>
      <c r="E1961" s="4">
        <v>1223</v>
      </c>
      <c r="F1961">
        <v>229</v>
      </c>
      <c r="G1961" t="s">
        <v>362</v>
      </c>
      <c r="H1961" t="str">
        <f t="shared" si="30"/>
        <v/>
      </c>
      <c r="I1961" t="str">
        <f>_xlfn.XLOOKUP(Table1[[#This Row],[Customer_ID]],Customers!$A$2:$A$30,Customers!$C$2:$C$30,"Not found")</f>
        <v>Mixed</v>
      </c>
    </row>
    <row r="1962" spans="1:9">
      <c r="A1962" s="9"/>
      <c r="B1962" t="s">
        <v>89</v>
      </c>
      <c r="C1962" t="s">
        <v>14</v>
      </c>
      <c r="D1962" s="4">
        <v>1223</v>
      </c>
      <c r="E1962" s="4">
        <v>0</v>
      </c>
      <c r="F1962">
        <v>229</v>
      </c>
      <c r="G1962" t="s">
        <v>363</v>
      </c>
      <c r="H1962" t="str">
        <f t="shared" si="30"/>
        <v/>
      </c>
      <c r="I1962" t="str">
        <f>_xlfn.XLOOKUP(Table1[[#This Row],[Customer_ID]],Customers!$A$2:$A$30,Customers!$C$2:$C$30,"Not found")</f>
        <v>Mixed</v>
      </c>
    </row>
    <row r="1963" spans="1:9">
      <c r="A1963" s="9">
        <v>44811</v>
      </c>
      <c r="B1963" t="s">
        <v>90</v>
      </c>
      <c r="C1963" t="s">
        <v>28</v>
      </c>
      <c r="D1963" s="4">
        <v>12318</v>
      </c>
      <c r="E1963" s="4">
        <v>12318</v>
      </c>
      <c r="F1963">
        <v>226</v>
      </c>
      <c r="G1963" t="s">
        <v>364</v>
      </c>
      <c r="H1963" t="str">
        <f t="shared" si="30"/>
        <v>2022-09</v>
      </c>
      <c r="I1963" t="str">
        <f>_xlfn.XLOOKUP(Table1[[#This Row],[Customer_ID]],Customers!$A$2:$A$30,Customers!$C$2:$C$30,"Not found")</f>
        <v>Carries forward</v>
      </c>
    </row>
    <row r="1964" spans="1:9">
      <c r="A1964" s="9">
        <v>44811</v>
      </c>
      <c r="B1964" t="s">
        <v>90</v>
      </c>
      <c r="C1964" t="s">
        <v>8</v>
      </c>
      <c r="D1964" s="4">
        <v>1461</v>
      </c>
      <c r="E1964" s="4">
        <v>13779</v>
      </c>
      <c r="F1964">
        <v>226</v>
      </c>
      <c r="G1964" t="s">
        <v>365</v>
      </c>
      <c r="H1964" t="str">
        <f t="shared" si="30"/>
        <v>2022-09</v>
      </c>
      <c r="I1964" t="str">
        <f>_xlfn.XLOOKUP(Table1[[#This Row],[Customer_ID]],Customers!$A$2:$A$30,Customers!$C$2:$C$30,"Not found")</f>
        <v>Carries forward</v>
      </c>
    </row>
    <row r="1965" spans="1:9">
      <c r="A1965" s="9"/>
      <c r="B1965" t="s">
        <v>90</v>
      </c>
      <c r="C1965" t="s">
        <v>14</v>
      </c>
      <c r="D1965" s="4">
        <v>4000</v>
      </c>
      <c r="E1965" s="4">
        <v>9779</v>
      </c>
      <c r="F1965">
        <v>226</v>
      </c>
      <c r="G1965" t="s">
        <v>366</v>
      </c>
      <c r="H1965" t="str">
        <f t="shared" si="30"/>
        <v/>
      </c>
      <c r="I1965" t="str">
        <f>_xlfn.XLOOKUP(Table1[[#This Row],[Customer_ID]],Customers!$A$2:$A$30,Customers!$C$2:$C$30,"Not found")</f>
        <v>Carries forward</v>
      </c>
    </row>
    <row r="1966" spans="1:9">
      <c r="A1966" s="9">
        <v>44814</v>
      </c>
      <c r="B1966" t="s">
        <v>90</v>
      </c>
      <c r="C1966" t="s">
        <v>8</v>
      </c>
      <c r="D1966" s="4">
        <v>481</v>
      </c>
      <c r="E1966" s="4"/>
      <c r="F1966">
        <v>226</v>
      </c>
      <c r="H1966" t="str">
        <f t="shared" si="30"/>
        <v>2022-09</v>
      </c>
      <c r="I1966" t="str">
        <f>_xlfn.XLOOKUP(Table1[[#This Row],[Customer_ID]],Customers!$A$2:$A$30,Customers!$C$2:$C$30,"Not found")</f>
        <v>Carries forward</v>
      </c>
    </row>
    <row r="1967" spans="1:9">
      <c r="A1967" s="9">
        <v>44818</v>
      </c>
      <c r="B1967" t="s">
        <v>90</v>
      </c>
      <c r="C1967" t="s">
        <v>8</v>
      </c>
      <c r="D1967" s="4">
        <v>231</v>
      </c>
      <c r="E1967" s="4"/>
      <c r="F1967">
        <v>226</v>
      </c>
      <c r="H1967" t="str">
        <f t="shared" si="30"/>
        <v>2022-09</v>
      </c>
      <c r="I1967" t="str">
        <f>_xlfn.XLOOKUP(Table1[[#This Row],[Customer_ID]],Customers!$A$2:$A$30,Customers!$C$2:$C$30,"Not found")</f>
        <v>Carries forward</v>
      </c>
    </row>
    <row r="1968" spans="1:9">
      <c r="A1968" s="9">
        <v>44820</v>
      </c>
      <c r="B1968" t="s">
        <v>90</v>
      </c>
      <c r="C1968" t="s">
        <v>8</v>
      </c>
      <c r="D1968" s="4">
        <v>288</v>
      </c>
      <c r="E1968" s="4"/>
      <c r="F1968">
        <v>226</v>
      </c>
      <c r="H1968" t="str">
        <f t="shared" si="30"/>
        <v>2022-09</v>
      </c>
      <c r="I1968" t="str">
        <f>_xlfn.XLOOKUP(Table1[[#This Row],[Customer_ID]],Customers!$A$2:$A$30,Customers!$C$2:$C$30,"Not found")</f>
        <v>Carries forward</v>
      </c>
    </row>
    <row r="1969" spans="1:9">
      <c r="A1969" s="9">
        <v>44824</v>
      </c>
      <c r="B1969" t="s">
        <v>90</v>
      </c>
      <c r="C1969" t="s">
        <v>8</v>
      </c>
      <c r="D1969" s="4">
        <v>1389</v>
      </c>
      <c r="E1969" s="4"/>
      <c r="F1969">
        <v>226</v>
      </c>
      <c r="G1969" t="s">
        <v>37</v>
      </c>
      <c r="H1969" t="str">
        <f t="shared" si="30"/>
        <v>2022-09</v>
      </c>
      <c r="I1969" t="str">
        <f>_xlfn.XLOOKUP(Table1[[#This Row],[Customer_ID]],Customers!$A$2:$A$30,Customers!$C$2:$C$30,"Not found")</f>
        <v>Carries forward</v>
      </c>
    </row>
    <row r="1970" spans="1:9">
      <c r="A1970" s="9">
        <v>44825</v>
      </c>
      <c r="B1970" t="s">
        <v>90</v>
      </c>
      <c r="C1970" t="s">
        <v>8</v>
      </c>
      <c r="D1970" s="4">
        <v>148</v>
      </c>
      <c r="E1970" s="4"/>
      <c r="F1970">
        <v>226</v>
      </c>
      <c r="H1970" t="str">
        <f t="shared" si="30"/>
        <v>2022-09</v>
      </c>
      <c r="I1970" t="str">
        <f>_xlfn.XLOOKUP(Table1[[#This Row],[Customer_ID]],Customers!$A$2:$A$30,Customers!$C$2:$C$30,"Not found")</f>
        <v>Carries forward</v>
      </c>
    </row>
    <row r="1971" spans="1:9">
      <c r="A1971" s="9">
        <v>44827</v>
      </c>
      <c r="B1971" t="s">
        <v>90</v>
      </c>
      <c r="C1971" t="s">
        <v>8</v>
      </c>
      <c r="D1971" s="4">
        <v>575</v>
      </c>
      <c r="E1971" s="4"/>
      <c r="F1971">
        <v>226</v>
      </c>
      <c r="H1971" t="str">
        <f t="shared" si="30"/>
        <v>2022-09</v>
      </c>
      <c r="I1971" t="str">
        <f>_xlfn.XLOOKUP(Table1[[#This Row],[Customer_ID]],Customers!$A$2:$A$30,Customers!$C$2:$C$30,"Not found")</f>
        <v>Carries forward</v>
      </c>
    </row>
    <row r="1972" spans="1:9">
      <c r="A1972" s="9">
        <v>44832</v>
      </c>
      <c r="B1972" t="s">
        <v>90</v>
      </c>
      <c r="C1972" t="s">
        <v>8</v>
      </c>
      <c r="D1972" s="4">
        <v>365</v>
      </c>
      <c r="E1972" s="4"/>
      <c r="F1972">
        <v>226</v>
      </c>
      <c r="H1972" t="str">
        <f t="shared" si="30"/>
        <v>2022-09</v>
      </c>
      <c r="I1972" t="str">
        <f>_xlfn.XLOOKUP(Table1[[#This Row],[Customer_ID]],Customers!$A$2:$A$30,Customers!$C$2:$C$30,"Not found")</f>
        <v>Carries forward</v>
      </c>
    </row>
    <row r="1973" spans="1:9">
      <c r="A1973" s="9">
        <v>44833</v>
      </c>
      <c r="B1973" t="s">
        <v>90</v>
      </c>
      <c r="C1973" t="s">
        <v>8</v>
      </c>
      <c r="D1973" s="4">
        <v>426</v>
      </c>
      <c r="E1973" s="4"/>
      <c r="F1973">
        <v>226</v>
      </c>
      <c r="H1973" t="str">
        <f t="shared" si="30"/>
        <v>2022-09</v>
      </c>
      <c r="I1973" t="str">
        <f>_xlfn.XLOOKUP(Table1[[#This Row],[Customer_ID]],Customers!$A$2:$A$30,Customers!$C$2:$C$30,"Not found")</f>
        <v>Carries forward</v>
      </c>
    </row>
    <row r="1974" spans="1:9">
      <c r="A1974" s="9">
        <v>44834</v>
      </c>
      <c r="B1974" t="s">
        <v>90</v>
      </c>
      <c r="C1974" t="s">
        <v>8</v>
      </c>
      <c r="D1974" s="4">
        <v>84</v>
      </c>
      <c r="E1974" s="4"/>
      <c r="F1974">
        <v>226</v>
      </c>
      <c r="G1974" t="s">
        <v>204</v>
      </c>
      <c r="H1974" t="str">
        <f t="shared" si="30"/>
        <v>2022-09</v>
      </c>
      <c r="I1974" t="str">
        <f>_xlfn.XLOOKUP(Table1[[#This Row],[Customer_ID]],Customers!$A$2:$A$30,Customers!$C$2:$C$30,"Not found")</f>
        <v>Carries forward</v>
      </c>
    </row>
    <row r="1975" spans="1:9">
      <c r="A1975" s="9">
        <v>44836</v>
      </c>
      <c r="B1975" t="s">
        <v>90</v>
      </c>
      <c r="C1975" t="s">
        <v>8</v>
      </c>
      <c r="D1975" s="4">
        <v>113</v>
      </c>
      <c r="E1975" s="4"/>
      <c r="F1975">
        <v>226</v>
      </c>
      <c r="H1975" t="str">
        <f t="shared" si="30"/>
        <v>2022-10</v>
      </c>
      <c r="I1975" t="str">
        <f>_xlfn.XLOOKUP(Table1[[#This Row],[Customer_ID]],Customers!$A$2:$A$30,Customers!$C$2:$C$30,"Not found")</f>
        <v>Carries forward</v>
      </c>
    </row>
    <row r="1976" spans="1:9">
      <c r="A1976" s="9">
        <v>44836</v>
      </c>
      <c r="B1976" t="s">
        <v>90</v>
      </c>
      <c r="C1976" t="s">
        <v>8</v>
      </c>
      <c r="D1976" s="4">
        <v>394</v>
      </c>
      <c r="E1976" s="4"/>
      <c r="F1976">
        <v>226</v>
      </c>
      <c r="H1976" t="str">
        <f t="shared" si="30"/>
        <v>2022-10</v>
      </c>
      <c r="I1976" t="str">
        <f>_xlfn.XLOOKUP(Table1[[#This Row],[Customer_ID]],Customers!$A$2:$A$30,Customers!$C$2:$C$30,"Not found")</f>
        <v>Carries forward</v>
      </c>
    </row>
    <row r="1977" spans="1:9">
      <c r="A1977" s="9">
        <v>44838</v>
      </c>
      <c r="B1977" t="s">
        <v>90</v>
      </c>
      <c r="C1977" t="s">
        <v>8</v>
      </c>
      <c r="D1977" s="4">
        <v>146</v>
      </c>
      <c r="E1977" s="4"/>
      <c r="F1977">
        <v>226</v>
      </c>
      <c r="H1977" t="str">
        <f t="shared" si="30"/>
        <v>2022-10</v>
      </c>
      <c r="I1977" t="str">
        <f>_xlfn.XLOOKUP(Table1[[#This Row],[Customer_ID]],Customers!$A$2:$A$30,Customers!$C$2:$C$30,"Not found")</f>
        <v>Carries forward</v>
      </c>
    </row>
    <row r="1978" spans="1:9">
      <c r="A1978" s="9">
        <v>44839</v>
      </c>
      <c r="B1978" t="s">
        <v>90</v>
      </c>
      <c r="C1978" t="s">
        <v>8</v>
      </c>
      <c r="D1978" s="4">
        <v>220</v>
      </c>
      <c r="E1978" s="4"/>
      <c r="F1978">
        <v>226</v>
      </c>
      <c r="H1978" t="str">
        <f t="shared" si="30"/>
        <v>2022-10</v>
      </c>
      <c r="I1978" t="str">
        <f>_xlfn.XLOOKUP(Table1[[#This Row],[Customer_ID]],Customers!$A$2:$A$30,Customers!$C$2:$C$30,"Not found")</f>
        <v>Carries forward</v>
      </c>
    </row>
    <row r="1979" spans="1:9">
      <c r="A1979" s="9">
        <v>44839</v>
      </c>
      <c r="B1979" t="s">
        <v>90</v>
      </c>
      <c r="C1979" t="s">
        <v>8</v>
      </c>
      <c r="D1979" s="4">
        <v>50</v>
      </c>
      <c r="E1979" s="4"/>
      <c r="F1979">
        <v>226</v>
      </c>
      <c r="G1979" t="s">
        <v>117</v>
      </c>
      <c r="H1979" t="str">
        <f t="shared" si="30"/>
        <v>2022-10</v>
      </c>
      <c r="I1979" t="str">
        <f>_xlfn.XLOOKUP(Table1[[#This Row],[Customer_ID]],Customers!$A$2:$A$30,Customers!$C$2:$C$30,"Not found")</f>
        <v>Carries forward</v>
      </c>
    </row>
    <row r="1980" spans="1:9">
      <c r="A1980" s="10">
        <v>44839</v>
      </c>
      <c r="B1980" s="7" t="s">
        <v>90</v>
      </c>
      <c r="C1980" s="7" t="s">
        <v>22</v>
      </c>
      <c r="D1980" s="8">
        <v>200</v>
      </c>
      <c r="E1980" s="8">
        <v>14889</v>
      </c>
      <c r="F1980" s="7">
        <v>226</v>
      </c>
      <c r="G1980" s="7" t="s">
        <v>367</v>
      </c>
      <c r="H1980" t="str">
        <f t="shared" si="30"/>
        <v>2022-10</v>
      </c>
      <c r="I1980" t="str">
        <f>_xlfn.XLOOKUP(Table1[[#This Row],[Customer_ID]],Customers!$A$2:$A$30,Customers!$C$2:$C$30,"Not found")</f>
        <v>Carries forward</v>
      </c>
    </row>
    <row r="1981" spans="1:9">
      <c r="A1981" s="9">
        <v>44840</v>
      </c>
      <c r="B1981" t="s">
        <v>90</v>
      </c>
      <c r="C1981" t="s">
        <v>8</v>
      </c>
      <c r="D1981" s="4">
        <v>287</v>
      </c>
      <c r="E1981" s="4"/>
      <c r="F1981">
        <v>226</v>
      </c>
      <c r="H1981" t="str">
        <f t="shared" si="30"/>
        <v>2022-10</v>
      </c>
      <c r="I1981" t="str">
        <f>_xlfn.XLOOKUP(Table1[[#This Row],[Customer_ID]],Customers!$A$2:$A$30,Customers!$C$2:$C$30,"Not found")</f>
        <v>Carries forward</v>
      </c>
    </row>
    <row r="1982" spans="1:9">
      <c r="A1982" s="9">
        <v>44841</v>
      </c>
      <c r="B1982" t="s">
        <v>90</v>
      </c>
      <c r="C1982" t="s">
        <v>8</v>
      </c>
      <c r="D1982" s="4">
        <v>1360</v>
      </c>
      <c r="E1982" s="4"/>
      <c r="F1982">
        <v>226</v>
      </c>
      <c r="H1982" t="str">
        <f t="shared" si="30"/>
        <v>2022-10</v>
      </c>
      <c r="I1982" t="str">
        <f>_xlfn.XLOOKUP(Table1[[#This Row],[Customer_ID]],Customers!$A$2:$A$30,Customers!$C$2:$C$30,"Not found")</f>
        <v>Carries forward</v>
      </c>
    </row>
    <row r="1983" spans="1:9">
      <c r="A1983" s="9">
        <v>44842</v>
      </c>
      <c r="B1983" t="s">
        <v>90</v>
      </c>
      <c r="C1983" t="s">
        <v>8</v>
      </c>
      <c r="D1983" s="4">
        <v>157</v>
      </c>
      <c r="E1983" s="4">
        <v>16693</v>
      </c>
      <c r="F1983">
        <v>226</v>
      </c>
      <c r="G1983" t="s">
        <v>368</v>
      </c>
      <c r="H1983" t="str">
        <f t="shared" ref="H1983:H2046" si="31">IF(A1983="","",TEXT(A1983,"yyyy-mm"))</f>
        <v>2022-10</v>
      </c>
      <c r="I1983" t="str">
        <f>_xlfn.XLOOKUP(Table1[[#This Row],[Customer_ID]],Customers!$A$2:$A$30,Customers!$C$2:$C$30,"Not found")</f>
        <v>Carries forward</v>
      </c>
    </row>
    <row r="1984" spans="1:9">
      <c r="A1984" s="9">
        <v>44846</v>
      </c>
      <c r="B1984" t="s">
        <v>90</v>
      </c>
      <c r="C1984" t="s">
        <v>14</v>
      </c>
      <c r="D1984" s="4">
        <v>6000</v>
      </c>
      <c r="E1984" s="4">
        <v>10693</v>
      </c>
      <c r="F1984">
        <v>226</v>
      </c>
      <c r="G1984" t="s">
        <v>369</v>
      </c>
      <c r="H1984" t="str">
        <f t="shared" si="31"/>
        <v>2022-10</v>
      </c>
      <c r="I1984" t="str">
        <f>_xlfn.XLOOKUP(Table1[[#This Row],[Customer_ID]],Customers!$A$2:$A$30,Customers!$C$2:$C$30,"Not found")</f>
        <v>Carries forward</v>
      </c>
    </row>
    <row r="1985" spans="1:9">
      <c r="A1985" s="9">
        <v>44851</v>
      </c>
      <c r="B1985" t="s">
        <v>90</v>
      </c>
      <c r="C1985" t="s">
        <v>14</v>
      </c>
      <c r="D1985" s="4">
        <v>500</v>
      </c>
      <c r="E1985" s="4">
        <v>10193</v>
      </c>
      <c r="F1985">
        <v>226</v>
      </c>
      <c r="G1985" t="s">
        <v>370</v>
      </c>
      <c r="H1985" t="str">
        <f t="shared" si="31"/>
        <v>2022-10</v>
      </c>
      <c r="I1985" t="str">
        <f>_xlfn.XLOOKUP(Table1[[#This Row],[Customer_ID]],Customers!$A$2:$A$30,Customers!$C$2:$C$30,"Not found")</f>
        <v>Carries forward</v>
      </c>
    </row>
    <row r="1986" spans="1:9">
      <c r="A1986" s="9"/>
      <c r="B1986" t="s">
        <v>90</v>
      </c>
      <c r="C1986" t="s">
        <v>14</v>
      </c>
      <c r="D1986" s="4">
        <v>1000</v>
      </c>
      <c r="E1986" s="4">
        <v>9193</v>
      </c>
      <c r="F1986">
        <v>226</v>
      </c>
      <c r="G1986" t="s">
        <v>371</v>
      </c>
      <c r="H1986" t="str">
        <f t="shared" si="31"/>
        <v/>
      </c>
      <c r="I1986" t="str">
        <f>_xlfn.XLOOKUP(Table1[[#This Row],[Customer_ID]],Customers!$A$2:$A$30,Customers!$C$2:$C$30,"Not found")</f>
        <v>Carries forward</v>
      </c>
    </row>
    <row r="1987" spans="1:9">
      <c r="A1987" s="9">
        <v>44845</v>
      </c>
      <c r="B1987" t="s">
        <v>90</v>
      </c>
      <c r="C1987" t="s">
        <v>8</v>
      </c>
      <c r="D1987" s="4">
        <v>243</v>
      </c>
      <c r="E1987" s="4"/>
      <c r="F1987">
        <v>226</v>
      </c>
      <c r="H1987" t="str">
        <f t="shared" si="31"/>
        <v>2022-10</v>
      </c>
      <c r="I1987" t="str">
        <f>_xlfn.XLOOKUP(Table1[[#This Row],[Customer_ID]],Customers!$A$2:$A$30,Customers!$C$2:$C$30,"Not found")</f>
        <v>Carries forward</v>
      </c>
    </row>
    <row r="1988" spans="1:9">
      <c r="A1988" s="9">
        <v>44846</v>
      </c>
      <c r="B1988" t="s">
        <v>90</v>
      </c>
      <c r="C1988" t="s">
        <v>8</v>
      </c>
      <c r="D1988" s="4">
        <v>595</v>
      </c>
      <c r="E1988" s="4"/>
      <c r="F1988">
        <v>226</v>
      </c>
      <c r="H1988" t="str">
        <f t="shared" si="31"/>
        <v>2022-10</v>
      </c>
      <c r="I1988" t="str">
        <f>_xlfn.XLOOKUP(Table1[[#This Row],[Customer_ID]],Customers!$A$2:$A$30,Customers!$C$2:$C$30,"Not found")</f>
        <v>Carries forward</v>
      </c>
    </row>
    <row r="1989" spans="1:9">
      <c r="A1989" s="9">
        <v>44851</v>
      </c>
      <c r="B1989" t="s">
        <v>90</v>
      </c>
      <c r="C1989" t="s">
        <v>8</v>
      </c>
      <c r="D1989" s="4">
        <v>106</v>
      </c>
      <c r="E1989" s="4"/>
      <c r="F1989">
        <v>226</v>
      </c>
      <c r="H1989" t="str">
        <f t="shared" si="31"/>
        <v>2022-10</v>
      </c>
      <c r="I1989" t="str">
        <f>_xlfn.XLOOKUP(Table1[[#This Row],[Customer_ID]],Customers!$A$2:$A$30,Customers!$C$2:$C$30,"Not found")</f>
        <v>Carries forward</v>
      </c>
    </row>
    <row r="1990" spans="1:9">
      <c r="A1990" s="9">
        <v>44853</v>
      </c>
      <c r="B1990" t="s">
        <v>90</v>
      </c>
      <c r="C1990" t="s">
        <v>8</v>
      </c>
      <c r="D1990" s="4">
        <v>398</v>
      </c>
      <c r="E1990" s="4"/>
      <c r="F1990">
        <v>226</v>
      </c>
      <c r="H1990" t="str">
        <f t="shared" si="31"/>
        <v>2022-10</v>
      </c>
      <c r="I1990" t="str">
        <f>_xlfn.XLOOKUP(Table1[[#This Row],[Customer_ID]],Customers!$A$2:$A$30,Customers!$C$2:$C$30,"Not found")</f>
        <v>Carries forward</v>
      </c>
    </row>
    <row r="1991" spans="1:9">
      <c r="A1991" s="9">
        <v>44854</v>
      </c>
      <c r="B1991" t="s">
        <v>90</v>
      </c>
      <c r="C1991" t="s">
        <v>8</v>
      </c>
      <c r="D1991" s="4">
        <v>325</v>
      </c>
      <c r="E1991" s="4"/>
      <c r="F1991">
        <v>226</v>
      </c>
      <c r="G1991" t="s">
        <v>372</v>
      </c>
      <c r="H1991" t="str">
        <f t="shared" si="31"/>
        <v>2022-10</v>
      </c>
      <c r="I1991" t="str">
        <f>_xlfn.XLOOKUP(Table1[[#This Row],[Customer_ID]],Customers!$A$2:$A$30,Customers!$C$2:$C$30,"Not found")</f>
        <v>Carries forward</v>
      </c>
    </row>
    <row r="1992" spans="1:9">
      <c r="A1992" s="9">
        <v>44856</v>
      </c>
      <c r="B1992" t="s">
        <v>90</v>
      </c>
      <c r="C1992" t="s">
        <v>8</v>
      </c>
      <c r="D1992" s="4">
        <v>196</v>
      </c>
      <c r="E1992" s="4"/>
      <c r="F1992">
        <v>226</v>
      </c>
      <c r="H1992" t="str">
        <f t="shared" si="31"/>
        <v>2022-10</v>
      </c>
      <c r="I1992" t="str">
        <f>_xlfn.XLOOKUP(Table1[[#This Row],[Customer_ID]],Customers!$A$2:$A$30,Customers!$C$2:$C$30,"Not found")</f>
        <v>Carries forward</v>
      </c>
    </row>
    <row r="1993" spans="1:9">
      <c r="A1993" s="9">
        <v>44857</v>
      </c>
      <c r="B1993" t="s">
        <v>90</v>
      </c>
      <c r="C1993" t="s">
        <v>8</v>
      </c>
      <c r="D1993" s="4">
        <v>210</v>
      </c>
      <c r="E1993" s="4"/>
      <c r="F1993">
        <v>226</v>
      </c>
      <c r="H1993" t="str">
        <f t="shared" si="31"/>
        <v>2022-10</v>
      </c>
      <c r="I1993" t="str">
        <f>_xlfn.XLOOKUP(Table1[[#This Row],[Customer_ID]],Customers!$A$2:$A$30,Customers!$C$2:$C$30,"Not found")</f>
        <v>Carries forward</v>
      </c>
    </row>
    <row r="1994" spans="1:9">
      <c r="A1994" s="9">
        <v>44860</v>
      </c>
      <c r="B1994" t="s">
        <v>90</v>
      </c>
      <c r="C1994" t="s">
        <v>8</v>
      </c>
      <c r="D1994" s="4">
        <v>482</v>
      </c>
      <c r="E1994" s="4"/>
      <c r="F1994">
        <v>226</v>
      </c>
      <c r="H1994" t="str">
        <f t="shared" si="31"/>
        <v>2022-10</v>
      </c>
      <c r="I1994" t="str">
        <f>_xlfn.XLOOKUP(Table1[[#This Row],[Customer_ID]],Customers!$A$2:$A$30,Customers!$C$2:$C$30,"Not found")</f>
        <v>Carries forward</v>
      </c>
    </row>
    <row r="1995" spans="1:9">
      <c r="A1995" s="9">
        <v>44862</v>
      </c>
      <c r="B1995" t="s">
        <v>90</v>
      </c>
      <c r="C1995" t="s">
        <v>8</v>
      </c>
      <c r="D1995" s="4">
        <v>293</v>
      </c>
      <c r="E1995" s="4"/>
      <c r="F1995">
        <v>226</v>
      </c>
      <c r="H1995" t="str">
        <f t="shared" si="31"/>
        <v>2022-10</v>
      </c>
      <c r="I1995" t="str">
        <f>_xlfn.XLOOKUP(Table1[[#This Row],[Customer_ID]],Customers!$A$2:$A$30,Customers!$C$2:$C$30,"Not found")</f>
        <v>Carries forward</v>
      </c>
    </row>
    <row r="1996" spans="1:9">
      <c r="A1996" s="9">
        <v>44863</v>
      </c>
      <c r="B1996" t="s">
        <v>90</v>
      </c>
      <c r="C1996" t="s">
        <v>8</v>
      </c>
      <c r="D1996" s="4">
        <v>1230</v>
      </c>
      <c r="E1996" s="4"/>
      <c r="F1996">
        <v>226</v>
      </c>
      <c r="G1996" t="s">
        <v>37</v>
      </c>
      <c r="H1996" t="str">
        <f t="shared" si="31"/>
        <v>2022-10</v>
      </c>
      <c r="I1996" t="str">
        <f>_xlfn.XLOOKUP(Table1[[#This Row],[Customer_ID]],Customers!$A$2:$A$30,Customers!$C$2:$C$30,"Not found")</f>
        <v>Carries forward</v>
      </c>
    </row>
    <row r="1997" spans="1:9">
      <c r="A1997" s="9">
        <v>44864</v>
      </c>
      <c r="B1997" t="s">
        <v>90</v>
      </c>
      <c r="C1997" t="s">
        <v>8</v>
      </c>
      <c r="D1997" s="4">
        <v>775</v>
      </c>
      <c r="E1997" s="4"/>
      <c r="F1997">
        <v>226</v>
      </c>
      <c r="H1997" t="str">
        <f t="shared" si="31"/>
        <v>2022-10</v>
      </c>
      <c r="I1997" t="str">
        <f>_xlfn.XLOOKUP(Table1[[#This Row],[Customer_ID]],Customers!$A$2:$A$30,Customers!$C$2:$C$30,"Not found")</f>
        <v>Carries forward</v>
      </c>
    </row>
    <row r="1998" spans="1:9">
      <c r="A1998" s="9">
        <v>44867</v>
      </c>
      <c r="B1998" t="s">
        <v>90</v>
      </c>
      <c r="C1998" t="s">
        <v>8</v>
      </c>
      <c r="D1998" s="4">
        <v>1315</v>
      </c>
      <c r="E1998" s="4"/>
      <c r="F1998">
        <v>226</v>
      </c>
      <c r="G1998" t="s">
        <v>195</v>
      </c>
      <c r="H1998" t="str">
        <f t="shared" si="31"/>
        <v>2022-11</v>
      </c>
      <c r="I1998" t="str">
        <f>_xlfn.XLOOKUP(Table1[[#This Row],[Customer_ID]],Customers!$A$2:$A$30,Customers!$C$2:$C$30,"Not found")</f>
        <v>Carries forward</v>
      </c>
    </row>
    <row r="1999" spans="1:9">
      <c r="A1999" s="9">
        <v>44872</v>
      </c>
      <c r="B1999" t="s">
        <v>90</v>
      </c>
      <c r="C1999" t="s">
        <v>8</v>
      </c>
      <c r="D1999" s="4">
        <v>167</v>
      </c>
      <c r="E1999" s="4">
        <v>15528</v>
      </c>
      <c r="F1999">
        <v>226</v>
      </c>
      <c r="G1999" t="s">
        <v>373</v>
      </c>
      <c r="H1999" t="str">
        <f t="shared" si="31"/>
        <v>2022-11</v>
      </c>
      <c r="I1999" t="str">
        <f>_xlfn.XLOOKUP(Table1[[#This Row],[Customer_ID]],Customers!$A$2:$A$30,Customers!$C$2:$C$30,"Not found")</f>
        <v>Carries forward</v>
      </c>
    </row>
    <row r="2000" spans="1:9">
      <c r="A2000" s="9">
        <v>44875</v>
      </c>
      <c r="B2000" t="s">
        <v>90</v>
      </c>
      <c r="C2000" t="s">
        <v>8</v>
      </c>
      <c r="D2000" s="4">
        <v>807</v>
      </c>
      <c r="E2000" s="4">
        <v>16335</v>
      </c>
      <c r="F2000">
        <v>226</v>
      </c>
      <c r="G2000" t="s">
        <v>374</v>
      </c>
      <c r="H2000" t="str">
        <f t="shared" si="31"/>
        <v>2022-11</v>
      </c>
      <c r="I2000" t="str">
        <f>_xlfn.XLOOKUP(Table1[[#This Row],[Customer_ID]],Customers!$A$2:$A$30,Customers!$C$2:$C$30,"Not found")</f>
        <v>Carries forward</v>
      </c>
    </row>
    <row r="2001" spans="1:9">
      <c r="A2001" s="9">
        <v>44876</v>
      </c>
      <c r="B2001" t="s">
        <v>90</v>
      </c>
      <c r="C2001" t="s">
        <v>14</v>
      </c>
      <c r="D2001" s="4">
        <v>7000</v>
      </c>
      <c r="E2001" s="4">
        <v>9335</v>
      </c>
      <c r="F2001">
        <v>226</v>
      </c>
      <c r="G2001" t="s">
        <v>375</v>
      </c>
      <c r="H2001" t="str">
        <f t="shared" si="31"/>
        <v>2022-11</v>
      </c>
      <c r="I2001" t="str">
        <f>_xlfn.XLOOKUP(Table1[[#This Row],[Customer_ID]],Customers!$A$2:$A$30,Customers!$C$2:$C$30,"Not found")</f>
        <v>Carries forward</v>
      </c>
    </row>
    <row r="2002" spans="1:9">
      <c r="A2002" s="9">
        <v>44875</v>
      </c>
      <c r="B2002" t="s">
        <v>90</v>
      </c>
      <c r="C2002" t="s">
        <v>8</v>
      </c>
      <c r="D2002" s="4">
        <v>240</v>
      </c>
      <c r="E2002" s="4"/>
      <c r="F2002">
        <v>226</v>
      </c>
      <c r="G2002" t="s">
        <v>376</v>
      </c>
      <c r="H2002" t="str">
        <f t="shared" si="31"/>
        <v>2022-11</v>
      </c>
      <c r="I2002" t="str">
        <f>_xlfn.XLOOKUP(Table1[[#This Row],[Customer_ID]],Customers!$A$2:$A$30,Customers!$C$2:$C$30,"Not found")</f>
        <v>Carries forward</v>
      </c>
    </row>
    <row r="2003" spans="1:9">
      <c r="A2003" s="9">
        <v>44878</v>
      </c>
      <c r="B2003" t="s">
        <v>90</v>
      </c>
      <c r="C2003" t="s">
        <v>8</v>
      </c>
      <c r="D2003" s="4">
        <v>30</v>
      </c>
      <c r="E2003" s="4"/>
      <c r="F2003">
        <v>226</v>
      </c>
      <c r="H2003" t="str">
        <f t="shared" si="31"/>
        <v>2022-11</v>
      </c>
      <c r="I2003" t="str">
        <f>_xlfn.XLOOKUP(Table1[[#This Row],[Customer_ID]],Customers!$A$2:$A$30,Customers!$C$2:$C$30,"Not found")</f>
        <v>Carries forward</v>
      </c>
    </row>
    <row r="2004" spans="1:9">
      <c r="A2004" s="9">
        <v>44880</v>
      </c>
      <c r="B2004" t="s">
        <v>90</v>
      </c>
      <c r="C2004" t="s">
        <v>8</v>
      </c>
      <c r="D2004" s="4">
        <v>320</v>
      </c>
      <c r="E2004" s="4"/>
      <c r="F2004">
        <v>226</v>
      </c>
      <c r="H2004" t="str">
        <f t="shared" si="31"/>
        <v>2022-11</v>
      </c>
      <c r="I2004" t="str">
        <f>_xlfn.XLOOKUP(Table1[[#This Row],[Customer_ID]],Customers!$A$2:$A$30,Customers!$C$2:$C$30,"Not found")</f>
        <v>Carries forward</v>
      </c>
    </row>
    <row r="2005" spans="1:9">
      <c r="A2005" s="9">
        <v>44884</v>
      </c>
      <c r="B2005" t="s">
        <v>90</v>
      </c>
      <c r="C2005" t="s">
        <v>8</v>
      </c>
      <c r="D2005" s="4">
        <v>866</v>
      </c>
      <c r="E2005" s="4"/>
      <c r="F2005">
        <v>226</v>
      </c>
      <c r="G2005" t="s">
        <v>310</v>
      </c>
      <c r="H2005" t="str">
        <f t="shared" si="31"/>
        <v>2022-11</v>
      </c>
      <c r="I2005" t="str">
        <f>_xlfn.XLOOKUP(Table1[[#This Row],[Customer_ID]],Customers!$A$2:$A$30,Customers!$C$2:$C$30,"Not found")</f>
        <v>Carries forward</v>
      </c>
    </row>
    <row r="2006" spans="1:9">
      <c r="A2006" s="9">
        <v>44887</v>
      </c>
      <c r="B2006" t="s">
        <v>90</v>
      </c>
      <c r="C2006" t="s">
        <v>8</v>
      </c>
      <c r="D2006" s="4">
        <v>199</v>
      </c>
      <c r="E2006" s="4"/>
      <c r="F2006">
        <v>226</v>
      </c>
      <c r="H2006" t="str">
        <f t="shared" si="31"/>
        <v>2022-11</v>
      </c>
      <c r="I2006" t="str">
        <f>_xlfn.XLOOKUP(Table1[[#This Row],[Customer_ID]],Customers!$A$2:$A$30,Customers!$C$2:$C$30,"Not found")</f>
        <v>Carries forward</v>
      </c>
    </row>
    <row r="2007" spans="1:9">
      <c r="A2007" s="9">
        <v>44891</v>
      </c>
      <c r="B2007" t="s">
        <v>90</v>
      </c>
      <c r="C2007" t="s">
        <v>8</v>
      </c>
      <c r="D2007" s="4">
        <v>533</v>
      </c>
      <c r="E2007" s="4"/>
      <c r="F2007">
        <v>226</v>
      </c>
      <c r="H2007" t="str">
        <f t="shared" si="31"/>
        <v>2022-11</v>
      </c>
      <c r="I2007" t="str">
        <f>_xlfn.XLOOKUP(Table1[[#This Row],[Customer_ID]],Customers!$A$2:$A$30,Customers!$C$2:$C$30,"Not found")</f>
        <v>Carries forward</v>
      </c>
    </row>
    <row r="2008" spans="1:9">
      <c r="A2008" s="9">
        <v>44892</v>
      </c>
      <c r="B2008" t="s">
        <v>90</v>
      </c>
      <c r="C2008" t="s">
        <v>8</v>
      </c>
      <c r="D2008" s="4">
        <v>1300</v>
      </c>
      <c r="E2008" s="4"/>
      <c r="F2008">
        <v>226</v>
      </c>
      <c r="H2008" t="str">
        <f t="shared" si="31"/>
        <v>2022-11</v>
      </c>
      <c r="I2008" t="str">
        <f>_xlfn.XLOOKUP(Table1[[#This Row],[Customer_ID]],Customers!$A$2:$A$30,Customers!$C$2:$C$30,"Not found")</f>
        <v>Carries forward</v>
      </c>
    </row>
    <row r="2009" spans="1:9">
      <c r="A2009" s="9">
        <v>44895</v>
      </c>
      <c r="B2009" t="s">
        <v>90</v>
      </c>
      <c r="C2009" t="s">
        <v>8</v>
      </c>
      <c r="D2009" s="4">
        <v>20</v>
      </c>
      <c r="E2009" s="4"/>
      <c r="F2009">
        <v>226</v>
      </c>
      <c r="H2009" t="str">
        <f t="shared" si="31"/>
        <v>2022-11</v>
      </c>
      <c r="I2009" t="str">
        <f>_xlfn.XLOOKUP(Table1[[#This Row],[Customer_ID]],Customers!$A$2:$A$30,Customers!$C$2:$C$30,"Not found")</f>
        <v>Carries forward</v>
      </c>
    </row>
    <row r="2010" spans="1:9">
      <c r="A2010" s="9">
        <v>44895</v>
      </c>
      <c r="B2010" t="s">
        <v>90</v>
      </c>
      <c r="C2010" t="s">
        <v>8</v>
      </c>
      <c r="D2010" s="4">
        <v>663</v>
      </c>
      <c r="E2010" s="4"/>
      <c r="F2010">
        <v>226</v>
      </c>
      <c r="H2010" t="str">
        <f t="shared" si="31"/>
        <v>2022-11</v>
      </c>
      <c r="I2010" t="str">
        <f>_xlfn.XLOOKUP(Table1[[#This Row],[Customer_ID]],Customers!$A$2:$A$30,Customers!$C$2:$C$30,"Not found")</f>
        <v>Carries forward</v>
      </c>
    </row>
    <row r="2011" spans="1:9">
      <c r="A2011" s="9">
        <v>44896</v>
      </c>
      <c r="B2011" t="s">
        <v>90</v>
      </c>
      <c r="C2011" t="s">
        <v>8</v>
      </c>
      <c r="D2011" s="4">
        <v>30</v>
      </c>
      <c r="E2011" s="4"/>
      <c r="F2011">
        <v>226</v>
      </c>
      <c r="H2011" t="str">
        <f t="shared" si="31"/>
        <v>2022-12</v>
      </c>
      <c r="I2011" t="str">
        <f>_xlfn.XLOOKUP(Table1[[#This Row],[Customer_ID]],Customers!$A$2:$A$30,Customers!$C$2:$C$30,"Not found")</f>
        <v>Carries forward</v>
      </c>
    </row>
    <row r="2012" spans="1:9">
      <c r="A2012" s="9">
        <v>44896</v>
      </c>
      <c r="B2012" t="s">
        <v>90</v>
      </c>
      <c r="C2012" t="s">
        <v>8</v>
      </c>
      <c r="D2012" s="4">
        <v>20</v>
      </c>
      <c r="E2012" s="4"/>
      <c r="F2012">
        <v>226</v>
      </c>
      <c r="H2012" t="str">
        <f t="shared" si="31"/>
        <v>2022-12</v>
      </c>
      <c r="I2012" t="str">
        <f>_xlfn.XLOOKUP(Table1[[#This Row],[Customer_ID]],Customers!$A$2:$A$30,Customers!$C$2:$C$30,"Not found")</f>
        <v>Carries forward</v>
      </c>
    </row>
    <row r="2013" spans="1:9">
      <c r="A2013" s="9">
        <v>44897</v>
      </c>
      <c r="B2013" t="s">
        <v>90</v>
      </c>
      <c r="C2013" t="s">
        <v>8</v>
      </c>
      <c r="D2013" s="4">
        <v>70</v>
      </c>
      <c r="E2013" s="4"/>
      <c r="F2013">
        <v>226</v>
      </c>
      <c r="H2013" t="str">
        <f t="shared" si="31"/>
        <v>2022-12</v>
      </c>
      <c r="I2013" t="str">
        <f>_xlfn.XLOOKUP(Table1[[#This Row],[Customer_ID]],Customers!$A$2:$A$30,Customers!$C$2:$C$30,"Not found")</f>
        <v>Carries forward</v>
      </c>
    </row>
    <row r="2014" spans="1:9">
      <c r="A2014" s="9">
        <v>44898</v>
      </c>
      <c r="B2014" t="s">
        <v>90</v>
      </c>
      <c r="C2014" t="s">
        <v>8</v>
      </c>
      <c r="D2014" s="4">
        <v>20</v>
      </c>
      <c r="E2014" s="4"/>
      <c r="F2014">
        <v>226</v>
      </c>
      <c r="H2014" t="str">
        <f t="shared" si="31"/>
        <v>2022-12</v>
      </c>
      <c r="I2014" t="str">
        <f>_xlfn.XLOOKUP(Table1[[#This Row],[Customer_ID]],Customers!$A$2:$A$30,Customers!$C$2:$C$30,"Not found")</f>
        <v>Carries forward</v>
      </c>
    </row>
    <row r="2015" spans="1:9">
      <c r="A2015" s="9">
        <v>44898</v>
      </c>
      <c r="B2015" t="s">
        <v>90</v>
      </c>
      <c r="C2015" t="s">
        <v>8</v>
      </c>
      <c r="D2015" s="4">
        <v>291</v>
      </c>
      <c r="E2015" s="4"/>
      <c r="F2015">
        <v>226</v>
      </c>
      <c r="H2015" t="str">
        <f t="shared" si="31"/>
        <v>2022-12</v>
      </c>
      <c r="I2015" t="str">
        <f>_xlfn.XLOOKUP(Table1[[#This Row],[Customer_ID]],Customers!$A$2:$A$30,Customers!$C$2:$C$30,"Not found")</f>
        <v>Carries forward</v>
      </c>
    </row>
    <row r="2016" spans="1:9">
      <c r="A2016" s="9">
        <v>44901</v>
      </c>
      <c r="B2016" t="s">
        <v>90</v>
      </c>
      <c r="C2016" t="s">
        <v>8</v>
      </c>
      <c r="D2016" s="4">
        <v>481</v>
      </c>
      <c r="E2016" s="4"/>
      <c r="F2016">
        <v>226</v>
      </c>
      <c r="H2016" t="str">
        <f t="shared" si="31"/>
        <v>2022-12</v>
      </c>
      <c r="I2016" t="str">
        <f>_xlfn.XLOOKUP(Table1[[#This Row],[Customer_ID]],Customers!$A$2:$A$30,Customers!$C$2:$C$30,"Not found")</f>
        <v>Carries forward</v>
      </c>
    </row>
    <row r="2017" spans="1:9">
      <c r="A2017" s="9">
        <v>44902</v>
      </c>
      <c r="B2017" t="s">
        <v>90</v>
      </c>
      <c r="C2017" t="s">
        <v>8</v>
      </c>
      <c r="D2017" s="4">
        <v>1200</v>
      </c>
      <c r="E2017" s="4"/>
      <c r="F2017">
        <v>226</v>
      </c>
      <c r="H2017" t="str">
        <f t="shared" si="31"/>
        <v>2022-12</v>
      </c>
      <c r="I2017" t="str">
        <f>_xlfn.XLOOKUP(Table1[[#This Row],[Customer_ID]],Customers!$A$2:$A$30,Customers!$C$2:$C$30,"Not found")</f>
        <v>Carries forward</v>
      </c>
    </row>
    <row r="2018" spans="1:9">
      <c r="A2018" s="9">
        <v>44902</v>
      </c>
      <c r="B2018" t="s">
        <v>90</v>
      </c>
      <c r="C2018" t="s">
        <v>8</v>
      </c>
      <c r="D2018" s="4">
        <v>20</v>
      </c>
      <c r="E2018" s="4"/>
      <c r="F2018">
        <v>226</v>
      </c>
      <c r="H2018" t="str">
        <f t="shared" si="31"/>
        <v>2022-12</v>
      </c>
      <c r="I2018" t="str">
        <f>_xlfn.XLOOKUP(Table1[[#This Row],[Customer_ID]],Customers!$A$2:$A$30,Customers!$C$2:$C$30,"Not found")</f>
        <v>Carries forward</v>
      </c>
    </row>
    <row r="2019" spans="1:9">
      <c r="A2019" s="9">
        <v>44904</v>
      </c>
      <c r="B2019" t="s">
        <v>90</v>
      </c>
      <c r="C2019" t="s">
        <v>8</v>
      </c>
      <c r="D2019" s="4">
        <v>541</v>
      </c>
      <c r="E2019" s="4"/>
      <c r="F2019">
        <v>226</v>
      </c>
      <c r="H2019" t="str">
        <f t="shared" si="31"/>
        <v>2022-12</v>
      </c>
      <c r="I2019" t="str">
        <f>_xlfn.XLOOKUP(Table1[[#This Row],[Customer_ID]],Customers!$A$2:$A$30,Customers!$C$2:$C$30,"Not found")</f>
        <v>Carries forward</v>
      </c>
    </row>
    <row r="2020" spans="1:9">
      <c r="A2020" s="10">
        <v>44904</v>
      </c>
      <c r="B2020" s="7" t="s">
        <v>90</v>
      </c>
      <c r="C2020" s="7" t="s">
        <v>22</v>
      </c>
      <c r="D2020" s="8">
        <v>-120</v>
      </c>
      <c r="E2020" s="8">
        <v>16059</v>
      </c>
      <c r="F2020" s="7">
        <v>226</v>
      </c>
      <c r="G2020" s="7" t="s">
        <v>377</v>
      </c>
      <c r="H2020" t="str">
        <f t="shared" si="31"/>
        <v>2022-12</v>
      </c>
      <c r="I2020" t="str">
        <f>_xlfn.XLOOKUP(Table1[[#This Row],[Customer_ID]],Customers!$A$2:$A$30,Customers!$C$2:$C$30,"Not found")</f>
        <v>Carries forward</v>
      </c>
    </row>
    <row r="2021" spans="1:9">
      <c r="A2021" s="9"/>
      <c r="B2021" t="s">
        <v>90</v>
      </c>
      <c r="C2021" t="s">
        <v>14</v>
      </c>
      <c r="D2021" s="4">
        <v>7800</v>
      </c>
      <c r="E2021" s="4">
        <v>8259</v>
      </c>
      <c r="F2021">
        <v>226</v>
      </c>
      <c r="G2021" t="s">
        <v>378</v>
      </c>
      <c r="H2021" t="str">
        <f t="shared" si="31"/>
        <v/>
      </c>
      <c r="I2021" t="str">
        <f>_xlfn.XLOOKUP(Table1[[#This Row],[Customer_ID]],Customers!$A$2:$A$30,Customers!$C$2:$C$30,"Not found")</f>
        <v>Carries forward</v>
      </c>
    </row>
    <row r="2022" spans="1:9">
      <c r="A2022" s="9">
        <v>44907</v>
      </c>
      <c r="B2022" t="s">
        <v>90</v>
      </c>
      <c r="C2022" t="s">
        <v>8</v>
      </c>
      <c r="D2022" s="4">
        <v>646</v>
      </c>
      <c r="E2022" s="4"/>
      <c r="F2022">
        <v>226</v>
      </c>
      <c r="H2022" t="str">
        <f t="shared" si="31"/>
        <v>2022-12</v>
      </c>
      <c r="I2022" t="str">
        <f>_xlfn.XLOOKUP(Table1[[#This Row],[Customer_ID]],Customers!$A$2:$A$30,Customers!$C$2:$C$30,"Not found")</f>
        <v>Carries forward</v>
      </c>
    </row>
    <row r="2023" spans="1:9">
      <c r="A2023" s="9">
        <v>44909</v>
      </c>
      <c r="B2023" t="s">
        <v>90</v>
      </c>
      <c r="C2023" t="s">
        <v>8</v>
      </c>
      <c r="D2023" s="4">
        <v>302</v>
      </c>
      <c r="E2023" s="4"/>
      <c r="F2023">
        <v>226</v>
      </c>
      <c r="H2023" t="str">
        <f t="shared" si="31"/>
        <v>2022-12</v>
      </c>
      <c r="I2023" t="str">
        <f>_xlfn.XLOOKUP(Table1[[#This Row],[Customer_ID]],Customers!$A$2:$A$30,Customers!$C$2:$C$30,"Not found")</f>
        <v>Carries forward</v>
      </c>
    </row>
    <row r="2024" spans="1:9">
      <c r="A2024" s="9">
        <v>44913</v>
      </c>
      <c r="B2024" t="s">
        <v>90</v>
      </c>
      <c r="C2024" t="s">
        <v>8</v>
      </c>
      <c r="D2024" s="4">
        <v>239</v>
      </c>
      <c r="E2024" s="4"/>
      <c r="F2024">
        <v>226</v>
      </c>
      <c r="H2024" t="str">
        <f t="shared" si="31"/>
        <v>2022-12</v>
      </c>
      <c r="I2024" t="str">
        <f>_xlfn.XLOOKUP(Table1[[#This Row],[Customer_ID]],Customers!$A$2:$A$30,Customers!$C$2:$C$30,"Not found")</f>
        <v>Carries forward</v>
      </c>
    </row>
    <row r="2025" spans="1:9">
      <c r="A2025" s="9">
        <v>44913</v>
      </c>
      <c r="B2025" t="s">
        <v>90</v>
      </c>
      <c r="C2025" t="s">
        <v>8</v>
      </c>
      <c r="D2025" s="4">
        <v>565</v>
      </c>
      <c r="E2025" s="4"/>
      <c r="F2025">
        <v>226</v>
      </c>
      <c r="H2025" t="str">
        <f t="shared" si="31"/>
        <v>2022-12</v>
      </c>
      <c r="I2025" t="str">
        <f>_xlfn.XLOOKUP(Table1[[#This Row],[Customer_ID]],Customers!$A$2:$A$30,Customers!$C$2:$C$30,"Not found")</f>
        <v>Carries forward</v>
      </c>
    </row>
    <row r="2026" spans="1:9">
      <c r="A2026" s="9">
        <v>44914</v>
      </c>
      <c r="B2026" t="s">
        <v>90</v>
      </c>
      <c r="C2026" t="s">
        <v>8</v>
      </c>
      <c r="D2026" s="4">
        <v>30</v>
      </c>
      <c r="E2026" s="4"/>
      <c r="F2026">
        <v>226</v>
      </c>
      <c r="H2026" t="str">
        <f t="shared" si="31"/>
        <v>2022-12</v>
      </c>
      <c r="I2026" t="str">
        <f>_xlfn.XLOOKUP(Table1[[#This Row],[Customer_ID]],Customers!$A$2:$A$30,Customers!$C$2:$C$30,"Not found")</f>
        <v>Carries forward</v>
      </c>
    </row>
    <row r="2027" spans="1:9">
      <c r="A2027" s="9">
        <v>44914</v>
      </c>
      <c r="B2027" t="s">
        <v>90</v>
      </c>
      <c r="C2027" t="s">
        <v>8</v>
      </c>
      <c r="D2027" s="4">
        <v>1300</v>
      </c>
      <c r="E2027" s="4"/>
      <c r="F2027">
        <v>226</v>
      </c>
      <c r="G2027" t="s">
        <v>195</v>
      </c>
      <c r="H2027" t="str">
        <f t="shared" si="31"/>
        <v>2022-12</v>
      </c>
      <c r="I2027" t="str">
        <f>_xlfn.XLOOKUP(Table1[[#This Row],[Customer_ID]],Customers!$A$2:$A$30,Customers!$C$2:$C$30,"Not found")</f>
        <v>Carries forward</v>
      </c>
    </row>
    <row r="2028" spans="1:9">
      <c r="A2028" s="9">
        <v>44915</v>
      </c>
      <c r="B2028" t="s">
        <v>90</v>
      </c>
      <c r="C2028" t="s">
        <v>8</v>
      </c>
      <c r="D2028" s="4">
        <v>30</v>
      </c>
      <c r="E2028" s="4"/>
      <c r="F2028">
        <v>226</v>
      </c>
      <c r="H2028" t="str">
        <f t="shared" si="31"/>
        <v>2022-12</v>
      </c>
      <c r="I2028" t="str">
        <f>_xlfn.XLOOKUP(Table1[[#This Row],[Customer_ID]],Customers!$A$2:$A$30,Customers!$C$2:$C$30,"Not found")</f>
        <v>Carries forward</v>
      </c>
    </row>
    <row r="2029" spans="1:9">
      <c r="A2029" s="9">
        <v>44916</v>
      </c>
      <c r="B2029" t="s">
        <v>90</v>
      </c>
      <c r="C2029" t="s">
        <v>8</v>
      </c>
      <c r="D2029" s="4">
        <v>446</v>
      </c>
      <c r="E2029" s="4"/>
      <c r="F2029">
        <v>226</v>
      </c>
      <c r="H2029" t="str">
        <f t="shared" si="31"/>
        <v>2022-12</v>
      </c>
      <c r="I2029" t="str">
        <f>_xlfn.XLOOKUP(Table1[[#This Row],[Customer_ID]],Customers!$A$2:$A$30,Customers!$C$2:$C$30,"Not found")</f>
        <v>Carries forward</v>
      </c>
    </row>
    <row r="2030" spans="1:9">
      <c r="A2030" s="9">
        <v>44917</v>
      </c>
      <c r="B2030" t="s">
        <v>90</v>
      </c>
      <c r="C2030" t="s">
        <v>8</v>
      </c>
      <c r="D2030" s="4">
        <v>20</v>
      </c>
      <c r="E2030" s="4"/>
      <c r="F2030">
        <v>226</v>
      </c>
      <c r="H2030" t="str">
        <f t="shared" si="31"/>
        <v>2022-12</v>
      </c>
      <c r="I2030" t="str">
        <f>_xlfn.XLOOKUP(Table1[[#This Row],[Customer_ID]],Customers!$A$2:$A$30,Customers!$C$2:$C$30,"Not found")</f>
        <v>Carries forward</v>
      </c>
    </row>
    <row r="2031" spans="1:9">
      <c r="A2031" s="9">
        <v>44919</v>
      </c>
      <c r="B2031" t="s">
        <v>90</v>
      </c>
      <c r="C2031" t="s">
        <v>8</v>
      </c>
      <c r="D2031" s="4">
        <v>489</v>
      </c>
      <c r="E2031" s="4"/>
      <c r="F2031">
        <v>226</v>
      </c>
      <c r="H2031" t="str">
        <f t="shared" si="31"/>
        <v>2022-12</v>
      </c>
      <c r="I2031" t="str">
        <f>_xlfn.XLOOKUP(Table1[[#This Row],[Customer_ID]],Customers!$A$2:$A$30,Customers!$C$2:$C$30,"Not found")</f>
        <v>Carries forward</v>
      </c>
    </row>
    <row r="2032" spans="1:9">
      <c r="A2032" s="9">
        <v>44922</v>
      </c>
      <c r="B2032" t="s">
        <v>90</v>
      </c>
      <c r="C2032" t="s">
        <v>8</v>
      </c>
      <c r="D2032" s="4">
        <v>65</v>
      </c>
      <c r="E2032" s="4"/>
      <c r="F2032">
        <v>226</v>
      </c>
      <c r="H2032" t="str">
        <f t="shared" si="31"/>
        <v>2022-12</v>
      </c>
      <c r="I2032" t="str">
        <f>_xlfn.XLOOKUP(Table1[[#This Row],[Customer_ID]],Customers!$A$2:$A$30,Customers!$C$2:$C$30,"Not found")</f>
        <v>Carries forward</v>
      </c>
    </row>
    <row r="2033" spans="1:9">
      <c r="A2033" s="9">
        <v>44923</v>
      </c>
      <c r="B2033" t="s">
        <v>90</v>
      </c>
      <c r="C2033" t="s">
        <v>8</v>
      </c>
      <c r="D2033" s="4">
        <v>21</v>
      </c>
      <c r="E2033" s="4"/>
      <c r="F2033">
        <v>226</v>
      </c>
      <c r="H2033" t="str">
        <f t="shared" si="31"/>
        <v>2022-12</v>
      </c>
      <c r="I2033" t="str">
        <f>_xlfn.XLOOKUP(Table1[[#This Row],[Customer_ID]],Customers!$A$2:$A$30,Customers!$C$2:$C$30,"Not found")</f>
        <v>Carries forward</v>
      </c>
    </row>
    <row r="2034" spans="1:9">
      <c r="A2034" s="9">
        <v>44923</v>
      </c>
      <c r="B2034" t="s">
        <v>90</v>
      </c>
      <c r="C2034" t="s">
        <v>8</v>
      </c>
      <c r="D2034" s="4">
        <v>222</v>
      </c>
      <c r="E2034" s="4"/>
      <c r="F2034">
        <v>226</v>
      </c>
      <c r="H2034" t="str">
        <f t="shared" si="31"/>
        <v>2022-12</v>
      </c>
      <c r="I2034" t="str">
        <f>_xlfn.XLOOKUP(Table1[[#This Row],[Customer_ID]],Customers!$A$2:$A$30,Customers!$C$2:$C$30,"Not found")</f>
        <v>Carries forward</v>
      </c>
    </row>
    <row r="2035" spans="1:9">
      <c r="A2035" s="9">
        <v>44924</v>
      </c>
      <c r="B2035" t="s">
        <v>90</v>
      </c>
      <c r="C2035" t="s">
        <v>8</v>
      </c>
      <c r="D2035" s="4">
        <v>222</v>
      </c>
      <c r="E2035" s="4"/>
      <c r="F2035">
        <v>226</v>
      </c>
      <c r="H2035" t="str">
        <f t="shared" si="31"/>
        <v>2022-12</v>
      </c>
      <c r="I2035" t="str">
        <f>_xlfn.XLOOKUP(Table1[[#This Row],[Customer_ID]],Customers!$A$2:$A$30,Customers!$C$2:$C$30,"Not found")</f>
        <v>Carries forward</v>
      </c>
    </row>
    <row r="2036" spans="1:9">
      <c r="A2036" s="9">
        <v>44924</v>
      </c>
      <c r="B2036" t="s">
        <v>90</v>
      </c>
      <c r="C2036" t="s">
        <v>8</v>
      </c>
      <c r="D2036" s="4">
        <v>36</v>
      </c>
      <c r="E2036" s="4"/>
      <c r="F2036">
        <v>226</v>
      </c>
      <c r="H2036" t="str">
        <f t="shared" si="31"/>
        <v>2022-12</v>
      </c>
      <c r="I2036" t="str">
        <f>_xlfn.XLOOKUP(Table1[[#This Row],[Customer_ID]],Customers!$A$2:$A$30,Customers!$C$2:$C$30,"Not found")</f>
        <v>Carries forward</v>
      </c>
    </row>
    <row r="2037" spans="1:9">
      <c r="A2037" s="9">
        <v>44924</v>
      </c>
      <c r="B2037" t="s">
        <v>90</v>
      </c>
      <c r="C2037" t="s">
        <v>8</v>
      </c>
      <c r="D2037" s="4">
        <v>158</v>
      </c>
      <c r="E2037" s="4"/>
      <c r="F2037">
        <v>226</v>
      </c>
      <c r="H2037" t="str">
        <f t="shared" si="31"/>
        <v>2022-12</v>
      </c>
      <c r="I2037" t="str">
        <f>_xlfn.XLOOKUP(Table1[[#This Row],[Customer_ID]],Customers!$A$2:$A$30,Customers!$C$2:$C$30,"Not found")</f>
        <v>Carries forward</v>
      </c>
    </row>
    <row r="2038" spans="1:9">
      <c r="A2038" s="9">
        <v>44925</v>
      </c>
      <c r="B2038" t="s">
        <v>90</v>
      </c>
      <c r="C2038" t="s">
        <v>8</v>
      </c>
      <c r="D2038" s="4">
        <v>114</v>
      </c>
      <c r="E2038" s="4"/>
      <c r="F2038">
        <v>226</v>
      </c>
      <c r="H2038" t="str">
        <f t="shared" si="31"/>
        <v>2022-12</v>
      </c>
      <c r="I2038" t="str">
        <f>_xlfn.XLOOKUP(Table1[[#This Row],[Customer_ID]],Customers!$A$2:$A$30,Customers!$C$2:$C$30,"Not found")</f>
        <v>Carries forward</v>
      </c>
    </row>
    <row r="2039" spans="1:9">
      <c r="A2039" s="9">
        <v>44926</v>
      </c>
      <c r="B2039" t="s">
        <v>90</v>
      </c>
      <c r="C2039" t="s">
        <v>8</v>
      </c>
      <c r="D2039" s="4">
        <v>30</v>
      </c>
      <c r="E2039" s="4"/>
      <c r="F2039">
        <v>226</v>
      </c>
      <c r="H2039" t="str">
        <f t="shared" si="31"/>
        <v>2022-12</v>
      </c>
      <c r="I2039" t="str">
        <f>_xlfn.XLOOKUP(Table1[[#This Row],[Customer_ID]],Customers!$A$2:$A$30,Customers!$C$2:$C$30,"Not found")</f>
        <v>Carries forward</v>
      </c>
    </row>
    <row r="2040" spans="1:9">
      <c r="A2040" s="9">
        <v>44927</v>
      </c>
      <c r="B2040" t="s">
        <v>90</v>
      </c>
      <c r="C2040" t="s">
        <v>8</v>
      </c>
      <c r="D2040" s="4">
        <v>329</v>
      </c>
      <c r="E2040" s="4"/>
      <c r="F2040">
        <v>226</v>
      </c>
      <c r="H2040" t="str">
        <f t="shared" si="31"/>
        <v>2023-01</v>
      </c>
      <c r="I2040" t="str">
        <f>_xlfn.XLOOKUP(Table1[[#This Row],[Customer_ID]],Customers!$A$2:$A$30,Customers!$C$2:$C$30,"Not found")</f>
        <v>Carries forward</v>
      </c>
    </row>
    <row r="2041" spans="1:9">
      <c r="A2041" s="9">
        <v>44927</v>
      </c>
      <c r="B2041" t="s">
        <v>90</v>
      </c>
      <c r="C2041" t="s">
        <v>8</v>
      </c>
      <c r="D2041" s="4">
        <v>20</v>
      </c>
      <c r="E2041" s="4"/>
      <c r="F2041">
        <v>226</v>
      </c>
      <c r="H2041" t="str">
        <f t="shared" si="31"/>
        <v>2023-01</v>
      </c>
      <c r="I2041" t="str">
        <f>_xlfn.XLOOKUP(Table1[[#This Row],[Customer_ID]],Customers!$A$2:$A$30,Customers!$C$2:$C$30,"Not found")</f>
        <v>Carries forward</v>
      </c>
    </row>
    <row r="2042" spans="1:9">
      <c r="A2042" s="9">
        <v>44928</v>
      </c>
      <c r="B2042" t="s">
        <v>90</v>
      </c>
      <c r="C2042" t="s">
        <v>8</v>
      </c>
      <c r="D2042" s="4">
        <v>106</v>
      </c>
      <c r="E2042" s="4"/>
      <c r="F2042">
        <v>226</v>
      </c>
      <c r="H2042" t="str">
        <f t="shared" si="31"/>
        <v>2023-01</v>
      </c>
      <c r="I2042" t="str">
        <f>_xlfn.XLOOKUP(Table1[[#This Row],[Customer_ID]],Customers!$A$2:$A$30,Customers!$C$2:$C$30,"Not found")</f>
        <v>Carries forward</v>
      </c>
    </row>
    <row r="2043" spans="1:9">
      <c r="A2043" s="9">
        <v>44929</v>
      </c>
      <c r="B2043" t="s">
        <v>90</v>
      </c>
      <c r="C2043" t="s">
        <v>8</v>
      </c>
      <c r="D2043" s="4">
        <v>433</v>
      </c>
      <c r="E2043" s="4"/>
      <c r="F2043">
        <v>226</v>
      </c>
      <c r="H2043" t="str">
        <f t="shared" si="31"/>
        <v>2023-01</v>
      </c>
      <c r="I2043" t="str">
        <f>_xlfn.XLOOKUP(Table1[[#This Row],[Customer_ID]],Customers!$A$2:$A$30,Customers!$C$2:$C$30,"Not found")</f>
        <v>Carries forward</v>
      </c>
    </row>
    <row r="2044" spans="1:9">
      <c r="A2044" s="9">
        <v>44929</v>
      </c>
      <c r="B2044" t="s">
        <v>90</v>
      </c>
      <c r="C2044" t="s">
        <v>8</v>
      </c>
      <c r="D2044" s="4">
        <v>4</v>
      </c>
      <c r="E2044" s="4"/>
      <c r="F2044">
        <v>226</v>
      </c>
      <c r="H2044" t="str">
        <f t="shared" si="31"/>
        <v>2023-01</v>
      </c>
      <c r="I2044" t="str">
        <f>_xlfn.XLOOKUP(Table1[[#This Row],[Customer_ID]],Customers!$A$2:$A$30,Customers!$C$2:$C$30,"Not found")</f>
        <v>Carries forward</v>
      </c>
    </row>
    <row r="2045" spans="1:9">
      <c r="A2045" s="9">
        <v>44929</v>
      </c>
      <c r="B2045" t="s">
        <v>90</v>
      </c>
      <c r="C2045" t="s">
        <v>22</v>
      </c>
      <c r="D2045" s="4">
        <v>50</v>
      </c>
      <c r="E2045" s="4">
        <v>14136</v>
      </c>
      <c r="F2045">
        <v>226</v>
      </c>
      <c r="G2045" t="s">
        <v>379</v>
      </c>
      <c r="H2045" t="str">
        <f t="shared" si="31"/>
        <v>2023-01</v>
      </c>
      <c r="I2045" t="str">
        <f>_xlfn.XLOOKUP(Table1[[#This Row],[Customer_ID]],Customers!$A$2:$A$30,Customers!$C$2:$C$30,"Not found")</f>
        <v>Carries forward</v>
      </c>
    </row>
    <row r="2046" spans="1:9">
      <c r="A2046" s="9">
        <v>44932</v>
      </c>
      <c r="B2046" t="s">
        <v>90</v>
      </c>
      <c r="C2046" t="s">
        <v>8</v>
      </c>
      <c r="D2046" s="4">
        <v>224</v>
      </c>
      <c r="E2046" s="4"/>
      <c r="F2046">
        <v>226</v>
      </c>
      <c r="G2046" t="s">
        <v>380</v>
      </c>
      <c r="H2046" t="str">
        <f t="shared" si="31"/>
        <v>2023-01</v>
      </c>
      <c r="I2046" t="str">
        <f>_xlfn.XLOOKUP(Table1[[#This Row],[Customer_ID]],Customers!$A$2:$A$30,Customers!$C$2:$C$30,"Not found")</f>
        <v>Carries forward</v>
      </c>
    </row>
    <row r="2047" spans="1:9">
      <c r="A2047" s="9">
        <v>44933</v>
      </c>
      <c r="B2047" t="s">
        <v>90</v>
      </c>
      <c r="C2047" t="s">
        <v>8</v>
      </c>
      <c r="D2047" s="4">
        <v>22</v>
      </c>
      <c r="E2047" s="4"/>
      <c r="F2047">
        <v>226</v>
      </c>
      <c r="H2047" t="str">
        <f t="shared" ref="H2047:H2110" si="32">IF(A2047="","",TEXT(A2047,"yyyy-mm"))</f>
        <v>2023-01</v>
      </c>
      <c r="I2047" t="str">
        <f>_xlfn.XLOOKUP(Table1[[#This Row],[Customer_ID]],Customers!$A$2:$A$30,Customers!$C$2:$C$30,"Not found")</f>
        <v>Carries forward</v>
      </c>
    </row>
    <row r="2048" spans="1:9">
      <c r="A2048" s="9">
        <v>44935</v>
      </c>
      <c r="B2048" t="s">
        <v>90</v>
      </c>
      <c r="C2048" t="s">
        <v>8</v>
      </c>
      <c r="D2048" s="4">
        <v>253</v>
      </c>
      <c r="E2048" s="4"/>
      <c r="F2048">
        <v>226</v>
      </c>
      <c r="H2048" t="str">
        <f t="shared" si="32"/>
        <v>2023-01</v>
      </c>
      <c r="I2048" t="str">
        <f>_xlfn.XLOOKUP(Table1[[#This Row],[Customer_ID]],Customers!$A$2:$A$30,Customers!$C$2:$C$30,"Not found")</f>
        <v>Carries forward</v>
      </c>
    </row>
    <row r="2049" spans="1:9">
      <c r="A2049" s="9">
        <v>44935</v>
      </c>
      <c r="B2049" t="s">
        <v>90</v>
      </c>
      <c r="C2049" t="s">
        <v>8</v>
      </c>
      <c r="D2049" s="4">
        <v>342</v>
      </c>
      <c r="E2049" s="4">
        <v>14977</v>
      </c>
      <c r="F2049">
        <v>226</v>
      </c>
      <c r="G2049" t="s">
        <v>381</v>
      </c>
      <c r="H2049" t="str">
        <f t="shared" si="32"/>
        <v>2023-01</v>
      </c>
      <c r="I2049" t="str">
        <f>_xlfn.XLOOKUP(Table1[[#This Row],[Customer_ID]],Customers!$A$2:$A$30,Customers!$C$2:$C$30,"Not found")</f>
        <v>Carries forward</v>
      </c>
    </row>
    <row r="2050" spans="1:9">
      <c r="A2050" s="9">
        <v>44936</v>
      </c>
      <c r="B2050" t="s">
        <v>90</v>
      </c>
      <c r="C2050" t="s">
        <v>14</v>
      </c>
      <c r="D2050" s="4">
        <v>7000</v>
      </c>
      <c r="E2050" s="4">
        <v>7977</v>
      </c>
      <c r="F2050">
        <v>226</v>
      </c>
      <c r="G2050" t="s">
        <v>382</v>
      </c>
      <c r="H2050" t="str">
        <f t="shared" si="32"/>
        <v>2023-01</v>
      </c>
      <c r="I2050" t="str">
        <f>_xlfn.XLOOKUP(Table1[[#This Row],[Customer_ID]],Customers!$A$2:$A$30,Customers!$C$2:$C$30,"Not found")</f>
        <v>Carries forward</v>
      </c>
    </row>
    <row r="2051" spans="1:9">
      <c r="A2051" s="10"/>
      <c r="B2051" s="7" t="s">
        <v>90</v>
      </c>
      <c r="C2051" s="7" t="s">
        <v>14</v>
      </c>
      <c r="D2051" s="8">
        <v>6776</v>
      </c>
      <c r="E2051" s="8">
        <v>1201</v>
      </c>
      <c r="F2051" s="7">
        <v>227</v>
      </c>
      <c r="G2051" s="7" t="s">
        <v>383</v>
      </c>
      <c r="H2051" t="str">
        <f t="shared" si="32"/>
        <v/>
      </c>
      <c r="I2051" t="str">
        <f>_xlfn.XLOOKUP(Table1[[#This Row],[Customer_ID]],Customers!$A$2:$A$30,Customers!$C$2:$C$30,"Not found")</f>
        <v>Carries forward</v>
      </c>
    </row>
    <row r="2052" spans="1:9">
      <c r="A2052" s="9">
        <v>44936</v>
      </c>
      <c r="B2052" t="s">
        <v>90</v>
      </c>
      <c r="C2052" t="s">
        <v>8</v>
      </c>
      <c r="D2052" s="4">
        <v>1200</v>
      </c>
      <c r="E2052" s="4"/>
      <c r="F2052">
        <v>227</v>
      </c>
      <c r="G2052" t="s">
        <v>384</v>
      </c>
      <c r="H2052" t="str">
        <f t="shared" si="32"/>
        <v>2023-01</v>
      </c>
      <c r="I2052" t="str">
        <f>_xlfn.XLOOKUP(Table1[[#This Row],[Customer_ID]],Customers!$A$2:$A$30,Customers!$C$2:$C$30,"Not found")</f>
        <v>Carries forward</v>
      </c>
    </row>
    <row r="2053" spans="1:9">
      <c r="A2053" s="9">
        <v>44939</v>
      </c>
      <c r="B2053" t="s">
        <v>90</v>
      </c>
      <c r="C2053" t="s">
        <v>8</v>
      </c>
      <c r="D2053" s="4">
        <v>1104</v>
      </c>
      <c r="E2053" s="4"/>
      <c r="F2053">
        <v>227</v>
      </c>
      <c r="H2053" t="str">
        <f t="shared" si="32"/>
        <v>2023-01</v>
      </c>
      <c r="I2053" t="str">
        <f>_xlfn.XLOOKUP(Table1[[#This Row],[Customer_ID]],Customers!$A$2:$A$30,Customers!$C$2:$C$30,"Not found")</f>
        <v>Carries forward</v>
      </c>
    </row>
    <row r="2054" spans="1:9">
      <c r="A2054" s="9">
        <v>44940</v>
      </c>
      <c r="B2054" t="s">
        <v>90</v>
      </c>
      <c r="C2054" t="s">
        <v>8</v>
      </c>
      <c r="D2054" s="4">
        <v>10</v>
      </c>
      <c r="E2054" s="4"/>
      <c r="F2054">
        <v>227</v>
      </c>
      <c r="H2054" t="str">
        <f t="shared" si="32"/>
        <v>2023-01</v>
      </c>
      <c r="I2054" t="str">
        <f>_xlfn.XLOOKUP(Table1[[#This Row],[Customer_ID]],Customers!$A$2:$A$30,Customers!$C$2:$C$30,"Not found")</f>
        <v>Carries forward</v>
      </c>
    </row>
    <row r="2055" spans="1:9">
      <c r="A2055" s="9">
        <v>44941</v>
      </c>
      <c r="B2055" t="s">
        <v>90</v>
      </c>
      <c r="C2055" t="s">
        <v>8</v>
      </c>
      <c r="D2055" s="4">
        <v>1245</v>
      </c>
      <c r="E2055" s="4"/>
      <c r="F2055">
        <v>227</v>
      </c>
      <c r="H2055" t="str">
        <f t="shared" si="32"/>
        <v>2023-01</v>
      </c>
      <c r="I2055" t="str">
        <f>_xlfn.XLOOKUP(Table1[[#This Row],[Customer_ID]],Customers!$A$2:$A$30,Customers!$C$2:$C$30,"Not found")</f>
        <v>Carries forward</v>
      </c>
    </row>
    <row r="2056" spans="1:9">
      <c r="A2056" s="9">
        <v>44942</v>
      </c>
      <c r="B2056" t="s">
        <v>90</v>
      </c>
      <c r="C2056" t="s">
        <v>8</v>
      </c>
      <c r="D2056" s="4">
        <v>29</v>
      </c>
      <c r="E2056" s="4"/>
      <c r="F2056">
        <v>227</v>
      </c>
      <c r="H2056" t="str">
        <f t="shared" si="32"/>
        <v>2023-01</v>
      </c>
      <c r="I2056" t="str">
        <f>_xlfn.XLOOKUP(Table1[[#This Row],[Customer_ID]],Customers!$A$2:$A$30,Customers!$C$2:$C$30,"Not found")</f>
        <v>Carries forward</v>
      </c>
    </row>
    <row r="2057" spans="1:9">
      <c r="A2057" s="9">
        <v>44945</v>
      </c>
      <c r="B2057" t="s">
        <v>90</v>
      </c>
      <c r="C2057" t="s">
        <v>8</v>
      </c>
      <c r="D2057" s="4">
        <v>29</v>
      </c>
      <c r="E2057" s="4"/>
      <c r="F2057">
        <v>227</v>
      </c>
      <c r="H2057" t="str">
        <f t="shared" si="32"/>
        <v>2023-01</v>
      </c>
      <c r="I2057" t="str">
        <f>_xlfn.XLOOKUP(Table1[[#This Row],[Customer_ID]],Customers!$A$2:$A$30,Customers!$C$2:$C$30,"Not found")</f>
        <v>Carries forward</v>
      </c>
    </row>
    <row r="2058" spans="1:9">
      <c r="A2058" s="9">
        <v>44947</v>
      </c>
      <c r="B2058" t="s">
        <v>90</v>
      </c>
      <c r="C2058" t="s">
        <v>8</v>
      </c>
      <c r="D2058" s="4">
        <v>29</v>
      </c>
      <c r="E2058" s="4"/>
      <c r="F2058">
        <v>227</v>
      </c>
      <c r="H2058" t="str">
        <f t="shared" si="32"/>
        <v>2023-01</v>
      </c>
      <c r="I2058" t="str">
        <f>_xlfn.XLOOKUP(Table1[[#This Row],[Customer_ID]],Customers!$A$2:$A$30,Customers!$C$2:$C$30,"Not found")</f>
        <v>Carries forward</v>
      </c>
    </row>
    <row r="2059" spans="1:9">
      <c r="A2059" s="9">
        <v>44947</v>
      </c>
      <c r="B2059" t="s">
        <v>90</v>
      </c>
      <c r="C2059" t="s">
        <v>8</v>
      </c>
      <c r="D2059" s="4">
        <v>110</v>
      </c>
      <c r="E2059" s="4"/>
      <c r="F2059">
        <v>227</v>
      </c>
      <c r="H2059" t="str">
        <f t="shared" si="32"/>
        <v>2023-01</v>
      </c>
      <c r="I2059" t="str">
        <f>_xlfn.XLOOKUP(Table1[[#This Row],[Customer_ID]],Customers!$A$2:$A$30,Customers!$C$2:$C$30,"Not found")</f>
        <v>Carries forward</v>
      </c>
    </row>
    <row r="2060" spans="1:9">
      <c r="A2060" s="9">
        <v>44947</v>
      </c>
      <c r="B2060" t="s">
        <v>90</v>
      </c>
      <c r="C2060" t="s">
        <v>8</v>
      </c>
      <c r="D2060" s="4">
        <v>167</v>
      </c>
      <c r="E2060" s="4"/>
      <c r="F2060">
        <v>227</v>
      </c>
      <c r="H2060" t="str">
        <f t="shared" si="32"/>
        <v>2023-01</v>
      </c>
      <c r="I2060" t="str">
        <f>_xlfn.XLOOKUP(Table1[[#This Row],[Customer_ID]],Customers!$A$2:$A$30,Customers!$C$2:$C$30,"Not found")</f>
        <v>Carries forward</v>
      </c>
    </row>
    <row r="2061" spans="1:9">
      <c r="A2061" s="9">
        <v>44948</v>
      </c>
      <c r="B2061" t="s">
        <v>90</v>
      </c>
      <c r="C2061" t="s">
        <v>8</v>
      </c>
      <c r="D2061" s="4">
        <v>154</v>
      </c>
      <c r="E2061" s="4"/>
      <c r="F2061">
        <v>227</v>
      </c>
      <c r="H2061" t="str">
        <f t="shared" si="32"/>
        <v>2023-01</v>
      </c>
      <c r="I2061" t="str">
        <f>_xlfn.XLOOKUP(Table1[[#This Row],[Customer_ID]],Customers!$A$2:$A$30,Customers!$C$2:$C$30,"Not found")</f>
        <v>Carries forward</v>
      </c>
    </row>
    <row r="2062" spans="1:9">
      <c r="A2062" s="9">
        <v>44949</v>
      </c>
      <c r="B2062" t="s">
        <v>90</v>
      </c>
      <c r="C2062" t="s">
        <v>8</v>
      </c>
      <c r="D2062" s="4">
        <v>81</v>
      </c>
      <c r="E2062" s="4"/>
      <c r="F2062">
        <v>227</v>
      </c>
      <c r="H2062" t="str">
        <f t="shared" si="32"/>
        <v>2023-01</v>
      </c>
      <c r="I2062" t="str">
        <f>_xlfn.XLOOKUP(Table1[[#This Row],[Customer_ID]],Customers!$A$2:$A$30,Customers!$C$2:$C$30,"Not found")</f>
        <v>Carries forward</v>
      </c>
    </row>
    <row r="2063" spans="1:9">
      <c r="A2063" s="9">
        <v>44950</v>
      </c>
      <c r="B2063" t="s">
        <v>90</v>
      </c>
      <c r="C2063" t="s">
        <v>8</v>
      </c>
      <c r="D2063" s="4">
        <v>29</v>
      </c>
      <c r="E2063" s="4"/>
      <c r="F2063">
        <v>227</v>
      </c>
      <c r="H2063" t="str">
        <f t="shared" si="32"/>
        <v>2023-01</v>
      </c>
      <c r="I2063" t="str">
        <f>_xlfn.XLOOKUP(Table1[[#This Row],[Customer_ID]],Customers!$A$2:$A$30,Customers!$C$2:$C$30,"Not found")</f>
        <v>Carries forward</v>
      </c>
    </row>
    <row r="2064" spans="1:9">
      <c r="A2064" s="9">
        <v>44950</v>
      </c>
      <c r="B2064" t="s">
        <v>90</v>
      </c>
      <c r="C2064" t="s">
        <v>8</v>
      </c>
      <c r="D2064" s="4">
        <v>143</v>
      </c>
      <c r="E2064" s="4"/>
      <c r="F2064">
        <v>227</v>
      </c>
      <c r="H2064" t="str">
        <f t="shared" si="32"/>
        <v>2023-01</v>
      </c>
      <c r="I2064" t="str">
        <f>_xlfn.XLOOKUP(Table1[[#This Row],[Customer_ID]],Customers!$A$2:$A$30,Customers!$C$2:$C$30,"Not found")</f>
        <v>Carries forward</v>
      </c>
    </row>
    <row r="2065" spans="1:9">
      <c r="A2065" s="9">
        <v>44951</v>
      </c>
      <c r="B2065" t="s">
        <v>90</v>
      </c>
      <c r="C2065" t="s">
        <v>8</v>
      </c>
      <c r="D2065" s="4">
        <v>29</v>
      </c>
      <c r="E2065" s="4"/>
      <c r="F2065">
        <v>227</v>
      </c>
      <c r="H2065" t="str">
        <f t="shared" si="32"/>
        <v>2023-01</v>
      </c>
      <c r="I2065" t="str">
        <f>_xlfn.XLOOKUP(Table1[[#This Row],[Customer_ID]],Customers!$A$2:$A$30,Customers!$C$2:$C$30,"Not found")</f>
        <v>Carries forward</v>
      </c>
    </row>
    <row r="2066" spans="1:9">
      <c r="A2066" s="9">
        <v>44951</v>
      </c>
      <c r="B2066" t="s">
        <v>90</v>
      </c>
      <c r="C2066" t="s">
        <v>8</v>
      </c>
      <c r="D2066" s="4">
        <v>203</v>
      </c>
      <c r="E2066" s="4"/>
      <c r="F2066">
        <v>227</v>
      </c>
      <c r="H2066" t="str">
        <f t="shared" si="32"/>
        <v>2023-01</v>
      </c>
      <c r="I2066" t="str">
        <f>_xlfn.XLOOKUP(Table1[[#This Row],[Customer_ID]],Customers!$A$2:$A$30,Customers!$C$2:$C$30,"Not found")</f>
        <v>Carries forward</v>
      </c>
    </row>
    <row r="2067" spans="1:9">
      <c r="A2067" s="9">
        <v>44954</v>
      </c>
      <c r="B2067" t="s">
        <v>90</v>
      </c>
      <c r="C2067" t="s">
        <v>8</v>
      </c>
      <c r="D2067" s="4">
        <v>29</v>
      </c>
      <c r="E2067" s="4"/>
      <c r="F2067">
        <v>227</v>
      </c>
      <c r="H2067" t="str">
        <f t="shared" si="32"/>
        <v>2023-01</v>
      </c>
      <c r="I2067" t="str">
        <f>_xlfn.XLOOKUP(Table1[[#This Row],[Customer_ID]],Customers!$A$2:$A$30,Customers!$C$2:$C$30,"Not found")</f>
        <v>Carries forward</v>
      </c>
    </row>
    <row r="2068" spans="1:9">
      <c r="A2068" s="9">
        <v>44954</v>
      </c>
      <c r="B2068" t="s">
        <v>90</v>
      </c>
      <c r="C2068" t="s">
        <v>8</v>
      </c>
      <c r="D2068" s="4">
        <v>353</v>
      </c>
      <c r="E2068" s="4"/>
      <c r="F2068">
        <v>227</v>
      </c>
      <c r="H2068" t="str">
        <f t="shared" si="32"/>
        <v>2023-01</v>
      </c>
      <c r="I2068" t="str">
        <f>_xlfn.XLOOKUP(Table1[[#This Row],[Customer_ID]],Customers!$A$2:$A$30,Customers!$C$2:$C$30,"Not found")</f>
        <v>Carries forward</v>
      </c>
    </row>
    <row r="2069" spans="1:9">
      <c r="A2069" s="9">
        <v>44955</v>
      </c>
      <c r="B2069" t="s">
        <v>90</v>
      </c>
      <c r="C2069" t="s">
        <v>8</v>
      </c>
      <c r="D2069" s="4">
        <v>20</v>
      </c>
      <c r="E2069" s="4"/>
      <c r="F2069">
        <v>227</v>
      </c>
      <c r="H2069" t="str">
        <f t="shared" si="32"/>
        <v>2023-01</v>
      </c>
      <c r="I2069" t="str">
        <f>_xlfn.XLOOKUP(Table1[[#This Row],[Customer_ID]],Customers!$A$2:$A$30,Customers!$C$2:$C$30,"Not found")</f>
        <v>Carries forward</v>
      </c>
    </row>
    <row r="2070" spans="1:9">
      <c r="A2070" s="9">
        <v>44955</v>
      </c>
      <c r="B2070" t="s">
        <v>90</v>
      </c>
      <c r="C2070" t="s">
        <v>8</v>
      </c>
      <c r="D2070" s="4">
        <v>146</v>
      </c>
      <c r="E2070" s="4"/>
      <c r="F2070">
        <v>227</v>
      </c>
      <c r="H2070" t="str">
        <f t="shared" si="32"/>
        <v>2023-01</v>
      </c>
      <c r="I2070" t="str">
        <f>_xlfn.XLOOKUP(Table1[[#This Row],[Customer_ID]],Customers!$A$2:$A$30,Customers!$C$2:$C$30,"Not found")</f>
        <v>Carries forward</v>
      </c>
    </row>
    <row r="2071" spans="1:9">
      <c r="A2071" s="9">
        <v>44956</v>
      </c>
      <c r="B2071" t="s">
        <v>90</v>
      </c>
      <c r="C2071" t="s">
        <v>8</v>
      </c>
      <c r="D2071" s="4">
        <v>38</v>
      </c>
      <c r="E2071" s="4"/>
      <c r="F2071">
        <v>227</v>
      </c>
      <c r="H2071" t="str">
        <f t="shared" si="32"/>
        <v>2023-01</v>
      </c>
      <c r="I2071" t="str">
        <f>_xlfn.XLOOKUP(Table1[[#This Row],[Customer_ID]],Customers!$A$2:$A$30,Customers!$C$2:$C$30,"Not found")</f>
        <v>Carries forward</v>
      </c>
    </row>
    <row r="2072" spans="1:9">
      <c r="A2072" s="9">
        <v>44957</v>
      </c>
      <c r="B2072" t="s">
        <v>90</v>
      </c>
      <c r="C2072" t="s">
        <v>8</v>
      </c>
      <c r="D2072" s="4">
        <v>20</v>
      </c>
      <c r="E2072" s="4"/>
      <c r="F2072">
        <v>227</v>
      </c>
      <c r="H2072" t="str">
        <f t="shared" si="32"/>
        <v>2023-01</v>
      </c>
      <c r="I2072" t="str">
        <f>_xlfn.XLOOKUP(Table1[[#This Row],[Customer_ID]],Customers!$A$2:$A$30,Customers!$C$2:$C$30,"Not found")</f>
        <v>Carries forward</v>
      </c>
    </row>
    <row r="2073" spans="1:9">
      <c r="A2073" s="9">
        <v>44959</v>
      </c>
      <c r="B2073" t="s">
        <v>90</v>
      </c>
      <c r="C2073" t="s">
        <v>8</v>
      </c>
      <c r="D2073" s="4">
        <v>219</v>
      </c>
      <c r="E2073" s="4"/>
      <c r="F2073">
        <v>227</v>
      </c>
      <c r="G2073" t="s">
        <v>385</v>
      </c>
      <c r="H2073" t="str">
        <f t="shared" si="32"/>
        <v>2023-02</v>
      </c>
      <c r="I2073" t="str">
        <f>_xlfn.XLOOKUP(Table1[[#This Row],[Customer_ID]],Customers!$A$2:$A$30,Customers!$C$2:$C$30,"Not found")</f>
        <v>Carries forward</v>
      </c>
    </row>
    <row r="2074" spans="1:9">
      <c r="A2074" s="9">
        <v>44961</v>
      </c>
      <c r="B2074" t="s">
        <v>90</v>
      </c>
      <c r="C2074" t="s">
        <v>8</v>
      </c>
      <c r="D2074" s="4">
        <v>10</v>
      </c>
      <c r="E2074" s="4"/>
      <c r="F2074">
        <v>227</v>
      </c>
      <c r="G2074" t="s">
        <v>386</v>
      </c>
      <c r="H2074" t="str">
        <f t="shared" si="32"/>
        <v>2023-02</v>
      </c>
      <c r="I2074" t="str">
        <f>_xlfn.XLOOKUP(Table1[[#This Row],[Customer_ID]],Customers!$A$2:$A$30,Customers!$C$2:$C$30,"Not found")</f>
        <v>Carries forward</v>
      </c>
    </row>
    <row r="2075" spans="1:9">
      <c r="A2075" s="9">
        <v>44809</v>
      </c>
      <c r="B2075" t="s">
        <v>91</v>
      </c>
      <c r="C2075" t="s">
        <v>28</v>
      </c>
      <c r="D2075" s="4">
        <v>797</v>
      </c>
      <c r="E2075" s="4">
        <v>797</v>
      </c>
      <c r="F2075">
        <v>234</v>
      </c>
      <c r="G2075" t="s">
        <v>387</v>
      </c>
      <c r="H2075" t="str">
        <f t="shared" si="32"/>
        <v>2022-09</v>
      </c>
      <c r="I2075" t="str">
        <f>_xlfn.XLOOKUP(Table1[[#This Row],[Customer_ID]],Customers!$A$2:$A$30,Customers!$C$2:$C$30,"Not found")</f>
        <v>Pays full</v>
      </c>
    </row>
    <row r="2076" spans="1:9">
      <c r="A2076" s="9">
        <v>44809</v>
      </c>
      <c r="B2076" t="s">
        <v>91</v>
      </c>
      <c r="C2076" t="s">
        <v>8</v>
      </c>
      <c r="D2076" s="4">
        <v>460</v>
      </c>
      <c r="E2076" s="4"/>
      <c r="F2076">
        <v>234</v>
      </c>
      <c r="H2076" t="str">
        <f t="shared" si="32"/>
        <v>2022-09</v>
      </c>
      <c r="I2076" t="str">
        <f>_xlfn.XLOOKUP(Table1[[#This Row],[Customer_ID]],Customers!$A$2:$A$30,Customers!$C$2:$C$30,"Not found")</f>
        <v>Pays full</v>
      </c>
    </row>
    <row r="2077" spans="1:9">
      <c r="A2077" s="9">
        <v>44821</v>
      </c>
      <c r="B2077" t="s">
        <v>91</v>
      </c>
      <c r="C2077" t="s">
        <v>8</v>
      </c>
      <c r="D2077" s="4">
        <v>345</v>
      </c>
      <c r="E2077" s="4"/>
      <c r="F2077">
        <v>234</v>
      </c>
      <c r="H2077" t="str">
        <f t="shared" si="32"/>
        <v>2022-09</v>
      </c>
      <c r="I2077" t="str">
        <f>_xlfn.XLOOKUP(Table1[[#This Row],[Customer_ID]],Customers!$A$2:$A$30,Customers!$C$2:$C$30,"Not found")</f>
        <v>Pays full</v>
      </c>
    </row>
    <row r="2078" spans="1:9">
      <c r="A2078" s="9">
        <v>44824</v>
      </c>
      <c r="B2078" t="s">
        <v>91</v>
      </c>
      <c r="C2078" t="s">
        <v>8</v>
      </c>
      <c r="D2078" s="4">
        <v>264</v>
      </c>
      <c r="E2078" s="4"/>
      <c r="F2078">
        <v>234</v>
      </c>
      <c r="H2078" t="str">
        <f t="shared" si="32"/>
        <v>2022-09</v>
      </c>
      <c r="I2078" t="str">
        <f>_xlfn.XLOOKUP(Table1[[#This Row],[Customer_ID]],Customers!$A$2:$A$30,Customers!$C$2:$C$30,"Not found")</f>
        <v>Pays full</v>
      </c>
    </row>
    <row r="2079" spans="1:9">
      <c r="A2079" s="9">
        <v>44826</v>
      </c>
      <c r="B2079" t="s">
        <v>91</v>
      </c>
      <c r="C2079" t="s">
        <v>8</v>
      </c>
      <c r="D2079" s="4">
        <v>608</v>
      </c>
      <c r="E2079" s="4">
        <v>2474</v>
      </c>
      <c r="F2079">
        <v>234</v>
      </c>
      <c r="G2079" t="s">
        <v>388</v>
      </c>
      <c r="H2079" t="str">
        <f t="shared" si="32"/>
        <v>2022-09</v>
      </c>
      <c r="I2079" t="str">
        <f>_xlfn.XLOOKUP(Table1[[#This Row],[Customer_ID]],Customers!$A$2:$A$30,Customers!$C$2:$C$30,"Not found")</f>
        <v>Pays full</v>
      </c>
    </row>
    <row r="2080" spans="1:9">
      <c r="A2080" s="9">
        <v>44835</v>
      </c>
      <c r="B2080" t="s">
        <v>91</v>
      </c>
      <c r="C2080" t="s">
        <v>8</v>
      </c>
      <c r="D2080" s="4">
        <v>190</v>
      </c>
      <c r="E2080" s="4">
        <v>2664</v>
      </c>
      <c r="F2080">
        <v>234</v>
      </c>
      <c r="G2080" t="s">
        <v>389</v>
      </c>
      <c r="H2080" t="str">
        <f t="shared" si="32"/>
        <v>2022-10</v>
      </c>
      <c r="I2080" t="str">
        <f>_xlfn.XLOOKUP(Table1[[#This Row],[Customer_ID]],Customers!$A$2:$A$30,Customers!$C$2:$C$30,"Not found")</f>
        <v>Pays full</v>
      </c>
    </row>
    <row r="2081" spans="1:9">
      <c r="A2081" s="9">
        <v>44836</v>
      </c>
      <c r="B2081" t="s">
        <v>91</v>
      </c>
      <c r="C2081" t="s">
        <v>8</v>
      </c>
      <c r="D2081" s="4">
        <v>160</v>
      </c>
      <c r="E2081" s="4"/>
      <c r="F2081">
        <v>234</v>
      </c>
      <c r="H2081" t="str">
        <f t="shared" si="32"/>
        <v>2022-10</v>
      </c>
      <c r="I2081" t="str">
        <f>_xlfn.XLOOKUP(Table1[[#This Row],[Customer_ID]],Customers!$A$2:$A$30,Customers!$C$2:$C$30,"Not found")</f>
        <v>Pays full</v>
      </c>
    </row>
    <row r="2082" spans="1:9">
      <c r="A2082" s="9">
        <v>44844</v>
      </c>
      <c r="B2082" t="s">
        <v>91</v>
      </c>
      <c r="C2082" t="s">
        <v>8</v>
      </c>
      <c r="D2082" s="4">
        <v>523</v>
      </c>
      <c r="E2082" s="4">
        <v>3347</v>
      </c>
      <c r="F2082">
        <v>234</v>
      </c>
      <c r="G2082" t="s">
        <v>390</v>
      </c>
      <c r="H2082" t="str">
        <f t="shared" si="32"/>
        <v>2022-10</v>
      </c>
      <c r="I2082" t="str">
        <f>_xlfn.XLOOKUP(Table1[[#This Row],[Customer_ID]],Customers!$A$2:$A$30,Customers!$C$2:$C$30,"Not found")</f>
        <v>Pays full</v>
      </c>
    </row>
    <row r="2083" spans="1:9">
      <c r="A2083" s="9">
        <v>44850</v>
      </c>
      <c r="B2083" t="s">
        <v>91</v>
      </c>
      <c r="C2083" t="s">
        <v>14</v>
      </c>
      <c r="D2083" s="4">
        <v>1500</v>
      </c>
      <c r="E2083" s="4">
        <v>1847</v>
      </c>
      <c r="F2083">
        <v>234</v>
      </c>
      <c r="G2083" t="s">
        <v>391</v>
      </c>
      <c r="H2083" t="str">
        <f t="shared" si="32"/>
        <v>2022-10</v>
      </c>
      <c r="I2083" t="str">
        <f>_xlfn.XLOOKUP(Table1[[#This Row],[Customer_ID]],Customers!$A$2:$A$30,Customers!$C$2:$C$30,"Not found")</f>
        <v>Pays full</v>
      </c>
    </row>
    <row r="2084" spans="1:9">
      <c r="A2084" s="9">
        <v>44856</v>
      </c>
      <c r="B2084" t="s">
        <v>91</v>
      </c>
      <c r="C2084" t="s">
        <v>8</v>
      </c>
      <c r="D2084" s="4">
        <v>360</v>
      </c>
      <c r="E2084" s="4"/>
      <c r="F2084">
        <v>234</v>
      </c>
      <c r="H2084" t="str">
        <f t="shared" si="32"/>
        <v>2022-10</v>
      </c>
      <c r="I2084" t="str">
        <f>_xlfn.XLOOKUP(Table1[[#This Row],[Customer_ID]],Customers!$A$2:$A$30,Customers!$C$2:$C$30,"Not found")</f>
        <v>Pays full</v>
      </c>
    </row>
    <row r="2085" spans="1:9">
      <c r="A2085" s="9">
        <v>44860</v>
      </c>
      <c r="B2085" t="s">
        <v>91</v>
      </c>
      <c r="C2085" t="s">
        <v>8</v>
      </c>
      <c r="D2085" s="4">
        <v>160</v>
      </c>
      <c r="E2085" s="4"/>
      <c r="F2085">
        <v>234</v>
      </c>
      <c r="H2085" t="str">
        <f t="shared" si="32"/>
        <v>2022-10</v>
      </c>
      <c r="I2085" t="str">
        <f>_xlfn.XLOOKUP(Table1[[#This Row],[Customer_ID]],Customers!$A$2:$A$30,Customers!$C$2:$C$30,"Not found")</f>
        <v>Pays full</v>
      </c>
    </row>
    <row r="2086" spans="1:9">
      <c r="A2086" s="9">
        <v>44863</v>
      </c>
      <c r="B2086" t="s">
        <v>91</v>
      </c>
      <c r="C2086" t="s">
        <v>8</v>
      </c>
      <c r="D2086" s="4">
        <v>263</v>
      </c>
      <c r="E2086" s="4"/>
      <c r="F2086">
        <v>234</v>
      </c>
      <c r="H2086" t="str">
        <f t="shared" si="32"/>
        <v>2022-10</v>
      </c>
      <c r="I2086" t="str">
        <f>_xlfn.XLOOKUP(Table1[[#This Row],[Customer_ID]],Customers!$A$2:$A$30,Customers!$C$2:$C$30,"Not found")</f>
        <v>Pays full</v>
      </c>
    </row>
    <row r="2087" spans="1:9">
      <c r="A2087" s="9">
        <v>44863</v>
      </c>
      <c r="B2087" t="s">
        <v>91</v>
      </c>
      <c r="C2087" t="s">
        <v>8</v>
      </c>
      <c r="D2087" s="4">
        <v>60</v>
      </c>
      <c r="E2087" s="4"/>
      <c r="F2087">
        <v>234</v>
      </c>
      <c r="G2087" t="s">
        <v>392</v>
      </c>
      <c r="H2087" t="str">
        <f t="shared" si="32"/>
        <v>2022-10</v>
      </c>
      <c r="I2087" t="str">
        <f>_xlfn.XLOOKUP(Table1[[#This Row],[Customer_ID]],Customers!$A$2:$A$30,Customers!$C$2:$C$30,"Not found")</f>
        <v>Pays full</v>
      </c>
    </row>
    <row r="2088" spans="1:9">
      <c r="A2088" s="9">
        <v>44865</v>
      </c>
      <c r="B2088" t="s">
        <v>91</v>
      </c>
      <c r="C2088" t="s">
        <v>8</v>
      </c>
      <c r="D2088" s="4">
        <v>278</v>
      </c>
      <c r="E2088" s="4"/>
      <c r="F2088">
        <v>234</v>
      </c>
      <c r="H2088" t="str">
        <f t="shared" si="32"/>
        <v>2022-10</v>
      </c>
      <c r="I2088" t="str">
        <f>_xlfn.XLOOKUP(Table1[[#This Row],[Customer_ID]],Customers!$A$2:$A$30,Customers!$C$2:$C$30,"Not found")</f>
        <v>Pays full</v>
      </c>
    </row>
    <row r="2089" spans="1:9">
      <c r="A2089" s="9">
        <v>44872</v>
      </c>
      <c r="B2089" t="s">
        <v>91</v>
      </c>
      <c r="C2089" t="s">
        <v>8</v>
      </c>
      <c r="D2089" s="4">
        <v>234</v>
      </c>
      <c r="E2089" s="4">
        <v>3202</v>
      </c>
      <c r="F2089">
        <v>234</v>
      </c>
      <c r="G2089" t="s">
        <v>393</v>
      </c>
      <c r="H2089" t="str">
        <f t="shared" si="32"/>
        <v>2022-11</v>
      </c>
      <c r="I2089" t="str">
        <f>_xlfn.XLOOKUP(Table1[[#This Row],[Customer_ID]],Customers!$A$2:$A$30,Customers!$C$2:$C$30,"Not found")</f>
        <v>Pays full</v>
      </c>
    </row>
    <row r="2090" spans="1:9">
      <c r="A2090" s="9">
        <v>44877</v>
      </c>
      <c r="B2090" t="s">
        <v>91</v>
      </c>
      <c r="C2090" t="s">
        <v>8</v>
      </c>
      <c r="D2090" s="4">
        <v>234</v>
      </c>
      <c r="E2090" s="4">
        <v>3436</v>
      </c>
      <c r="F2090">
        <v>234</v>
      </c>
      <c r="G2090" t="s">
        <v>394</v>
      </c>
      <c r="H2090" t="str">
        <f t="shared" si="32"/>
        <v>2022-11</v>
      </c>
      <c r="I2090" t="str">
        <f>_xlfn.XLOOKUP(Table1[[#This Row],[Customer_ID]],Customers!$A$2:$A$30,Customers!$C$2:$C$30,"Not found")</f>
        <v>Pays full</v>
      </c>
    </row>
    <row r="2091" spans="1:9">
      <c r="A2091" s="9">
        <v>44878</v>
      </c>
      <c r="B2091" t="s">
        <v>91</v>
      </c>
      <c r="C2091" t="s">
        <v>14</v>
      </c>
      <c r="D2091" s="4">
        <v>3000</v>
      </c>
      <c r="E2091" s="4">
        <v>436</v>
      </c>
      <c r="F2091">
        <v>234</v>
      </c>
      <c r="G2091" t="s">
        <v>395</v>
      </c>
      <c r="H2091" t="str">
        <f t="shared" si="32"/>
        <v>2022-11</v>
      </c>
      <c r="I2091" t="str">
        <f>_xlfn.XLOOKUP(Table1[[#This Row],[Customer_ID]],Customers!$A$2:$A$30,Customers!$C$2:$C$30,"Not found")</f>
        <v>Pays full</v>
      </c>
    </row>
    <row r="2092" spans="1:9">
      <c r="A2092" s="9">
        <v>44884</v>
      </c>
      <c r="B2092" t="s">
        <v>91</v>
      </c>
      <c r="C2092" t="s">
        <v>8</v>
      </c>
      <c r="D2092" s="4">
        <v>854</v>
      </c>
      <c r="E2092" s="4"/>
      <c r="F2092">
        <v>234</v>
      </c>
      <c r="H2092" t="str">
        <f t="shared" si="32"/>
        <v>2022-11</v>
      </c>
      <c r="I2092" t="str">
        <f>_xlfn.XLOOKUP(Table1[[#This Row],[Customer_ID]],Customers!$A$2:$A$30,Customers!$C$2:$C$30,"Not found")</f>
        <v>Pays full</v>
      </c>
    </row>
    <row r="2093" spans="1:9">
      <c r="A2093" s="9">
        <v>44890</v>
      </c>
      <c r="B2093" t="s">
        <v>91</v>
      </c>
      <c r="C2093" t="s">
        <v>8</v>
      </c>
      <c r="D2093" s="4">
        <v>218</v>
      </c>
      <c r="E2093" s="4"/>
      <c r="F2093">
        <v>234</v>
      </c>
      <c r="H2093" t="str">
        <f t="shared" si="32"/>
        <v>2022-11</v>
      </c>
      <c r="I2093" t="str">
        <f>_xlfn.XLOOKUP(Table1[[#This Row],[Customer_ID]],Customers!$A$2:$A$30,Customers!$C$2:$C$30,"Not found")</f>
        <v>Pays full</v>
      </c>
    </row>
    <row r="2094" spans="1:9">
      <c r="A2094" s="9">
        <v>44898</v>
      </c>
      <c r="B2094" t="s">
        <v>91</v>
      </c>
      <c r="C2094" t="s">
        <v>8</v>
      </c>
      <c r="D2094" s="4">
        <v>81</v>
      </c>
      <c r="E2094" s="4"/>
      <c r="F2094">
        <v>234</v>
      </c>
      <c r="H2094" t="str">
        <f t="shared" si="32"/>
        <v>2022-12</v>
      </c>
      <c r="I2094" t="str">
        <f>_xlfn.XLOOKUP(Table1[[#This Row],[Customer_ID]],Customers!$A$2:$A$30,Customers!$C$2:$C$30,"Not found")</f>
        <v>Pays full</v>
      </c>
    </row>
    <row r="2095" spans="1:9">
      <c r="A2095" s="9">
        <v>44898</v>
      </c>
      <c r="B2095" t="s">
        <v>91</v>
      </c>
      <c r="C2095" t="s">
        <v>8</v>
      </c>
      <c r="D2095" s="4">
        <v>20</v>
      </c>
      <c r="E2095" s="4"/>
      <c r="F2095">
        <v>234</v>
      </c>
      <c r="H2095" t="str">
        <f t="shared" si="32"/>
        <v>2022-12</v>
      </c>
      <c r="I2095" t="str">
        <f>_xlfn.XLOOKUP(Table1[[#This Row],[Customer_ID]],Customers!$A$2:$A$30,Customers!$C$2:$C$30,"Not found")</f>
        <v>Pays full</v>
      </c>
    </row>
    <row r="2096" spans="1:9">
      <c r="A2096" s="9">
        <v>44904</v>
      </c>
      <c r="B2096" t="s">
        <v>91</v>
      </c>
      <c r="C2096" t="s">
        <v>8</v>
      </c>
      <c r="D2096" s="4">
        <v>131</v>
      </c>
      <c r="E2096" s="4"/>
      <c r="F2096">
        <v>234</v>
      </c>
      <c r="H2096" t="str">
        <f t="shared" si="32"/>
        <v>2022-12</v>
      </c>
      <c r="I2096" t="str">
        <f>_xlfn.XLOOKUP(Table1[[#This Row],[Customer_ID]],Customers!$A$2:$A$30,Customers!$C$2:$C$30,"Not found")</f>
        <v>Pays full</v>
      </c>
    </row>
    <row r="2097" spans="1:9">
      <c r="A2097" s="9">
        <v>44904</v>
      </c>
      <c r="B2097" t="s">
        <v>91</v>
      </c>
      <c r="C2097" t="s">
        <v>8</v>
      </c>
      <c r="D2097" s="4">
        <v>120</v>
      </c>
      <c r="E2097" s="4">
        <v>1860</v>
      </c>
      <c r="F2097">
        <v>234</v>
      </c>
      <c r="G2097" t="s">
        <v>396</v>
      </c>
      <c r="H2097" t="str">
        <f t="shared" si="32"/>
        <v>2022-12</v>
      </c>
      <c r="I2097" t="str">
        <f>_xlfn.XLOOKUP(Table1[[#This Row],[Customer_ID]],Customers!$A$2:$A$30,Customers!$C$2:$C$30,"Not found")</f>
        <v>Pays full</v>
      </c>
    </row>
    <row r="2098" spans="1:9">
      <c r="A2098" s="9"/>
      <c r="B2098" t="s">
        <v>91</v>
      </c>
      <c r="C2098" t="s">
        <v>14</v>
      </c>
      <c r="D2098" s="4">
        <v>1860</v>
      </c>
      <c r="E2098" s="4">
        <v>0</v>
      </c>
      <c r="F2098">
        <v>234</v>
      </c>
      <c r="G2098" t="s">
        <v>397</v>
      </c>
      <c r="H2098" t="str">
        <f t="shared" si="32"/>
        <v/>
      </c>
      <c r="I2098" t="str">
        <f>_xlfn.XLOOKUP(Table1[[#This Row],[Customer_ID]],Customers!$A$2:$A$30,Customers!$C$2:$C$30,"Not found")</f>
        <v>Pays full</v>
      </c>
    </row>
    <row r="2099" spans="1:9">
      <c r="A2099" s="9">
        <v>44910</v>
      </c>
      <c r="B2099" t="s">
        <v>91</v>
      </c>
      <c r="C2099" t="s">
        <v>8</v>
      </c>
      <c r="D2099" s="4">
        <v>360</v>
      </c>
      <c r="E2099" s="4"/>
      <c r="F2099">
        <v>234</v>
      </c>
      <c r="H2099" t="str">
        <f t="shared" si="32"/>
        <v>2022-12</v>
      </c>
      <c r="I2099" t="str">
        <f>_xlfn.XLOOKUP(Table1[[#This Row],[Customer_ID]],Customers!$A$2:$A$30,Customers!$C$2:$C$30,"Not found")</f>
        <v>Pays full</v>
      </c>
    </row>
    <row r="2100" spans="1:9">
      <c r="A2100" s="9">
        <v>44912</v>
      </c>
      <c r="B2100" t="s">
        <v>91</v>
      </c>
      <c r="C2100" t="s">
        <v>8</v>
      </c>
      <c r="D2100" s="4">
        <v>391</v>
      </c>
      <c r="E2100" s="4"/>
      <c r="F2100">
        <v>234</v>
      </c>
      <c r="H2100" t="str">
        <f t="shared" si="32"/>
        <v>2022-12</v>
      </c>
      <c r="I2100" t="str">
        <f>_xlfn.XLOOKUP(Table1[[#This Row],[Customer_ID]],Customers!$A$2:$A$30,Customers!$C$2:$C$30,"Not found")</f>
        <v>Pays full</v>
      </c>
    </row>
    <row r="2101" spans="1:9">
      <c r="A2101" s="9">
        <v>44919</v>
      </c>
      <c r="B2101" t="s">
        <v>91</v>
      </c>
      <c r="C2101" t="s">
        <v>8</v>
      </c>
      <c r="D2101" s="4">
        <v>125</v>
      </c>
      <c r="E2101" s="4"/>
      <c r="F2101">
        <v>234</v>
      </c>
      <c r="H2101" t="str">
        <f t="shared" si="32"/>
        <v>2022-12</v>
      </c>
      <c r="I2101" t="str">
        <f>_xlfn.XLOOKUP(Table1[[#This Row],[Customer_ID]],Customers!$A$2:$A$30,Customers!$C$2:$C$30,"Not found")</f>
        <v>Pays full</v>
      </c>
    </row>
    <row r="2102" spans="1:9">
      <c r="A2102" s="9">
        <v>44925</v>
      </c>
      <c r="B2102" t="s">
        <v>91</v>
      </c>
      <c r="C2102" t="s">
        <v>8</v>
      </c>
      <c r="D2102" s="4">
        <v>348</v>
      </c>
      <c r="E2102" s="4"/>
      <c r="F2102">
        <v>234</v>
      </c>
      <c r="H2102" t="str">
        <f t="shared" si="32"/>
        <v>2022-12</v>
      </c>
      <c r="I2102" t="str">
        <f>_xlfn.XLOOKUP(Table1[[#This Row],[Customer_ID]],Customers!$A$2:$A$30,Customers!$C$2:$C$30,"Not found")</f>
        <v>Pays full</v>
      </c>
    </row>
    <row r="2103" spans="1:9">
      <c r="A2103" s="9">
        <v>44933</v>
      </c>
      <c r="B2103" t="s">
        <v>91</v>
      </c>
      <c r="C2103" t="s">
        <v>8</v>
      </c>
      <c r="D2103" s="4">
        <v>558</v>
      </c>
      <c r="E2103" s="4"/>
      <c r="F2103">
        <v>234</v>
      </c>
      <c r="H2103" t="str">
        <f t="shared" si="32"/>
        <v>2023-01</v>
      </c>
      <c r="I2103" t="str">
        <f>_xlfn.XLOOKUP(Table1[[#This Row],[Customer_ID]],Customers!$A$2:$A$30,Customers!$C$2:$C$30,"Not found")</f>
        <v>Pays full</v>
      </c>
    </row>
    <row r="2104" spans="1:9">
      <c r="A2104" s="9">
        <v>44933</v>
      </c>
      <c r="B2104" t="s">
        <v>91</v>
      </c>
      <c r="C2104" t="s">
        <v>8</v>
      </c>
      <c r="D2104" s="4">
        <v>70</v>
      </c>
      <c r="E2104" s="4">
        <v>1852</v>
      </c>
      <c r="F2104">
        <v>234</v>
      </c>
      <c r="G2104" t="s">
        <v>398</v>
      </c>
      <c r="H2104" t="str">
        <f t="shared" si="32"/>
        <v>2023-01</v>
      </c>
      <c r="I2104" t="str">
        <f>_xlfn.XLOOKUP(Table1[[#This Row],[Customer_ID]],Customers!$A$2:$A$30,Customers!$C$2:$C$30,"Not found")</f>
        <v>Pays full</v>
      </c>
    </row>
    <row r="2105" spans="1:9">
      <c r="A2105" s="9"/>
      <c r="B2105" t="s">
        <v>91</v>
      </c>
      <c r="C2105" t="s">
        <v>14</v>
      </c>
      <c r="D2105" s="4">
        <v>1852</v>
      </c>
      <c r="E2105" s="4">
        <v>0</v>
      </c>
      <c r="F2105">
        <v>234</v>
      </c>
      <c r="G2105" t="s">
        <v>399</v>
      </c>
      <c r="H2105" t="str">
        <f t="shared" si="32"/>
        <v/>
      </c>
      <c r="I2105" t="str">
        <f>_xlfn.XLOOKUP(Table1[[#This Row],[Customer_ID]],Customers!$A$2:$A$30,Customers!$C$2:$C$30,"Not found")</f>
        <v>Pays full</v>
      </c>
    </row>
    <row r="2106" spans="1:9">
      <c r="A2106" s="9">
        <v>44938</v>
      </c>
      <c r="B2106" t="s">
        <v>91</v>
      </c>
      <c r="C2106" t="s">
        <v>8</v>
      </c>
      <c r="D2106" s="4">
        <v>895</v>
      </c>
      <c r="E2106" s="4"/>
      <c r="F2106">
        <v>234</v>
      </c>
      <c r="H2106" t="str">
        <f t="shared" si="32"/>
        <v>2023-01</v>
      </c>
      <c r="I2106" t="str">
        <f>_xlfn.XLOOKUP(Table1[[#This Row],[Customer_ID]],Customers!$A$2:$A$30,Customers!$C$2:$C$30,"Not found")</f>
        <v>Pays full</v>
      </c>
    </row>
    <row r="2107" spans="1:9">
      <c r="A2107" s="9">
        <v>44948</v>
      </c>
      <c r="B2107" t="s">
        <v>91</v>
      </c>
      <c r="C2107" t="s">
        <v>8</v>
      </c>
      <c r="D2107" s="4">
        <v>225</v>
      </c>
      <c r="E2107" s="4"/>
      <c r="F2107">
        <v>234</v>
      </c>
      <c r="H2107" t="str">
        <f t="shared" si="32"/>
        <v>2023-01</v>
      </c>
      <c r="I2107" t="str">
        <f>_xlfn.XLOOKUP(Table1[[#This Row],[Customer_ID]],Customers!$A$2:$A$30,Customers!$C$2:$C$30,"Not found")</f>
        <v>Pays full</v>
      </c>
    </row>
    <row r="2108" spans="1:9">
      <c r="A2108" s="9">
        <v>44959</v>
      </c>
      <c r="B2108" t="s">
        <v>91</v>
      </c>
      <c r="C2108" t="s">
        <v>8</v>
      </c>
      <c r="D2108" s="4">
        <v>770</v>
      </c>
      <c r="E2108" s="4"/>
      <c r="F2108">
        <v>234</v>
      </c>
      <c r="H2108" t="str">
        <f t="shared" si="32"/>
        <v>2023-02</v>
      </c>
      <c r="I2108" t="str">
        <f>_xlfn.XLOOKUP(Table1[[#This Row],[Customer_ID]],Customers!$A$2:$A$30,Customers!$C$2:$C$30,"Not found")</f>
        <v>Pays full</v>
      </c>
    </row>
    <row r="2109" spans="1:9">
      <c r="A2109" s="9">
        <v>44968</v>
      </c>
      <c r="B2109" t="s">
        <v>91</v>
      </c>
      <c r="C2109" t="s">
        <v>8</v>
      </c>
      <c r="D2109" s="4">
        <v>75</v>
      </c>
      <c r="E2109" s="4">
        <v>1965</v>
      </c>
      <c r="F2109">
        <v>234</v>
      </c>
      <c r="G2109" t="s">
        <v>400</v>
      </c>
      <c r="H2109" t="str">
        <f t="shared" si="32"/>
        <v>2023-02</v>
      </c>
      <c r="I2109" t="str">
        <f>_xlfn.XLOOKUP(Table1[[#This Row],[Customer_ID]],Customers!$A$2:$A$30,Customers!$C$2:$C$30,"Not found")</f>
        <v>Pays full</v>
      </c>
    </row>
    <row r="2110" spans="1:9">
      <c r="A2110" s="9"/>
      <c r="B2110" t="s">
        <v>91</v>
      </c>
      <c r="C2110" t="s">
        <v>14</v>
      </c>
      <c r="D2110" s="4">
        <v>1965</v>
      </c>
      <c r="E2110" s="4">
        <v>0</v>
      </c>
      <c r="F2110">
        <v>234</v>
      </c>
      <c r="G2110" t="s">
        <v>401</v>
      </c>
      <c r="H2110" t="str">
        <f t="shared" si="32"/>
        <v/>
      </c>
      <c r="I2110" t="str">
        <f>_xlfn.XLOOKUP(Table1[[#This Row],[Customer_ID]],Customers!$A$2:$A$30,Customers!$C$2:$C$30,"Not found")</f>
        <v>Pays full</v>
      </c>
    </row>
    <row r="2111" spans="1:9">
      <c r="A2111" s="9">
        <v>45003</v>
      </c>
      <c r="B2111" t="s">
        <v>91</v>
      </c>
      <c r="C2111" t="s">
        <v>8</v>
      </c>
      <c r="D2111" s="4">
        <v>543</v>
      </c>
      <c r="E2111" s="4"/>
      <c r="F2111">
        <v>234</v>
      </c>
      <c r="H2111" t="str">
        <f t="shared" ref="H2111:H2174" si="33">IF(A2111="","",TEXT(A2111,"yyyy-mm"))</f>
        <v>2023-03</v>
      </c>
      <c r="I2111" t="str">
        <f>_xlfn.XLOOKUP(Table1[[#This Row],[Customer_ID]],Customers!$A$2:$A$30,Customers!$C$2:$C$30,"Not found")</f>
        <v>Pays full</v>
      </c>
    </row>
    <row r="2112" spans="1:9">
      <c r="A2112" s="9">
        <v>45013</v>
      </c>
      <c r="B2112" t="s">
        <v>91</v>
      </c>
      <c r="C2112" t="s">
        <v>8</v>
      </c>
      <c r="D2112" s="4">
        <v>858</v>
      </c>
      <c r="E2112" s="4"/>
      <c r="F2112">
        <v>234</v>
      </c>
      <c r="H2112" t="str">
        <f t="shared" si="33"/>
        <v>2023-03</v>
      </c>
      <c r="I2112" t="str">
        <f>_xlfn.XLOOKUP(Table1[[#This Row],[Customer_ID]],Customers!$A$2:$A$30,Customers!$C$2:$C$30,"Not found")</f>
        <v>Pays full</v>
      </c>
    </row>
    <row r="2113" spans="1:9">
      <c r="A2113" s="9">
        <v>45013</v>
      </c>
      <c r="B2113" t="s">
        <v>91</v>
      </c>
      <c r="C2113" t="s">
        <v>8</v>
      </c>
      <c r="D2113" s="4">
        <v>126</v>
      </c>
      <c r="E2113" s="4"/>
      <c r="F2113">
        <v>234</v>
      </c>
      <c r="H2113" t="str">
        <f t="shared" si="33"/>
        <v>2023-03</v>
      </c>
      <c r="I2113" t="str">
        <f>_xlfn.XLOOKUP(Table1[[#This Row],[Customer_ID]],Customers!$A$2:$A$30,Customers!$C$2:$C$30,"Not found")</f>
        <v>Pays full</v>
      </c>
    </row>
    <row r="2114" spans="1:9">
      <c r="A2114" s="9">
        <v>45016</v>
      </c>
      <c r="B2114" t="s">
        <v>91</v>
      </c>
      <c r="C2114" t="s">
        <v>8</v>
      </c>
      <c r="D2114" s="4">
        <v>38</v>
      </c>
      <c r="E2114" s="4"/>
      <c r="F2114">
        <v>234</v>
      </c>
      <c r="G2114" t="s">
        <v>402</v>
      </c>
      <c r="H2114" t="str">
        <f t="shared" si="33"/>
        <v>2023-03</v>
      </c>
      <c r="I2114" t="str">
        <f>_xlfn.XLOOKUP(Table1[[#This Row],[Customer_ID]],Customers!$A$2:$A$30,Customers!$C$2:$C$30,"Not found")</f>
        <v>Pays full</v>
      </c>
    </row>
    <row r="2115" spans="1:9">
      <c r="A2115" s="9">
        <v>45018</v>
      </c>
      <c r="B2115" t="s">
        <v>91</v>
      </c>
      <c r="C2115" t="s">
        <v>8</v>
      </c>
      <c r="D2115" s="4">
        <v>115</v>
      </c>
      <c r="E2115" s="4"/>
      <c r="F2115">
        <v>234</v>
      </c>
      <c r="H2115" t="str">
        <f t="shared" si="33"/>
        <v>2023-04</v>
      </c>
      <c r="I2115" t="str">
        <f>_xlfn.XLOOKUP(Table1[[#This Row],[Customer_ID]],Customers!$A$2:$A$30,Customers!$C$2:$C$30,"Not found")</f>
        <v>Pays full</v>
      </c>
    </row>
    <row r="2116" spans="1:9">
      <c r="A2116" s="9">
        <v>45020</v>
      </c>
      <c r="B2116" t="s">
        <v>91</v>
      </c>
      <c r="C2116" t="s">
        <v>8</v>
      </c>
      <c r="D2116" s="4">
        <v>188</v>
      </c>
      <c r="E2116" s="4">
        <v>1868</v>
      </c>
      <c r="F2116">
        <v>234</v>
      </c>
      <c r="G2116" t="s">
        <v>403</v>
      </c>
      <c r="H2116" t="str">
        <f t="shared" si="33"/>
        <v>2023-04</v>
      </c>
      <c r="I2116" t="str">
        <f>_xlfn.XLOOKUP(Table1[[#This Row],[Customer_ID]],Customers!$A$2:$A$30,Customers!$C$2:$C$30,"Not found")</f>
        <v>Pays full</v>
      </c>
    </row>
    <row r="2117" spans="1:9">
      <c r="A2117" s="9"/>
      <c r="B2117" t="s">
        <v>91</v>
      </c>
      <c r="C2117" t="s">
        <v>14</v>
      </c>
      <c r="D2117" s="4">
        <v>1504</v>
      </c>
      <c r="E2117" s="4">
        <v>364</v>
      </c>
      <c r="F2117">
        <v>234</v>
      </c>
      <c r="G2117" t="s">
        <v>404</v>
      </c>
      <c r="H2117" t="str">
        <f t="shared" si="33"/>
        <v/>
      </c>
      <c r="I2117" t="str">
        <f>_xlfn.XLOOKUP(Table1[[#This Row],[Customer_ID]],Customers!$A$2:$A$30,Customers!$C$2:$C$30,"Not found")</f>
        <v>Pays full</v>
      </c>
    </row>
    <row r="2118" spans="1:9">
      <c r="A2118" s="9">
        <v>45034</v>
      </c>
      <c r="B2118" t="s">
        <v>91</v>
      </c>
      <c r="C2118" t="s">
        <v>8</v>
      </c>
      <c r="D2118" s="4">
        <v>880</v>
      </c>
      <c r="E2118" s="4"/>
      <c r="F2118">
        <v>234</v>
      </c>
      <c r="H2118" t="str">
        <f t="shared" si="33"/>
        <v>2023-04</v>
      </c>
      <c r="I2118" t="str">
        <f>_xlfn.XLOOKUP(Table1[[#This Row],[Customer_ID]],Customers!$A$2:$A$30,Customers!$C$2:$C$30,"Not found")</f>
        <v>Pays full</v>
      </c>
    </row>
    <row r="2119" spans="1:9">
      <c r="A2119" s="9">
        <v>45051</v>
      </c>
      <c r="B2119" t="s">
        <v>91</v>
      </c>
      <c r="C2119" t="s">
        <v>8</v>
      </c>
      <c r="D2119" s="4">
        <v>739</v>
      </c>
      <c r="E2119" s="4"/>
      <c r="F2119">
        <v>234</v>
      </c>
      <c r="H2119" t="str">
        <f t="shared" si="33"/>
        <v>2023-05</v>
      </c>
      <c r="I2119" t="str">
        <f>_xlfn.XLOOKUP(Table1[[#This Row],[Customer_ID]],Customers!$A$2:$A$30,Customers!$C$2:$C$30,"Not found")</f>
        <v>Pays full</v>
      </c>
    </row>
    <row r="2120" spans="1:9">
      <c r="A2120" s="9">
        <v>45051</v>
      </c>
      <c r="B2120" t="s">
        <v>91</v>
      </c>
      <c r="C2120" t="s">
        <v>22</v>
      </c>
      <c r="D2120" s="4">
        <v>-59</v>
      </c>
      <c r="E2120" s="4">
        <v>1924</v>
      </c>
      <c r="F2120">
        <v>234</v>
      </c>
      <c r="G2120" t="s">
        <v>405</v>
      </c>
      <c r="H2120" t="str">
        <f t="shared" si="33"/>
        <v>2023-05</v>
      </c>
      <c r="I2120" t="str">
        <f>_xlfn.XLOOKUP(Table1[[#This Row],[Customer_ID]],Customers!$A$2:$A$30,Customers!$C$2:$C$30,"Not found")</f>
        <v>Pays full</v>
      </c>
    </row>
    <row r="2121" spans="1:9">
      <c r="A2121" s="9">
        <v>45068</v>
      </c>
      <c r="B2121" t="s">
        <v>91</v>
      </c>
      <c r="C2121" t="s">
        <v>8</v>
      </c>
      <c r="D2121" s="4">
        <v>26</v>
      </c>
      <c r="E2121" s="4"/>
      <c r="F2121">
        <v>234</v>
      </c>
      <c r="H2121" t="str">
        <f t="shared" si="33"/>
        <v>2023-05</v>
      </c>
      <c r="I2121" t="str">
        <f>_xlfn.XLOOKUP(Table1[[#This Row],[Customer_ID]],Customers!$A$2:$A$30,Customers!$C$2:$C$30,"Not found")</f>
        <v>Pays full</v>
      </c>
    </row>
    <row r="2122" spans="1:9">
      <c r="A2122" s="9">
        <v>45069</v>
      </c>
      <c r="B2122" t="s">
        <v>91</v>
      </c>
      <c r="C2122" t="s">
        <v>8</v>
      </c>
      <c r="D2122" s="4">
        <v>397</v>
      </c>
      <c r="E2122" s="4"/>
      <c r="F2122">
        <v>234</v>
      </c>
      <c r="H2122" t="str">
        <f t="shared" si="33"/>
        <v>2023-05</v>
      </c>
      <c r="I2122" t="str">
        <f>_xlfn.XLOOKUP(Table1[[#This Row],[Customer_ID]],Customers!$A$2:$A$30,Customers!$C$2:$C$30,"Not found")</f>
        <v>Pays full</v>
      </c>
    </row>
    <row r="2123" spans="1:9">
      <c r="A2123" s="9">
        <v>45077</v>
      </c>
      <c r="B2123" t="s">
        <v>91</v>
      </c>
      <c r="C2123" t="s">
        <v>8</v>
      </c>
      <c r="D2123" s="4">
        <v>825</v>
      </c>
      <c r="E2123" s="4">
        <v>3172</v>
      </c>
      <c r="F2123">
        <v>234</v>
      </c>
      <c r="G2123" t="s">
        <v>406</v>
      </c>
      <c r="H2123" t="str">
        <f t="shared" si="33"/>
        <v>2023-05</v>
      </c>
      <c r="I2123" t="str">
        <f>_xlfn.XLOOKUP(Table1[[#This Row],[Customer_ID]],Customers!$A$2:$A$30,Customers!$C$2:$C$30,"Not found")</f>
        <v>Pays full</v>
      </c>
    </row>
    <row r="2124" spans="1:9">
      <c r="A2124" s="9">
        <v>44805</v>
      </c>
      <c r="B2124" t="s">
        <v>92</v>
      </c>
      <c r="C2124" t="s">
        <v>28</v>
      </c>
      <c r="D2124" s="4">
        <v>10988</v>
      </c>
      <c r="E2124" s="4">
        <v>10988</v>
      </c>
      <c r="F2124">
        <v>224</v>
      </c>
      <c r="G2124" t="s">
        <v>407</v>
      </c>
      <c r="H2124" t="str">
        <f t="shared" si="33"/>
        <v>2022-09</v>
      </c>
      <c r="I2124" t="str">
        <f>_xlfn.XLOOKUP(Table1[[#This Row],[Customer_ID]],Customers!$A$2:$A$30,Customers!$C$2:$C$30,"Not found")</f>
        <v>Carries forward</v>
      </c>
    </row>
    <row r="2125" spans="1:9">
      <c r="A2125" s="9"/>
      <c r="B2125" t="s">
        <v>92</v>
      </c>
      <c r="C2125" t="s">
        <v>14</v>
      </c>
      <c r="D2125" s="4">
        <v>6000</v>
      </c>
      <c r="E2125" s="4">
        <v>4988</v>
      </c>
      <c r="F2125">
        <v>224</v>
      </c>
      <c r="G2125" t="s">
        <v>408</v>
      </c>
      <c r="H2125" t="str">
        <f t="shared" si="33"/>
        <v/>
      </c>
      <c r="I2125" t="str">
        <f>_xlfn.XLOOKUP(Table1[[#This Row],[Customer_ID]],Customers!$A$2:$A$30,Customers!$C$2:$C$30,"Not found")</f>
        <v>Carries forward</v>
      </c>
    </row>
    <row r="2126" spans="1:9">
      <c r="A2126" s="9">
        <v>44806</v>
      </c>
      <c r="B2126" t="s">
        <v>92</v>
      </c>
      <c r="C2126" t="s">
        <v>8</v>
      </c>
      <c r="D2126" s="4">
        <v>30</v>
      </c>
      <c r="E2126" s="4"/>
      <c r="F2126">
        <v>224</v>
      </c>
      <c r="H2126" t="str">
        <f t="shared" si="33"/>
        <v>2022-09</v>
      </c>
      <c r="I2126" t="str">
        <f>_xlfn.XLOOKUP(Table1[[#This Row],[Customer_ID]],Customers!$A$2:$A$30,Customers!$C$2:$C$30,"Not found")</f>
        <v>Carries forward</v>
      </c>
    </row>
    <row r="2127" spans="1:9">
      <c r="A2127" s="9">
        <v>44807</v>
      </c>
      <c r="B2127" t="s">
        <v>92</v>
      </c>
      <c r="C2127" t="s">
        <v>8</v>
      </c>
      <c r="D2127" s="4">
        <v>665</v>
      </c>
      <c r="E2127" s="4"/>
      <c r="F2127">
        <v>224</v>
      </c>
      <c r="H2127" t="str">
        <f t="shared" si="33"/>
        <v>2022-09</v>
      </c>
      <c r="I2127" t="str">
        <f>_xlfn.XLOOKUP(Table1[[#This Row],[Customer_ID]],Customers!$A$2:$A$30,Customers!$C$2:$C$30,"Not found")</f>
        <v>Carries forward</v>
      </c>
    </row>
    <row r="2128" spans="1:9">
      <c r="A2128" s="9">
        <v>44810</v>
      </c>
      <c r="B2128" t="s">
        <v>92</v>
      </c>
      <c r="C2128" t="s">
        <v>8</v>
      </c>
      <c r="D2128" s="4">
        <v>554</v>
      </c>
      <c r="E2128" s="4"/>
      <c r="F2128">
        <v>224</v>
      </c>
      <c r="H2128" t="str">
        <f t="shared" si="33"/>
        <v>2022-09</v>
      </c>
      <c r="I2128" t="str">
        <f>_xlfn.XLOOKUP(Table1[[#This Row],[Customer_ID]],Customers!$A$2:$A$30,Customers!$C$2:$C$30,"Not found")</f>
        <v>Carries forward</v>
      </c>
    </row>
    <row r="2129" spans="1:9">
      <c r="A2129" s="9">
        <v>44812</v>
      </c>
      <c r="B2129" t="s">
        <v>92</v>
      </c>
      <c r="C2129" t="s">
        <v>8</v>
      </c>
      <c r="D2129" s="4">
        <v>568</v>
      </c>
      <c r="E2129" s="4"/>
      <c r="F2129">
        <v>224</v>
      </c>
      <c r="H2129" t="str">
        <f t="shared" si="33"/>
        <v>2022-09</v>
      </c>
      <c r="I2129" t="str">
        <f>_xlfn.XLOOKUP(Table1[[#This Row],[Customer_ID]],Customers!$A$2:$A$30,Customers!$C$2:$C$30,"Not found")</f>
        <v>Carries forward</v>
      </c>
    </row>
    <row r="2130" spans="1:9">
      <c r="A2130" s="9">
        <v>44813</v>
      </c>
      <c r="B2130" t="s">
        <v>92</v>
      </c>
      <c r="C2130" t="s">
        <v>8</v>
      </c>
      <c r="D2130" s="4">
        <v>427</v>
      </c>
      <c r="E2130" s="4"/>
      <c r="F2130">
        <v>224</v>
      </c>
      <c r="H2130" t="str">
        <f t="shared" si="33"/>
        <v>2022-09</v>
      </c>
      <c r="I2130" t="str">
        <f>_xlfn.XLOOKUP(Table1[[#This Row],[Customer_ID]],Customers!$A$2:$A$30,Customers!$C$2:$C$30,"Not found")</f>
        <v>Carries forward</v>
      </c>
    </row>
    <row r="2131" spans="1:9">
      <c r="A2131" s="9">
        <v>44818</v>
      </c>
      <c r="B2131" t="s">
        <v>92</v>
      </c>
      <c r="C2131" t="s">
        <v>8</v>
      </c>
      <c r="D2131" s="4">
        <v>517</v>
      </c>
      <c r="E2131" s="4"/>
      <c r="F2131">
        <v>224</v>
      </c>
      <c r="H2131" t="str">
        <f t="shared" si="33"/>
        <v>2022-09</v>
      </c>
      <c r="I2131" t="str">
        <f>_xlfn.XLOOKUP(Table1[[#This Row],[Customer_ID]],Customers!$A$2:$A$30,Customers!$C$2:$C$30,"Not found")</f>
        <v>Carries forward</v>
      </c>
    </row>
    <row r="2132" spans="1:9">
      <c r="A2132" s="9">
        <v>44824</v>
      </c>
      <c r="B2132" t="s">
        <v>92</v>
      </c>
      <c r="C2132" t="s">
        <v>8</v>
      </c>
      <c r="D2132" s="4">
        <v>713</v>
      </c>
      <c r="E2132" s="4"/>
      <c r="F2132">
        <v>224</v>
      </c>
      <c r="H2132" t="str">
        <f t="shared" si="33"/>
        <v>2022-09</v>
      </c>
      <c r="I2132" t="str">
        <f>_xlfn.XLOOKUP(Table1[[#This Row],[Customer_ID]],Customers!$A$2:$A$30,Customers!$C$2:$C$30,"Not found")</f>
        <v>Carries forward</v>
      </c>
    </row>
    <row r="2133" spans="1:9">
      <c r="A2133" s="9">
        <v>44827</v>
      </c>
      <c r="B2133" t="s">
        <v>92</v>
      </c>
      <c r="C2133" t="s">
        <v>8</v>
      </c>
      <c r="D2133" s="4">
        <v>1385</v>
      </c>
      <c r="E2133" s="4"/>
      <c r="F2133">
        <v>224</v>
      </c>
      <c r="H2133" t="str">
        <f t="shared" si="33"/>
        <v>2022-09</v>
      </c>
      <c r="I2133" t="str">
        <f>_xlfn.XLOOKUP(Table1[[#This Row],[Customer_ID]],Customers!$A$2:$A$30,Customers!$C$2:$C$30,"Not found")</f>
        <v>Carries forward</v>
      </c>
    </row>
    <row r="2134" spans="1:9">
      <c r="A2134" s="9">
        <v>44829</v>
      </c>
      <c r="B2134" t="s">
        <v>92</v>
      </c>
      <c r="C2134" t="s">
        <v>8</v>
      </c>
      <c r="D2134" s="4">
        <v>500</v>
      </c>
      <c r="E2134" s="4"/>
      <c r="F2134">
        <v>224</v>
      </c>
      <c r="H2134" t="str">
        <f t="shared" si="33"/>
        <v>2022-09</v>
      </c>
      <c r="I2134" t="str">
        <f>_xlfn.XLOOKUP(Table1[[#This Row],[Customer_ID]],Customers!$A$2:$A$30,Customers!$C$2:$C$30,"Not found")</f>
        <v>Carries forward</v>
      </c>
    </row>
    <row r="2135" spans="1:9">
      <c r="A2135" s="9">
        <v>44830</v>
      </c>
      <c r="B2135" t="s">
        <v>92</v>
      </c>
      <c r="C2135" t="s">
        <v>8</v>
      </c>
      <c r="D2135" s="4">
        <v>540</v>
      </c>
      <c r="E2135" s="4"/>
      <c r="F2135">
        <v>224</v>
      </c>
      <c r="H2135" t="str">
        <f t="shared" si="33"/>
        <v>2022-09</v>
      </c>
      <c r="I2135" t="str">
        <f>_xlfn.XLOOKUP(Table1[[#This Row],[Customer_ID]],Customers!$A$2:$A$30,Customers!$C$2:$C$30,"Not found")</f>
        <v>Carries forward</v>
      </c>
    </row>
    <row r="2136" spans="1:9">
      <c r="A2136" s="9">
        <v>44830</v>
      </c>
      <c r="B2136" t="s">
        <v>92</v>
      </c>
      <c r="C2136" t="s">
        <v>22</v>
      </c>
      <c r="D2136" s="4">
        <v>-60</v>
      </c>
      <c r="E2136" s="4">
        <v>10827</v>
      </c>
      <c r="F2136">
        <v>224</v>
      </c>
      <c r="G2136" t="s">
        <v>409</v>
      </c>
      <c r="H2136" t="str">
        <f t="shared" si="33"/>
        <v>2022-09</v>
      </c>
      <c r="I2136" t="str">
        <f>_xlfn.XLOOKUP(Table1[[#This Row],[Customer_ID]],Customers!$A$2:$A$30,Customers!$C$2:$C$30,"Not found")</f>
        <v>Carries forward</v>
      </c>
    </row>
    <row r="2137" spans="1:9">
      <c r="A2137" s="9"/>
      <c r="B2137" t="s">
        <v>92</v>
      </c>
      <c r="C2137" t="s">
        <v>14</v>
      </c>
      <c r="D2137" s="4">
        <v>6000</v>
      </c>
      <c r="E2137" s="4">
        <v>4827</v>
      </c>
      <c r="F2137">
        <v>224</v>
      </c>
      <c r="G2137" t="s">
        <v>410</v>
      </c>
      <c r="H2137" t="str">
        <f t="shared" si="33"/>
        <v/>
      </c>
      <c r="I2137" t="str">
        <f>_xlfn.XLOOKUP(Table1[[#This Row],[Customer_ID]],Customers!$A$2:$A$30,Customers!$C$2:$C$30,"Not found")</f>
        <v>Carries forward</v>
      </c>
    </row>
    <row r="2138" spans="1:9">
      <c r="A2138" s="9">
        <v>44835</v>
      </c>
      <c r="B2138" t="s">
        <v>92</v>
      </c>
      <c r="C2138" t="s">
        <v>8</v>
      </c>
      <c r="D2138" s="4">
        <v>694</v>
      </c>
      <c r="E2138" s="4"/>
      <c r="F2138">
        <v>224</v>
      </c>
      <c r="H2138" t="str">
        <f t="shared" si="33"/>
        <v>2022-10</v>
      </c>
      <c r="I2138" t="str">
        <f>_xlfn.XLOOKUP(Table1[[#This Row],[Customer_ID]],Customers!$A$2:$A$30,Customers!$C$2:$C$30,"Not found")</f>
        <v>Carries forward</v>
      </c>
    </row>
    <row r="2139" spans="1:9">
      <c r="A2139" s="9">
        <v>44839</v>
      </c>
      <c r="B2139" t="s">
        <v>92</v>
      </c>
      <c r="C2139" t="s">
        <v>8</v>
      </c>
      <c r="D2139" s="4">
        <v>647</v>
      </c>
      <c r="E2139" s="4"/>
      <c r="F2139">
        <v>224</v>
      </c>
      <c r="H2139" t="str">
        <f t="shared" si="33"/>
        <v>2022-10</v>
      </c>
      <c r="I2139" t="str">
        <f>_xlfn.XLOOKUP(Table1[[#This Row],[Customer_ID]],Customers!$A$2:$A$30,Customers!$C$2:$C$30,"Not found")</f>
        <v>Carries forward</v>
      </c>
    </row>
    <row r="2140" spans="1:9">
      <c r="A2140" s="9">
        <v>44839</v>
      </c>
      <c r="B2140" t="s">
        <v>92</v>
      </c>
      <c r="C2140" t="s">
        <v>8</v>
      </c>
      <c r="D2140" s="4">
        <v>5</v>
      </c>
      <c r="E2140" s="4"/>
      <c r="F2140">
        <v>224</v>
      </c>
      <c r="G2140" t="s">
        <v>117</v>
      </c>
      <c r="H2140" t="str">
        <f t="shared" si="33"/>
        <v>2022-10</v>
      </c>
      <c r="I2140" t="str">
        <f>_xlfn.XLOOKUP(Table1[[#This Row],[Customer_ID]],Customers!$A$2:$A$30,Customers!$C$2:$C$30,"Not found")</f>
        <v>Carries forward</v>
      </c>
    </row>
    <row r="2141" spans="1:9">
      <c r="A2141" s="9">
        <v>44842</v>
      </c>
      <c r="B2141" t="s">
        <v>92</v>
      </c>
      <c r="C2141" t="s">
        <v>8</v>
      </c>
      <c r="D2141" s="4">
        <v>750</v>
      </c>
      <c r="E2141" s="4"/>
      <c r="F2141">
        <v>224</v>
      </c>
      <c r="H2141" t="str">
        <f t="shared" si="33"/>
        <v>2022-10</v>
      </c>
      <c r="I2141" t="str">
        <f>_xlfn.XLOOKUP(Table1[[#This Row],[Customer_ID]],Customers!$A$2:$A$30,Customers!$C$2:$C$30,"Not found")</f>
        <v>Carries forward</v>
      </c>
    </row>
    <row r="2142" spans="1:9">
      <c r="A2142" s="9">
        <v>44847</v>
      </c>
      <c r="B2142" t="s">
        <v>92</v>
      </c>
      <c r="C2142" t="s">
        <v>8</v>
      </c>
      <c r="D2142" s="4">
        <v>225</v>
      </c>
      <c r="E2142" s="4"/>
      <c r="F2142">
        <v>224</v>
      </c>
      <c r="H2142" t="str">
        <f t="shared" si="33"/>
        <v>2022-10</v>
      </c>
      <c r="I2142" t="str">
        <f>_xlfn.XLOOKUP(Table1[[#This Row],[Customer_ID]],Customers!$A$2:$A$30,Customers!$C$2:$C$30,"Not found")</f>
        <v>Carries forward</v>
      </c>
    </row>
    <row r="2143" spans="1:9">
      <c r="A2143" s="9">
        <v>44850</v>
      </c>
      <c r="B2143" t="s">
        <v>92</v>
      </c>
      <c r="C2143" t="s">
        <v>8</v>
      </c>
      <c r="D2143" s="4">
        <v>1371</v>
      </c>
      <c r="E2143" s="4"/>
      <c r="F2143">
        <v>224</v>
      </c>
      <c r="H2143" t="str">
        <f t="shared" si="33"/>
        <v>2022-10</v>
      </c>
      <c r="I2143" t="str">
        <f>_xlfn.XLOOKUP(Table1[[#This Row],[Customer_ID]],Customers!$A$2:$A$30,Customers!$C$2:$C$30,"Not found")</f>
        <v>Carries forward</v>
      </c>
    </row>
    <row r="2144" spans="1:9">
      <c r="A2144" s="9">
        <v>44851</v>
      </c>
      <c r="B2144" t="s">
        <v>92</v>
      </c>
      <c r="C2144" t="s">
        <v>8</v>
      </c>
      <c r="D2144" s="4">
        <v>689</v>
      </c>
      <c r="E2144" s="4"/>
      <c r="F2144">
        <v>224</v>
      </c>
      <c r="H2144" t="str">
        <f t="shared" si="33"/>
        <v>2022-10</v>
      </c>
      <c r="I2144" t="str">
        <f>_xlfn.XLOOKUP(Table1[[#This Row],[Customer_ID]],Customers!$A$2:$A$30,Customers!$C$2:$C$30,"Not found")</f>
        <v>Carries forward</v>
      </c>
    </row>
    <row r="2145" spans="1:9">
      <c r="A2145" s="9">
        <v>44856</v>
      </c>
      <c r="B2145" t="s">
        <v>92</v>
      </c>
      <c r="C2145" t="s">
        <v>8</v>
      </c>
      <c r="D2145" s="4">
        <v>863</v>
      </c>
      <c r="E2145" s="4"/>
      <c r="F2145">
        <v>224</v>
      </c>
      <c r="H2145" t="str">
        <f t="shared" si="33"/>
        <v>2022-10</v>
      </c>
      <c r="I2145" t="str">
        <f>_xlfn.XLOOKUP(Table1[[#This Row],[Customer_ID]],Customers!$A$2:$A$30,Customers!$C$2:$C$30,"Not found")</f>
        <v>Carries forward</v>
      </c>
    </row>
    <row r="2146" spans="1:9">
      <c r="A2146" s="9">
        <v>44860</v>
      </c>
      <c r="B2146" t="s">
        <v>92</v>
      </c>
      <c r="C2146" t="s">
        <v>8</v>
      </c>
      <c r="D2146" s="4">
        <v>540</v>
      </c>
      <c r="E2146" s="4"/>
      <c r="F2146">
        <v>224</v>
      </c>
      <c r="H2146" t="str">
        <f t="shared" si="33"/>
        <v>2022-10</v>
      </c>
      <c r="I2146" t="str">
        <f>_xlfn.XLOOKUP(Table1[[#This Row],[Customer_ID]],Customers!$A$2:$A$30,Customers!$C$2:$C$30,"Not found")</f>
        <v>Carries forward</v>
      </c>
    </row>
    <row r="2147" spans="1:9">
      <c r="A2147" s="9">
        <v>44862</v>
      </c>
      <c r="B2147" t="s">
        <v>92</v>
      </c>
      <c r="C2147" t="s">
        <v>8</v>
      </c>
      <c r="D2147" s="4">
        <v>566</v>
      </c>
      <c r="E2147" s="4"/>
      <c r="F2147">
        <v>224</v>
      </c>
      <c r="H2147" t="str">
        <f t="shared" si="33"/>
        <v>2022-10</v>
      </c>
      <c r="I2147" t="str">
        <f>_xlfn.XLOOKUP(Table1[[#This Row],[Customer_ID]],Customers!$A$2:$A$30,Customers!$C$2:$C$30,"Not found")</f>
        <v>Carries forward</v>
      </c>
    </row>
    <row r="2148" spans="1:9">
      <c r="A2148" s="9">
        <v>44865</v>
      </c>
      <c r="B2148" t="s">
        <v>92</v>
      </c>
      <c r="C2148" t="s">
        <v>8</v>
      </c>
      <c r="D2148" s="4">
        <v>541</v>
      </c>
      <c r="E2148" s="4"/>
      <c r="F2148">
        <v>224</v>
      </c>
      <c r="H2148" t="str">
        <f t="shared" si="33"/>
        <v>2022-10</v>
      </c>
      <c r="I2148" t="str">
        <f>_xlfn.XLOOKUP(Table1[[#This Row],[Customer_ID]],Customers!$A$2:$A$30,Customers!$C$2:$C$30,"Not found")</f>
        <v>Carries forward</v>
      </c>
    </row>
    <row r="2149" spans="1:9">
      <c r="A2149" s="10">
        <v>44865</v>
      </c>
      <c r="B2149" s="7" t="s">
        <v>92</v>
      </c>
      <c r="C2149" s="7" t="s">
        <v>22</v>
      </c>
      <c r="D2149" s="8">
        <v>108</v>
      </c>
      <c r="E2149" s="8">
        <v>11826</v>
      </c>
      <c r="F2149" s="7">
        <v>224</v>
      </c>
      <c r="G2149" s="7" t="s">
        <v>411</v>
      </c>
      <c r="H2149" t="str">
        <f t="shared" si="33"/>
        <v>2022-10</v>
      </c>
      <c r="I2149" t="str">
        <f>_xlfn.XLOOKUP(Table1[[#This Row],[Customer_ID]],Customers!$A$2:$A$30,Customers!$C$2:$C$30,"Not found")</f>
        <v>Carries forward</v>
      </c>
    </row>
    <row r="2150" spans="1:9">
      <c r="A2150" s="9"/>
      <c r="B2150" t="s">
        <v>92</v>
      </c>
      <c r="C2150" t="s">
        <v>14</v>
      </c>
      <c r="D2150" s="4">
        <v>6000</v>
      </c>
      <c r="E2150" s="4">
        <v>5826</v>
      </c>
      <c r="F2150">
        <v>224</v>
      </c>
      <c r="G2150" t="s">
        <v>412</v>
      </c>
      <c r="H2150" t="str">
        <f t="shared" si="33"/>
        <v/>
      </c>
      <c r="I2150" t="str">
        <f>_xlfn.XLOOKUP(Table1[[#This Row],[Customer_ID]],Customers!$A$2:$A$30,Customers!$C$2:$C$30,"Not found")</f>
        <v>Carries forward</v>
      </c>
    </row>
    <row r="2151" spans="1:9">
      <c r="A2151" s="9">
        <v>44868</v>
      </c>
      <c r="B2151" t="s">
        <v>92</v>
      </c>
      <c r="C2151" t="s">
        <v>8</v>
      </c>
      <c r="D2151" s="4">
        <v>609</v>
      </c>
      <c r="E2151" s="4"/>
      <c r="F2151">
        <v>224</v>
      </c>
      <c r="H2151" t="str">
        <f t="shared" si="33"/>
        <v>2022-11</v>
      </c>
      <c r="I2151" t="str">
        <f>_xlfn.XLOOKUP(Table1[[#This Row],[Customer_ID]],Customers!$A$2:$A$30,Customers!$C$2:$C$30,"Not found")</f>
        <v>Carries forward</v>
      </c>
    </row>
    <row r="2152" spans="1:9">
      <c r="A2152" s="9">
        <v>44871</v>
      </c>
      <c r="B2152" t="s">
        <v>92</v>
      </c>
      <c r="C2152" t="s">
        <v>8</v>
      </c>
      <c r="D2152" s="4">
        <v>263</v>
      </c>
      <c r="E2152" s="4"/>
      <c r="F2152">
        <v>224</v>
      </c>
      <c r="H2152" t="str">
        <f t="shared" si="33"/>
        <v>2022-11</v>
      </c>
      <c r="I2152" t="str">
        <f>_xlfn.XLOOKUP(Table1[[#This Row],[Customer_ID]],Customers!$A$2:$A$30,Customers!$C$2:$C$30,"Not found")</f>
        <v>Carries forward</v>
      </c>
    </row>
    <row r="2153" spans="1:9">
      <c r="A2153" s="9">
        <v>44871</v>
      </c>
      <c r="B2153" t="s">
        <v>92</v>
      </c>
      <c r="C2153" t="s">
        <v>8</v>
      </c>
      <c r="D2153" s="4">
        <v>35</v>
      </c>
      <c r="E2153" s="4"/>
      <c r="F2153">
        <v>224</v>
      </c>
      <c r="H2153" t="str">
        <f t="shared" si="33"/>
        <v>2022-11</v>
      </c>
      <c r="I2153" t="str">
        <f>_xlfn.XLOOKUP(Table1[[#This Row],[Customer_ID]],Customers!$A$2:$A$30,Customers!$C$2:$C$30,"Not found")</f>
        <v>Carries forward</v>
      </c>
    </row>
    <row r="2154" spans="1:9">
      <c r="A2154" s="9">
        <v>44873</v>
      </c>
      <c r="B2154" t="s">
        <v>92</v>
      </c>
      <c r="C2154" t="s">
        <v>8</v>
      </c>
      <c r="D2154" s="4">
        <v>1749</v>
      </c>
      <c r="E2154" s="4"/>
      <c r="F2154">
        <v>224</v>
      </c>
      <c r="H2154" t="str">
        <f t="shared" si="33"/>
        <v>2022-11</v>
      </c>
      <c r="I2154" t="str">
        <f>_xlfn.XLOOKUP(Table1[[#This Row],[Customer_ID]],Customers!$A$2:$A$30,Customers!$C$2:$C$30,"Not found")</f>
        <v>Carries forward</v>
      </c>
    </row>
    <row r="2155" spans="1:9">
      <c r="A2155" s="9">
        <v>44880</v>
      </c>
      <c r="B2155" t="s">
        <v>92</v>
      </c>
      <c r="C2155" t="s">
        <v>8</v>
      </c>
      <c r="D2155" s="4">
        <v>696</v>
      </c>
      <c r="E2155" s="4"/>
      <c r="F2155">
        <v>224</v>
      </c>
      <c r="H2155" t="str">
        <f t="shared" si="33"/>
        <v>2022-11</v>
      </c>
      <c r="I2155" t="str">
        <f>_xlfn.XLOOKUP(Table1[[#This Row],[Customer_ID]],Customers!$A$2:$A$30,Customers!$C$2:$C$30,"Not found")</f>
        <v>Carries forward</v>
      </c>
    </row>
    <row r="2156" spans="1:9">
      <c r="A2156" s="9">
        <v>44881</v>
      </c>
      <c r="B2156" t="s">
        <v>92</v>
      </c>
      <c r="C2156" t="s">
        <v>8</v>
      </c>
      <c r="D2156" s="4">
        <v>14</v>
      </c>
      <c r="E2156" s="4"/>
      <c r="F2156">
        <v>224</v>
      </c>
      <c r="H2156" t="str">
        <f t="shared" si="33"/>
        <v>2022-11</v>
      </c>
      <c r="I2156" t="str">
        <f>_xlfn.XLOOKUP(Table1[[#This Row],[Customer_ID]],Customers!$A$2:$A$30,Customers!$C$2:$C$30,"Not found")</f>
        <v>Carries forward</v>
      </c>
    </row>
    <row r="2157" spans="1:9">
      <c r="A2157" s="9">
        <v>44884</v>
      </c>
      <c r="B2157" t="s">
        <v>92</v>
      </c>
      <c r="C2157" t="s">
        <v>8</v>
      </c>
      <c r="D2157" s="4">
        <v>586</v>
      </c>
      <c r="E2157" s="4"/>
      <c r="F2157">
        <v>224</v>
      </c>
      <c r="H2157" t="str">
        <f t="shared" si="33"/>
        <v>2022-11</v>
      </c>
      <c r="I2157" t="str">
        <f>_xlfn.XLOOKUP(Table1[[#This Row],[Customer_ID]],Customers!$A$2:$A$30,Customers!$C$2:$C$30,"Not found")</f>
        <v>Carries forward</v>
      </c>
    </row>
    <row r="2158" spans="1:9">
      <c r="A2158" s="9">
        <v>44889</v>
      </c>
      <c r="B2158" t="s">
        <v>92</v>
      </c>
      <c r="C2158" t="s">
        <v>8</v>
      </c>
      <c r="D2158" s="4">
        <v>1036</v>
      </c>
      <c r="E2158" s="4"/>
      <c r="F2158">
        <v>224</v>
      </c>
      <c r="H2158" t="str">
        <f t="shared" si="33"/>
        <v>2022-11</v>
      </c>
      <c r="I2158" t="str">
        <f>_xlfn.XLOOKUP(Table1[[#This Row],[Customer_ID]],Customers!$A$2:$A$30,Customers!$C$2:$C$30,"Not found")</f>
        <v>Carries forward</v>
      </c>
    </row>
    <row r="2159" spans="1:9">
      <c r="A2159" s="9">
        <v>44892</v>
      </c>
      <c r="B2159" t="s">
        <v>92</v>
      </c>
      <c r="C2159" t="s">
        <v>8</v>
      </c>
      <c r="D2159" s="4">
        <v>423</v>
      </c>
      <c r="E2159" s="4">
        <v>11237</v>
      </c>
      <c r="F2159">
        <v>224</v>
      </c>
      <c r="G2159" t="s">
        <v>413</v>
      </c>
      <c r="H2159" t="str">
        <f t="shared" si="33"/>
        <v>2022-11</v>
      </c>
      <c r="I2159" t="str">
        <f>_xlfn.XLOOKUP(Table1[[#This Row],[Customer_ID]],Customers!$A$2:$A$30,Customers!$C$2:$C$30,"Not found")</f>
        <v>Carries forward</v>
      </c>
    </row>
    <row r="2160" spans="1:9">
      <c r="A2160" s="9"/>
      <c r="B2160" t="s">
        <v>92</v>
      </c>
      <c r="C2160" t="s">
        <v>14</v>
      </c>
      <c r="D2160" s="4">
        <v>6000</v>
      </c>
      <c r="E2160" s="4">
        <v>5237</v>
      </c>
      <c r="F2160">
        <v>224</v>
      </c>
      <c r="G2160" t="s">
        <v>414</v>
      </c>
      <c r="H2160" t="str">
        <f t="shared" si="33"/>
        <v/>
      </c>
      <c r="I2160" t="str">
        <f>_xlfn.XLOOKUP(Table1[[#This Row],[Customer_ID]],Customers!$A$2:$A$30,Customers!$C$2:$C$30,"Not found")</f>
        <v>Carries forward</v>
      </c>
    </row>
    <row r="2161" spans="1:9">
      <c r="A2161" s="9">
        <v>44896</v>
      </c>
      <c r="B2161" t="s">
        <v>92</v>
      </c>
      <c r="C2161" t="s">
        <v>8</v>
      </c>
      <c r="D2161" s="4">
        <v>446</v>
      </c>
      <c r="E2161" s="4"/>
      <c r="F2161">
        <v>224</v>
      </c>
      <c r="H2161" t="str">
        <f t="shared" si="33"/>
        <v>2022-12</v>
      </c>
      <c r="I2161" t="str">
        <f>_xlfn.XLOOKUP(Table1[[#This Row],[Customer_ID]],Customers!$A$2:$A$30,Customers!$C$2:$C$30,"Not found")</f>
        <v>Carries forward</v>
      </c>
    </row>
    <row r="2162" spans="1:9">
      <c r="A2162" s="9">
        <v>44896</v>
      </c>
      <c r="B2162" t="s">
        <v>92</v>
      </c>
      <c r="C2162" t="s">
        <v>8</v>
      </c>
      <c r="D2162" s="4">
        <v>166</v>
      </c>
      <c r="E2162" s="4"/>
      <c r="F2162">
        <v>224</v>
      </c>
      <c r="H2162" t="str">
        <f t="shared" si="33"/>
        <v>2022-12</v>
      </c>
      <c r="I2162" t="str">
        <f>_xlfn.XLOOKUP(Table1[[#This Row],[Customer_ID]],Customers!$A$2:$A$30,Customers!$C$2:$C$30,"Not found")</f>
        <v>Carries forward</v>
      </c>
    </row>
    <row r="2163" spans="1:9">
      <c r="A2163" s="9">
        <v>44898</v>
      </c>
      <c r="B2163" t="s">
        <v>92</v>
      </c>
      <c r="C2163" t="s">
        <v>8</v>
      </c>
      <c r="D2163" s="4">
        <v>1305</v>
      </c>
      <c r="E2163" s="4"/>
      <c r="F2163">
        <v>224</v>
      </c>
      <c r="H2163" t="str">
        <f t="shared" si="33"/>
        <v>2022-12</v>
      </c>
      <c r="I2163" t="str">
        <f>_xlfn.XLOOKUP(Table1[[#This Row],[Customer_ID]],Customers!$A$2:$A$30,Customers!$C$2:$C$30,"Not found")</f>
        <v>Carries forward</v>
      </c>
    </row>
    <row r="2164" spans="1:9">
      <c r="A2164" s="9">
        <v>44899</v>
      </c>
      <c r="B2164" t="s">
        <v>92</v>
      </c>
      <c r="C2164" t="s">
        <v>8</v>
      </c>
      <c r="D2164" s="4">
        <v>227</v>
      </c>
      <c r="E2164" s="4"/>
      <c r="F2164">
        <v>224</v>
      </c>
      <c r="H2164" t="str">
        <f t="shared" si="33"/>
        <v>2022-12</v>
      </c>
      <c r="I2164" t="str">
        <f>_xlfn.XLOOKUP(Table1[[#This Row],[Customer_ID]],Customers!$A$2:$A$30,Customers!$C$2:$C$30,"Not found")</f>
        <v>Carries forward</v>
      </c>
    </row>
    <row r="2165" spans="1:9">
      <c r="A2165" s="9">
        <v>44901</v>
      </c>
      <c r="B2165" t="s">
        <v>92</v>
      </c>
      <c r="C2165" t="s">
        <v>8</v>
      </c>
      <c r="D2165" s="4">
        <v>571</v>
      </c>
      <c r="E2165" s="4"/>
      <c r="F2165">
        <v>224</v>
      </c>
      <c r="H2165" t="str">
        <f t="shared" si="33"/>
        <v>2022-12</v>
      </c>
      <c r="I2165" t="str">
        <f>_xlfn.XLOOKUP(Table1[[#This Row],[Customer_ID]],Customers!$A$2:$A$30,Customers!$C$2:$C$30,"Not found")</f>
        <v>Carries forward</v>
      </c>
    </row>
    <row r="2166" spans="1:9">
      <c r="A2166" s="9">
        <v>44905</v>
      </c>
      <c r="B2166" t="s">
        <v>92</v>
      </c>
      <c r="C2166" t="s">
        <v>8</v>
      </c>
      <c r="D2166" s="4">
        <v>612</v>
      </c>
      <c r="E2166" s="4"/>
      <c r="F2166">
        <v>224</v>
      </c>
      <c r="H2166" t="str">
        <f t="shared" si="33"/>
        <v>2022-12</v>
      </c>
      <c r="I2166" t="str">
        <f>_xlfn.XLOOKUP(Table1[[#This Row],[Customer_ID]],Customers!$A$2:$A$30,Customers!$C$2:$C$30,"Not found")</f>
        <v>Carries forward</v>
      </c>
    </row>
    <row r="2167" spans="1:9">
      <c r="A2167" s="9">
        <v>44911</v>
      </c>
      <c r="B2167" t="s">
        <v>92</v>
      </c>
      <c r="C2167" t="s">
        <v>8</v>
      </c>
      <c r="D2167" s="4">
        <v>694</v>
      </c>
      <c r="E2167" s="4"/>
      <c r="F2167">
        <v>224</v>
      </c>
      <c r="H2167" t="str">
        <f t="shared" si="33"/>
        <v>2022-12</v>
      </c>
      <c r="I2167" t="str">
        <f>_xlfn.XLOOKUP(Table1[[#This Row],[Customer_ID]],Customers!$A$2:$A$30,Customers!$C$2:$C$30,"Not found")</f>
        <v>Carries forward</v>
      </c>
    </row>
    <row r="2168" spans="1:9">
      <c r="A2168" s="9">
        <v>44913</v>
      </c>
      <c r="B2168" t="s">
        <v>92</v>
      </c>
      <c r="C2168" t="s">
        <v>8</v>
      </c>
      <c r="D2168" s="4">
        <v>666</v>
      </c>
      <c r="E2168" s="4"/>
      <c r="F2168">
        <v>224</v>
      </c>
      <c r="H2168" t="str">
        <f t="shared" si="33"/>
        <v>2022-12</v>
      </c>
      <c r="I2168" t="str">
        <f>_xlfn.XLOOKUP(Table1[[#This Row],[Customer_ID]],Customers!$A$2:$A$30,Customers!$C$2:$C$30,"Not found")</f>
        <v>Carries forward</v>
      </c>
    </row>
    <row r="2169" spans="1:9">
      <c r="A2169" s="9">
        <v>44919</v>
      </c>
      <c r="B2169" t="s">
        <v>92</v>
      </c>
      <c r="C2169" t="s">
        <v>8</v>
      </c>
      <c r="D2169" s="4">
        <v>639</v>
      </c>
      <c r="E2169" s="4">
        <v>10563</v>
      </c>
      <c r="F2169">
        <v>224</v>
      </c>
      <c r="G2169" t="s">
        <v>415</v>
      </c>
      <c r="H2169" t="str">
        <f t="shared" si="33"/>
        <v>2022-12</v>
      </c>
      <c r="I2169" t="str">
        <f>_xlfn.XLOOKUP(Table1[[#This Row],[Customer_ID]],Customers!$A$2:$A$30,Customers!$C$2:$C$30,"Not found")</f>
        <v>Carries forward</v>
      </c>
    </row>
    <row r="2170" spans="1:9">
      <c r="A2170" s="9"/>
      <c r="B2170" t="s">
        <v>92</v>
      </c>
      <c r="C2170" t="s">
        <v>14</v>
      </c>
      <c r="D2170" s="4">
        <v>5000</v>
      </c>
      <c r="E2170" s="4">
        <v>5563</v>
      </c>
      <c r="F2170">
        <v>224</v>
      </c>
      <c r="G2170" t="s">
        <v>416</v>
      </c>
      <c r="H2170" t="str">
        <f t="shared" si="33"/>
        <v/>
      </c>
      <c r="I2170" t="str">
        <f>_xlfn.XLOOKUP(Table1[[#This Row],[Customer_ID]],Customers!$A$2:$A$30,Customers!$C$2:$C$30,"Not found")</f>
        <v>Carries forward</v>
      </c>
    </row>
    <row r="2171" spans="1:9">
      <c r="A2171" s="9">
        <v>44922</v>
      </c>
      <c r="B2171" t="s">
        <v>92</v>
      </c>
      <c r="C2171" t="s">
        <v>8</v>
      </c>
      <c r="D2171" s="4">
        <v>296</v>
      </c>
      <c r="E2171" s="4"/>
      <c r="F2171">
        <v>224</v>
      </c>
      <c r="H2171" t="str">
        <f t="shared" si="33"/>
        <v>2022-12</v>
      </c>
      <c r="I2171" t="str">
        <f>_xlfn.XLOOKUP(Table1[[#This Row],[Customer_ID]],Customers!$A$2:$A$30,Customers!$C$2:$C$30,"Not found")</f>
        <v>Carries forward</v>
      </c>
    </row>
    <row r="2172" spans="1:9">
      <c r="A2172" s="9">
        <v>44923</v>
      </c>
      <c r="B2172" t="s">
        <v>92</v>
      </c>
      <c r="C2172" t="s">
        <v>8</v>
      </c>
      <c r="D2172" s="4">
        <v>1300</v>
      </c>
      <c r="E2172" s="4"/>
      <c r="F2172">
        <v>224</v>
      </c>
      <c r="H2172" t="str">
        <f t="shared" si="33"/>
        <v>2022-12</v>
      </c>
      <c r="I2172" t="str">
        <f>_xlfn.XLOOKUP(Table1[[#This Row],[Customer_ID]],Customers!$A$2:$A$30,Customers!$C$2:$C$30,"Not found")</f>
        <v>Carries forward</v>
      </c>
    </row>
    <row r="2173" spans="1:9">
      <c r="A2173" s="9">
        <v>44925</v>
      </c>
      <c r="B2173" t="s">
        <v>92</v>
      </c>
      <c r="C2173" t="s">
        <v>8</v>
      </c>
      <c r="D2173" s="4">
        <v>643</v>
      </c>
      <c r="E2173" s="4"/>
      <c r="F2173">
        <v>224</v>
      </c>
      <c r="H2173" t="str">
        <f t="shared" si="33"/>
        <v>2022-12</v>
      </c>
      <c r="I2173" t="str">
        <f>_xlfn.XLOOKUP(Table1[[#This Row],[Customer_ID]],Customers!$A$2:$A$30,Customers!$C$2:$C$30,"Not found")</f>
        <v>Carries forward</v>
      </c>
    </row>
    <row r="2174" spans="1:9">
      <c r="A2174" s="9">
        <v>44929</v>
      </c>
      <c r="B2174" t="s">
        <v>92</v>
      </c>
      <c r="C2174" t="s">
        <v>8</v>
      </c>
      <c r="D2174" s="4">
        <v>976</v>
      </c>
      <c r="E2174" s="4"/>
      <c r="F2174">
        <v>224</v>
      </c>
      <c r="H2174" t="str">
        <f t="shared" si="33"/>
        <v>2023-01</v>
      </c>
      <c r="I2174" t="str">
        <f>_xlfn.XLOOKUP(Table1[[#This Row],[Customer_ID]],Customers!$A$2:$A$30,Customers!$C$2:$C$30,"Not found")</f>
        <v>Carries forward</v>
      </c>
    </row>
    <row r="2175" spans="1:9">
      <c r="A2175" s="9">
        <v>44941</v>
      </c>
      <c r="B2175" t="s">
        <v>92</v>
      </c>
      <c r="C2175" t="s">
        <v>8</v>
      </c>
      <c r="D2175" s="4">
        <v>240</v>
      </c>
      <c r="E2175" s="4"/>
      <c r="F2175">
        <v>224</v>
      </c>
      <c r="H2175" t="str">
        <f t="shared" ref="H2175:H2238" si="34">IF(A2175="","",TEXT(A2175,"yyyy-mm"))</f>
        <v>2023-01</v>
      </c>
      <c r="I2175" t="str">
        <f>_xlfn.XLOOKUP(Table1[[#This Row],[Customer_ID]],Customers!$A$2:$A$30,Customers!$C$2:$C$30,"Not found")</f>
        <v>Carries forward</v>
      </c>
    </row>
    <row r="2176" spans="1:9">
      <c r="A2176" s="9">
        <v>44945</v>
      </c>
      <c r="B2176" t="s">
        <v>92</v>
      </c>
      <c r="C2176" t="s">
        <v>8</v>
      </c>
      <c r="D2176" s="4">
        <v>660</v>
      </c>
      <c r="E2176" s="4"/>
      <c r="F2176">
        <v>224</v>
      </c>
      <c r="H2176" t="str">
        <f t="shared" si="34"/>
        <v>2023-01</v>
      </c>
      <c r="I2176" t="str">
        <f>_xlfn.XLOOKUP(Table1[[#This Row],[Customer_ID]],Customers!$A$2:$A$30,Customers!$C$2:$C$30,"Not found")</f>
        <v>Carries forward</v>
      </c>
    </row>
    <row r="2177" spans="1:9">
      <c r="A2177" s="9">
        <v>44948</v>
      </c>
      <c r="B2177" t="s">
        <v>92</v>
      </c>
      <c r="C2177" t="s">
        <v>8</v>
      </c>
      <c r="D2177" s="4">
        <v>207</v>
      </c>
      <c r="E2177" s="4"/>
      <c r="F2177">
        <v>224</v>
      </c>
      <c r="H2177" t="str">
        <f t="shared" si="34"/>
        <v>2023-01</v>
      </c>
      <c r="I2177" t="str">
        <f>_xlfn.XLOOKUP(Table1[[#This Row],[Customer_ID]],Customers!$A$2:$A$30,Customers!$C$2:$C$30,"Not found")</f>
        <v>Carries forward</v>
      </c>
    </row>
    <row r="2178" spans="1:9">
      <c r="A2178" s="9">
        <v>44951</v>
      </c>
      <c r="B2178" t="s">
        <v>92</v>
      </c>
      <c r="C2178" t="s">
        <v>8</v>
      </c>
      <c r="D2178" s="4">
        <v>594</v>
      </c>
      <c r="E2178" s="4"/>
      <c r="F2178">
        <v>224</v>
      </c>
      <c r="H2178" t="str">
        <f t="shared" si="34"/>
        <v>2023-01</v>
      </c>
      <c r="I2178" t="str">
        <f>_xlfn.XLOOKUP(Table1[[#This Row],[Customer_ID]],Customers!$A$2:$A$30,Customers!$C$2:$C$30,"Not found")</f>
        <v>Carries forward</v>
      </c>
    </row>
    <row r="2179" spans="1:9">
      <c r="A2179" s="9">
        <v>44952</v>
      </c>
      <c r="B2179" t="s">
        <v>92</v>
      </c>
      <c r="C2179" t="s">
        <v>8</v>
      </c>
      <c r="D2179" s="4">
        <v>389</v>
      </c>
      <c r="E2179" s="4"/>
      <c r="F2179">
        <v>224</v>
      </c>
      <c r="H2179" t="str">
        <f t="shared" si="34"/>
        <v>2023-01</v>
      </c>
      <c r="I2179" t="str">
        <f>_xlfn.XLOOKUP(Table1[[#This Row],[Customer_ID]],Customers!$A$2:$A$30,Customers!$C$2:$C$30,"Not found")</f>
        <v>Carries forward</v>
      </c>
    </row>
    <row r="2180" spans="1:9">
      <c r="A2180" s="9">
        <v>44955</v>
      </c>
      <c r="B2180" t="s">
        <v>92</v>
      </c>
      <c r="C2180" t="s">
        <v>8</v>
      </c>
      <c r="D2180" s="4">
        <v>1305</v>
      </c>
      <c r="E2180" s="4"/>
      <c r="F2180">
        <v>224</v>
      </c>
      <c r="G2180" t="s">
        <v>195</v>
      </c>
      <c r="H2180" t="str">
        <f t="shared" si="34"/>
        <v>2023-01</v>
      </c>
      <c r="I2180" t="str">
        <f>_xlfn.XLOOKUP(Table1[[#This Row],[Customer_ID]],Customers!$A$2:$A$30,Customers!$C$2:$C$30,"Not found")</f>
        <v>Carries forward</v>
      </c>
    </row>
    <row r="2181" spans="1:9">
      <c r="A2181" s="9">
        <v>44955</v>
      </c>
      <c r="B2181" t="s">
        <v>92</v>
      </c>
      <c r="C2181" t="s">
        <v>22</v>
      </c>
      <c r="D2181" s="4">
        <v>-60</v>
      </c>
      <c r="E2181" s="4">
        <v>12113</v>
      </c>
      <c r="F2181">
        <v>224</v>
      </c>
      <c r="G2181" t="s">
        <v>417</v>
      </c>
      <c r="H2181" t="str">
        <f t="shared" si="34"/>
        <v>2023-01</v>
      </c>
      <c r="I2181" t="str">
        <f>_xlfn.XLOOKUP(Table1[[#This Row],[Customer_ID]],Customers!$A$2:$A$30,Customers!$C$2:$C$30,"Not found")</f>
        <v>Carries forward</v>
      </c>
    </row>
    <row r="2182" spans="1:9">
      <c r="A2182" s="9"/>
      <c r="B2182" t="s">
        <v>92</v>
      </c>
      <c r="C2182" t="s">
        <v>14</v>
      </c>
      <c r="D2182" s="4">
        <v>5000</v>
      </c>
      <c r="E2182" s="4">
        <v>7113</v>
      </c>
      <c r="F2182">
        <v>224</v>
      </c>
      <c r="G2182" t="s">
        <v>418</v>
      </c>
      <c r="H2182" t="str">
        <f t="shared" si="34"/>
        <v/>
      </c>
      <c r="I2182" t="str">
        <f>_xlfn.XLOOKUP(Table1[[#This Row],[Customer_ID]],Customers!$A$2:$A$30,Customers!$C$2:$C$30,"Not found")</f>
        <v>Carries forward</v>
      </c>
    </row>
    <row r="2183" spans="1:9">
      <c r="A2183" s="9">
        <v>44957</v>
      </c>
      <c r="B2183" t="s">
        <v>92</v>
      </c>
      <c r="C2183" t="s">
        <v>8</v>
      </c>
      <c r="D2183" s="4">
        <v>386</v>
      </c>
      <c r="E2183" s="4"/>
      <c r="F2183">
        <v>224</v>
      </c>
      <c r="H2183" t="str">
        <f t="shared" si="34"/>
        <v>2023-01</v>
      </c>
      <c r="I2183" t="str">
        <f>_xlfn.XLOOKUP(Table1[[#This Row],[Customer_ID]],Customers!$A$2:$A$30,Customers!$C$2:$C$30,"Not found")</f>
        <v>Carries forward</v>
      </c>
    </row>
    <row r="2184" spans="1:9">
      <c r="A2184" s="9">
        <v>44959</v>
      </c>
      <c r="B2184" t="s">
        <v>92</v>
      </c>
      <c r="C2184" t="s">
        <v>8</v>
      </c>
      <c r="D2184" s="4">
        <v>514</v>
      </c>
      <c r="E2184" s="4"/>
      <c r="F2184">
        <v>224</v>
      </c>
      <c r="H2184" t="str">
        <f t="shared" si="34"/>
        <v>2023-02</v>
      </c>
      <c r="I2184" t="str">
        <f>_xlfn.XLOOKUP(Table1[[#This Row],[Customer_ID]],Customers!$A$2:$A$30,Customers!$C$2:$C$30,"Not found")</f>
        <v>Carries forward</v>
      </c>
    </row>
    <row r="2185" spans="1:9">
      <c r="A2185" s="9">
        <v>44961</v>
      </c>
      <c r="B2185" t="s">
        <v>92</v>
      </c>
      <c r="C2185" t="s">
        <v>8</v>
      </c>
      <c r="D2185" s="4">
        <v>522</v>
      </c>
      <c r="E2185" s="4"/>
      <c r="F2185">
        <v>224</v>
      </c>
      <c r="H2185" t="str">
        <f t="shared" si="34"/>
        <v>2023-02</v>
      </c>
      <c r="I2185" t="str">
        <f>_xlfn.XLOOKUP(Table1[[#This Row],[Customer_ID]],Customers!$A$2:$A$30,Customers!$C$2:$C$30,"Not found")</f>
        <v>Carries forward</v>
      </c>
    </row>
    <row r="2186" spans="1:9">
      <c r="A2186" s="9">
        <v>44964</v>
      </c>
      <c r="B2186" t="s">
        <v>92</v>
      </c>
      <c r="C2186" t="s">
        <v>8</v>
      </c>
      <c r="D2186" s="4">
        <v>727</v>
      </c>
      <c r="E2186" s="4"/>
      <c r="F2186">
        <v>224</v>
      </c>
      <c r="H2186" t="str">
        <f t="shared" si="34"/>
        <v>2023-02</v>
      </c>
      <c r="I2186" t="str">
        <f>_xlfn.XLOOKUP(Table1[[#This Row],[Customer_ID]],Customers!$A$2:$A$30,Customers!$C$2:$C$30,"Not found")</f>
        <v>Carries forward</v>
      </c>
    </row>
    <row r="2187" spans="1:9">
      <c r="A2187" s="9">
        <v>44973</v>
      </c>
      <c r="B2187" t="s">
        <v>92</v>
      </c>
      <c r="C2187" t="s">
        <v>8</v>
      </c>
      <c r="D2187" s="4">
        <v>958</v>
      </c>
      <c r="E2187" s="4"/>
      <c r="F2187">
        <v>224</v>
      </c>
      <c r="H2187" t="str">
        <f t="shared" si="34"/>
        <v>2023-02</v>
      </c>
      <c r="I2187" t="str">
        <f>_xlfn.XLOOKUP(Table1[[#This Row],[Customer_ID]],Customers!$A$2:$A$30,Customers!$C$2:$C$30,"Not found")</f>
        <v>Carries forward</v>
      </c>
    </row>
    <row r="2188" spans="1:9">
      <c r="A2188" s="9">
        <v>44979</v>
      </c>
      <c r="B2188" t="s">
        <v>92</v>
      </c>
      <c r="C2188" t="s">
        <v>8</v>
      </c>
      <c r="D2188" s="4">
        <v>478</v>
      </c>
      <c r="E2188" s="4"/>
      <c r="F2188">
        <v>224</v>
      </c>
      <c r="H2188" t="str">
        <f t="shared" si="34"/>
        <v>2023-02</v>
      </c>
      <c r="I2188" t="str">
        <f>_xlfn.XLOOKUP(Table1[[#This Row],[Customer_ID]],Customers!$A$2:$A$30,Customers!$C$2:$C$30,"Not found")</f>
        <v>Carries forward</v>
      </c>
    </row>
    <row r="2189" spans="1:9">
      <c r="A2189" s="9">
        <v>44980</v>
      </c>
      <c r="B2189" t="s">
        <v>92</v>
      </c>
      <c r="C2189" t="s">
        <v>8</v>
      </c>
      <c r="D2189" s="4">
        <v>476</v>
      </c>
      <c r="E2189" s="4"/>
      <c r="F2189">
        <v>224</v>
      </c>
      <c r="H2189" t="str">
        <f t="shared" si="34"/>
        <v>2023-02</v>
      </c>
      <c r="I2189" t="str">
        <f>_xlfn.XLOOKUP(Table1[[#This Row],[Customer_ID]],Customers!$A$2:$A$30,Customers!$C$2:$C$30,"Not found")</f>
        <v>Carries forward</v>
      </c>
    </row>
    <row r="2190" spans="1:9">
      <c r="A2190" s="9">
        <v>44985</v>
      </c>
      <c r="B2190" t="s">
        <v>92</v>
      </c>
      <c r="C2190" t="s">
        <v>8</v>
      </c>
      <c r="D2190" s="4">
        <v>150</v>
      </c>
      <c r="E2190" s="4"/>
      <c r="F2190">
        <v>224</v>
      </c>
      <c r="H2190" t="str">
        <f t="shared" si="34"/>
        <v>2023-02</v>
      </c>
      <c r="I2190" t="str">
        <f>_xlfn.XLOOKUP(Table1[[#This Row],[Customer_ID]],Customers!$A$2:$A$30,Customers!$C$2:$C$30,"Not found")</f>
        <v>Carries forward</v>
      </c>
    </row>
    <row r="2191" spans="1:9">
      <c r="A2191" s="9">
        <v>44983</v>
      </c>
      <c r="B2191" t="s">
        <v>92</v>
      </c>
      <c r="C2191" t="s">
        <v>8</v>
      </c>
      <c r="D2191" s="4">
        <v>847</v>
      </c>
      <c r="E2191" s="4"/>
      <c r="F2191">
        <v>224</v>
      </c>
      <c r="H2191" t="str">
        <f t="shared" si="34"/>
        <v>2023-02</v>
      </c>
      <c r="I2191" t="str">
        <f>_xlfn.XLOOKUP(Table1[[#This Row],[Customer_ID]],Customers!$A$2:$A$30,Customers!$C$2:$C$30,"Not found")</f>
        <v>Carries forward</v>
      </c>
    </row>
    <row r="2192" spans="1:9">
      <c r="A2192" s="9">
        <v>44986</v>
      </c>
      <c r="B2192" t="s">
        <v>92</v>
      </c>
      <c r="C2192" t="s">
        <v>8</v>
      </c>
      <c r="D2192" s="4">
        <v>793</v>
      </c>
      <c r="E2192" s="4"/>
      <c r="F2192">
        <v>224</v>
      </c>
      <c r="H2192" t="str">
        <f t="shared" si="34"/>
        <v>2023-03</v>
      </c>
      <c r="I2192" t="str">
        <f>_xlfn.XLOOKUP(Table1[[#This Row],[Customer_ID]],Customers!$A$2:$A$30,Customers!$C$2:$C$30,"Not found")</f>
        <v>Carries forward</v>
      </c>
    </row>
    <row r="2193" spans="1:9">
      <c r="A2193" s="9">
        <v>44986</v>
      </c>
      <c r="B2193" t="s">
        <v>92</v>
      </c>
      <c r="C2193" t="s">
        <v>22</v>
      </c>
      <c r="D2193" s="4">
        <v>-22</v>
      </c>
      <c r="E2193" s="4">
        <v>12942</v>
      </c>
      <c r="F2193">
        <v>224</v>
      </c>
      <c r="G2193" t="s">
        <v>419</v>
      </c>
      <c r="H2193" t="str">
        <f t="shared" si="34"/>
        <v>2023-03</v>
      </c>
      <c r="I2193" t="str">
        <f>_xlfn.XLOOKUP(Table1[[#This Row],[Customer_ID]],Customers!$A$2:$A$30,Customers!$C$2:$C$30,"Not found")</f>
        <v>Carries forward</v>
      </c>
    </row>
    <row r="2194" spans="1:9">
      <c r="A2194" s="9">
        <v>44998</v>
      </c>
      <c r="B2194" t="s">
        <v>92</v>
      </c>
      <c r="C2194" t="s">
        <v>14</v>
      </c>
      <c r="D2194" s="4">
        <v>6000</v>
      </c>
      <c r="E2194" s="4">
        <v>6942</v>
      </c>
      <c r="F2194">
        <v>224</v>
      </c>
      <c r="G2194" t="s">
        <v>420</v>
      </c>
      <c r="H2194" t="str">
        <f t="shared" si="34"/>
        <v>2023-03</v>
      </c>
      <c r="I2194" t="str">
        <f>_xlfn.XLOOKUP(Table1[[#This Row],[Customer_ID]],Customers!$A$2:$A$30,Customers!$C$2:$C$30,"Not found")</f>
        <v>Carries forward</v>
      </c>
    </row>
    <row r="2195" spans="1:9">
      <c r="A2195" s="9">
        <v>44998</v>
      </c>
      <c r="B2195" t="s">
        <v>92</v>
      </c>
      <c r="C2195" t="s">
        <v>8</v>
      </c>
      <c r="D2195" s="4">
        <v>640</v>
      </c>
      <c r="E2195" s="4"/>
      <c r="F2195">
        <v>224</v>
      </c>
      <c r="H2195" t="str">
        <f t="shared" si="34"/>
        <v>2023-03</v>
      </c>
      <c r="I2195" t="str">
        <f>_xlfn.XLOOKUP(Table1[[#This Row],[Customer_ID]],Customers!$A$2:$A$30,Customers!$C$2:$C$30,"Not found")</f>
        <v>Carries forward</v>
      </c>
    </row>
    <row r="2196" spans="1:9">
      <c r="A2196" s="9">
        <v>44991</v>
      </c>
      <c r="B2196" t="s">
        <v>92</v>
      </c>
      <c r="C2196" t="s">
        <v>8</v>
      </c>
      <c r="D2196" s="4">
        <v>486</v>
      </c>
      <c r="E2196" s="4"/>
      <c r="F2196">
        <v>224</v>
      </c>
      <c r="H2196" t="str">
        <f t="shared" si="34"/>
        <v>2023-03</v>
      </c>
      <c r="I2196" t="str">
        <f>_xlfn.XLOOKUP(Table1[[#This Row],[Customer_ID]],Customers!$A$2:$A$30,Customers!$C$2:$C$30,"Not found")</f>
        <v>Carries forward</v>
      </c>
    </row>
    <row r="2197" spans="1:9">
      <c r="A2197" s="9">
        <v>44992</v>
      </c>
      <c r="B2197" t="s">
        <v>92</v>
      </c>
      <c r="C2197" t="s">
        <v>8</v>
      </c>
      <c r="D2197" s="4">
        <v>518</v>
      </c>
      <c r="E2197" s="4"/>
      <c r="F2197">
        <v>224</v>
      </c>
      <c r="H2197" t="str">
        <f t="shared" si="34"/>
        <v>2023-03</v>
      </c>
      <c r="I2197" t="str">
        <f>_xlfn.XLOOKUP(Table1[[#This Row],[Customer_ID]],Customers!$A$2:$A$30,Customers!$C$2:$C$30,"Not found")</f>
        <v>Carries forward</v>
      </c>
    </row>
    <row r="2198" spans="1:9">
      <c r="A2198" s="9">
        <v>44992</v>
      </c>
      <c r="B2198" t="s">
        <v>92</v>
      </c>
      <c r="C2198" t="s">
        <v>8</v>
      </c>
      <c r="D2198" s="4">
        <v>128</v>
      </c>
      <c r="E2198" s="4"/>
      <c r="F2198">
        <v>224</v>
      </c>
      <c r="H2198" t="str">
        <f t="shared" si="34"/>
        <v>2023-03</v>
      </c>
      <c r="I2198" t="str">
        <f>_xlfn.XLOOKUP(Table1[[#This Row],[Customer_ID]],Customers!$A$2:$A$30,Customers!$C$2:$C$30,"Not found")</f>
        <v>Carries forward</v>
      </c>
    </row>
    <row r="2199" spans="1:9">
      <c r="A2199" s="9">
        <v>44998</v>
      </c>
      <c r="B2199" t="s">
        <v>92</v>
      </c>
      <c r="C2199" t="s">
        <v>8</v>
      </c>
      <c r="D2199" s="4">
        <v>555</v>
      </c>
      <c r="E2199" s="4"/>
      <c r="F2199">
        <v>224</v>
      </c>
      <c r="H2199" t="str">
        <f t="shared" si="34"/>
        <v>2023-03</v>
      </c>
      <c r="I2199" t="str">
        <f>_xlfn.XLOOKUP(Table1[[#This Row],[Customer_ID]],Customers!$A$2:$A$30,Customers!$C$2:$C$30,"Not found")</f>
        <v>Carries forward</v>
      </c>
    </row>
    <row r="2200" spans="1:9">
      <c r="A2200" s="9">
        <v>45003</v>
      </c>
      <c r="B2200" t="s">
        <v>92</v>
      </c>
      <c r="C2200" t="s">
        <v>8</v>
      </c>
      <c r="D2200" s="4">
        <v>820</v>
      </c>
      <c r="E2200" s="4"/>
      <c r="F2200">
        <v>224</v>
      </c>
      <c r="H2200" t="str">
        <f t="shared" si="34"/>
        <v>2023-03</v>
      </c>
      <c r="I2200" t="str">
        <f>_xlfn.XLOOKUP(Table1[[#This Row],[Customer_ID]],Customers!$A$2:$A$30,Customers!$C$2:$C$30,"Not found")</f>
        <v>Carries forward</v>
      </c>
    </row>
    <row r="2201" spans="1:9">
      <c r="A2201" s="9">
        <v>45013</v>
      </c>
      <c r="B2201" t="s">
        <v>92</v>
      </c>
      <c r="C2201" t="s">
        <v>8</v>
      </c>
      <c r="D2201" s="4">
        <v>873</v>
      </c>
      <c r="E2201" s="4"/>
      <c r="F2201">
        <v>224</v>
      </c>
      <c r="H2201" t="str">
        <f t="shared" si="34"/>
        <v>2023-03</v>
      </c>
      <c r="I2201" t="str">
        <f>_xlfn.XLOOKUP(Table1[[#This Row],[Customer_ID]],Customers!$A$2:$A$30,Customers!$C$2:$C$30,"Not found")</f>
        <v>Carries forward</v>
      </c>
    </row>
    <row r="2202" spans="1:9">
      <c r="A2202" s="9">
        <v>45013</v>
      </c>
      <c r="B2202" t="s">
        <v>92</v>
      </c>
      <c r="C2202" t="s">
        <v>8</v>
      </c>
      <c r="D2202" s="4">
        <v>489</v>
      </c>
      <c r="E2202" s="4"/>
      <c r="F2202">
        <v>224</v>
      </c>
      <c r="H2202" t="str">
        <f t="shared" si="34"/>
        <v>2023-03</v>
      </c>
      <c r="I2202" t="str">
        <f>_xlfn.XLOOKUP(Table1[[#This Row],[Customer_ID]],Customers!$A$2:$A$30,Customers!$C$2:$C$30,"Not found")</f>
        <v>Carries forward</v>
      </c>
    </row>
    <row r="2203" spans="1:9">
      <c r="A2203" s="9">
        <v>45016</v>
      </c>
      <c r="B2203" t="s">
        <v>92</v>
      </c>
      <c r="C2203" t="s">
        <v>8</v>
      </c>
      <c r="D2203" s="4">
        <v>928</v>
      </c>
      <c r="E2203" s="4"/>
      <c r="F2203">
        <v>224</v>
      </c>
      <c r="H2203" t="str">
        <f t="shared" si="34"/>
        <v>2023-03</v>
      </c>
      <c r="I2203" t="str">
        <f>_xlfn.XLOOKUP(Table1[[#This Row],[Customer_ID]],Customers!$A$2:$A$30,Customers!$C$2:$C$30,"Not found")</f>
        <v>Carries forward</v>
      </c>
    </row>
    <row r="2204" spans="1:9">
      <c r="A2204" s="9">
        <v>45016</v>
      </c>
      <c r="B2204" t="s">
        <v>92</v>
      </c>
      <c r="C2204" t="s">
        <v>22</v>
      </c>
      <c r="D2204" s="4">
        <v>-58</v>
      </c>
      <c r="E2204" s="4">
        <v>12321</v>
      </c>
      <c r="F2204">
        <v>224</v>
      </c>
      <c r="G2204" t="s">
        <v>421</v>
      </c>
      <c r="H2204" t="str">
        <f t="shared" si="34"/>
        <v>2023-03</v>
      </c>
      <c r="I2204" t="str">
        <f>_xlfn.XLOOKUP(Table1[[#This Row],[Customer_ID]],Customers!$A$2:$A$30,Customers!$C$2:$C$30,"Not found")</f>
        <v>Carries forward</v>
      </c>
    </row>
    <row r="2205" spans="1:9">
      <c r="A2205" s="9">
        <v>45021</v>
      </c>
      <c r="B2205" t="s">
        <v>92</v>
      </c>
      <c r="C2205" t="s">
        <v>8</v>
      </c>
      <c r="D2205" s="4">
        <v>494</v>
      </c>
      <c r="E2205" s="4"/>
      <c r="F2205">
        <v>224</v>
      </c>
      <c r="H2205" t="str">
        <f t="shared" si="34"/>
        <v>2023-04</v>
      </c>
      <c r="I2205" t="str">
        <f>_xlfn.XLOOKUP(Table1[[#This Row],[Customer_ID]],Customers!$A$2:$A$30,Customers!$C$2:$C$30,"Not found")</f>
        <v>Carries forward</v>
      </c>
    </row>
    <row r="2206" spans="1:9">
      <c r="A2206" s="9">
        <v>45023</v>
      </c>
      <c r="B2206" t="s">
        <v>92</v>
      </c>
      <c r="C2206" t="s">
        <v>8</v>
      </c>
      <c r="D2206" s="4">
        <v>237</v>
      </c>
      <c r="E2206" s="4"/>
      <c r="F2206">
        <v>224</v>
      </c>
      <c r="H2206" t="str">
        <f t="shared" si="34"/>
        <v>2023-04</v>
      </c>
      <c r="I2206" t="str">
        <f>_xlfn.XLOOKUP(Table1[[#This Row],[Customer_ID]],Customers!$A$2:$A$30,Customers!$C$2:$C$30,"Not found")</f>
        <v>Carries forward</v>
      </c>
    </row>
    <row r="2207" spans="1:9">
      <c r="A2207" s="9">
        <v>45037</v>
      </c>
      <c r="B2207" t="s">
        <v>92</v>
      </c>
      <c r="C2207" t="s">
        <v>8</v>
      </c>
      <c r="D2207" s="4">
        <v>1077</v>
      </c>
      <c r="E2207" s="4"/>
      <c r="F2207">
        <v>224</v>
      </c>
      <c r="H2207" t="str">
        <f t="shared" si="34"/>
        <v>2023-04</v>
      </c>
      <c r="I2207" t="str">
        <f>_xlfn.XLOOKUP(Table1[[#This Row],[Customer_ID]],Customers!$A$2:$A$30,Customers!$C$2:$C$30,"Not found")</f>
        <v>Carries forward</v>
      </c>
    </row>
    <row r="2208" spans="1:9">
      <c r="A2208" s="9">
        <v>45044</v>
      </c>
      <c r="B2208" t="s">
        <v>92</v>
      </c>
      <c r="C2208" t="s">
        <v>8</v>
      </c>
      <c r="D2208" s="4">
        <v>778</v>
      </c>
      <c r="E2208" s="4"/>
      <c r="F2208">
        <v>224</v>
      </c>
      <c r="H2208" t="str">
        <f t="shared" si="34"/>
        <v>2023-04</v>
      </c>
      <c r="I2208" t="str">
        <f>_xlfn.XLOOKUP(Table1[[#This Row],[Customer_ID]],Customers!$A$2:$A$30,Customers!$C$2:$C$30,"Not found")</f>
        <v>Carries forward</v>
      </c>
    </row>
    <row r="2209" spans="1:9">
      <c r="A2209" s="9">
        <v>45044</v>
      </c>
      <c r="B2209" t="s">
        <v>92</v>
      </c>
      <c r="C2209" t="s">
        <v>22</v>
      </c>
      <c r="D2209" s="4">
        <v>-4</v>
      </c>
      <c r="E2209" s="4">
        <v>14903</v>
      </c>
      <c r="F2209">
        <v>224</v>
      </c>
      <c r="G2209" t="s">
        <v>422</v>
      </c>
      <c r="H2209" t="str">
        <f t="shared" si="34"/>
        <v>2023-04</v>
      </c>
      <c r="I2209" t="str">
        <f>_xlfn.XLOOKUP(Table1[[#This Row],[Customer_ID]],Customers!$A$2:$A$30,Customers!$C$2:$C$30,"Not found")</f>
        <v>Carries forward</v>
      </c>
    </row>
    <row r="2210" spans="1:9">
      <c r="A2210" s="9">
        <v>45048</v>
      </c>
      <c r="B2210" t="s">
        <v>92</v>
      </c>
      <c r="C2210" t="s">
        <v>8</v>
      </c>
      <c r="D2210" s="4">
        <v>817</v>
      </c>
      <c r="E2210" s="4">
        <v>15720</v>
      </c>
      <c r="F2210">
        <v>224</v>
      </c>
      <c r="G2210" t="s">
        <v>423</v>
      </c>
      <c r="H2210" t="str">
        <f t="shared" si="34"/>
        <v>2023-05</v>
      </c>
      <c r="I2210" t="str">
        <f>_xlfn.XLOOKUP(Table1[[#This Row],[Customer_ID]],Customers!$A$2:$A$30,Customers!$C$2:$C$30,"Not found")</f>
        <v>Carries forward</v>
      </c>
    </row>
    <row r="2211" spans="1:9">
      <c r="A2211" s="9">
        <v>45054</v>
      </c>
      <c r="B2211" t="s">
        <v>92</v>
      </c>
      <c r="C2211" t="s">
        <v>8</v>
      </c>
      <c r="D2211" s="4">
        <v>598</v>
      </c>
      <c r="E2211" s="4">
        <v>16318</v>
      </c>
      <c r="F2211">
        <v>224</v>
      </c>
      <c r="G2211" t="s">
        <v>424</v>
      </c>
      <c r="H2211" t="str">
        <f t="shared" si="34"/>
        <v>2023-05</v>
      </c>
      <c r="I2211" t="str">
        <f>_xlfn.XLOOKUP(Table1[[#This Row],[Customer_ID]],Customers!$A$2:$A$30,Customers!$C$2:$C$30,"Not found")</f>
        <v>Carries forward</v>
      </c>
    </row>
    <row r="2212" spans="1:9">
      <c r="A2212" s="9"/>
      <c r="B2212" t="s">
        <v>92</v>
      </c>
      <c r="C2212" t="s">
        <v>14</v>
      </c>
      <c r="D2212" s="4">
        <v>8000</v>
      </c>
      <c r="E2212" s="4">
        <v>8318</v>
      </c>
      <c r="F2212">
        <v>224</v>
      </c>
      <c r="G2212" t="s">
        <v>425</v>
      </c>
      <c r="H2212" t="str">
        <f t="shared" si="34"/>
        <v/>
      </c>
      <c r="I2212" t="str">
        <f>_xlfn.XLOOKUP(Table1[[#This Row],[Customer_ID]],Customers!$A$2:$A$30,Customers!$C$2:$C$30,"Not found")</f>
        <v>Carries forward</v>
      </c>
    </row>
    <row r="2213" spans="1:9">
      <c r="A2213" s="9">
        <v>45059</v>
      </c>
      <c r="B2213" t="s">
        <v>92</v>
      </c>
      <c r="C2213" t="s">
        <v>8</v>
      </c>
      <c r="D2213" s="4">
        <v>563</v>
      </c>
      <c r="E2213" s="4"/>
      <c r="F2213">
        <v>224</v>
      </c>
      <c r="H2213" t="str">
        <f t="shared" si="34"/>
        <v>2023-05</v>
      </c>
      <c r="I2213" t="str">
        <f>_xlfn.XLOOKUP(Table1[[#This Row],[Customer_ID]],Customers!$A$2:$A$30,Customers!$C$2:$C$30,"Not found")</f>
        <v>Carries forward</v>
      </c>
    </row>
    <row r="2214" spans="1:9">
      <c r="A2214" s="9">
        <v>45066</v>
      </c>
      <c r="B2214" t="s">
        <v>92</v>
      </c>
      <c r="C2214" t="s">
        <v>8</v>
      </c>
      <c r="D2214" s="4">
        <v>1167</v>
      </c>
      <c r="E2214" s="4"/>
      <c r="F2214">
        <v>224</v>
      </c>
      <c r="H2214" t="str">
        <f t="shared" si="34"/>
        <v>2023-05</v>
      </c>
      <c r="I2214" t="str">
        <f>_xlfn.XLOOKUP(Table1[[#This Row],[Customer_ID]],Customers!$A$2:$A$30,Customers!$C$2:$C$30,"Not found")</f>
        <v>Carries forward</v>
      </c>
    </row>
    <row r="2215" spans="1:9">
      <c r="A2215" s="9">
        <v>45071</v>
      </c>
      <c r="B2215" t="s">
        <v>92</v>
      </c>
      <c r="C2215" t="s">
        <v>8</v>
      </c>
      <c r="D2215" s="4">
        <v>830</v>
      </c>
      <c r="E2215" s="4"/>
      <c r="F2215">
        <v>224</v>
      </c>
      <c r="H2215" t="str">
        <f t="shared" si="34"/>
        <v>2023-05</v>
      </c>
      <c r="I2215" t="str">
        <f>_xlfn.XLOOKUP(Table1[[#This Row],[Customer_ID]],Customers!$A$2:$A$30,Customers!$C$2:$C$30,"Not found")</f>
        <v>Carries forward</v>
      </c>
    </row>
    <row r="2216" spans="1:9">
      <c r="A2216" s="9">
        <v>45077</v>
      </c>
      <c r="B2216" t="s">
        <v>92</v>
      </c>
      <c r="C2216" t="s">
        <v>8</v>
      </c>
      <c r="D2216" s="4">
        <v>924</v>
      </c>
      <c r="E2216" s="4"/>
      <c r="F2216">
        <v>224</v>
      </c>
      <c r="H2216" t="str">
        <f t="shared" si="34"/>
        <v>2023-05</v>
      </c>
      <c r="I2216" t="str">
        <f>_xlfn.XLOOKUP(Table1[[#This Row],[Customer_ID]],Customers!$A$2:$A$30,Customers!$C$2:$C$30,"Not found")</f>
        <v>Carries forward</v>
      </c>
    </row>
    <row r="2217" spans="1:9">
      <c r="A2217" s="9">
        <v>45077</v>
      </c>
      <c r="B2217" t="s">
        <v>92</v>
      </c>
      <c r="C2217" t="s">
        <v>22</v>
      </c>
      <c r="D2217" s="4">
        <v>-6</v>
      </c>
      <c r="E2217" s="4">
        <v>11796</v>
      </c>
      <c r="F2217">
        <v>224</v>
      </c>
      <c r="G2217" t="s">
        <v>426</v>
      </c>
      <c r="H2217" t="str">
        <f t="shared" si="34"/>
        <v>2023-05</v>
      </c>
      <c r="I2217" t="str">
        <f>_xlfn.XLOOKUP(Table1[[#This Row],[Customer_ID]],Customers!$A$2:$A$30,Customers!$C$2:$C$30,"Not found")</f>
        <v>Carries forward</v>
      </c>
    </row>
    <row r="2218" spans="1:9">
      <c r="A2218" s="9">
        <v>45081</v>
      </c>
      <c r="B2218" t="s">
        <v>92</v>
      </c>
      <c r="C2218" t="s">
        <v>8</v>
      </c>
      <c r="D2218" s="4">
        <v>599</v>
      </c>
      <c r="E2218" s="4"/>
      <c r="F2218">
        <v>225</v>
      </c>
      <c r="G2218" t="s">
        <v>427</v>
      </c>
      <c r="H2218" t="str">
        <f t="shared" si="34"/>
        <v>2023-06</v>
      </c>
      <c r="I2218" t="str">
        <f>_xlfn.XLOOKUP(Table1[[#This Row],[Customer_ID]],Customers!$A$2:$A$30,Customers!$C$2:$C$30,"Not found")</f>
        <v>Carries forward</v>
      </c>
    </row>
    <row r="2219" spans="1:9">
      <c r="A2219" s="9">
        <v>45083</v>
      </c>
      <c r="B2219" t="s">
        <v>92</v>
      </c>
      <c r="C2219" t="s">
        <v>8</v>
      </c>
      <c r="D2219" s="4">
        <v>592</v>
      </c>
      <c r="E2219" s="4"/>
      <c r="F2219">
        <v>225</v>
      </c>
      <c r="H2219" t="str">
        <f t="shared" si="34"/>
        <v>2023-06</v>
      </c>
      <c r="I2219" t="str">
        <f>_xlfn.XLOOKUP(Table1[[#This Row],[Customer_ID]],Customers!$A$2:$A$30,Customers!$C$2:$C$30,"Not found")</f>
        <v>Carries forward</v>
      </c>
    </row>
    <row r="2220" spans="1:9">
      <c r="A2220" s="9">
        <v>45083</v>
      </c>
      <c r="B2220" t="s">
        <v>92</v>
      </c>
      <c r="C2220" t="s">
        <v>8</v>
      </c>
      <c r="D2220" s="4">
        <v>20</v>
      </c>
      <c r="E2220" s="4"/>
      <c r="F2220">
        <v>225</v>
      </c>
      <c r="G2220" t="s">
        <v>428</v>
      </c>
      <c r="H2220" t="str">
        <f t="shared" si="34"/>
        <v>2023-06</v>
      </c>
      <c r="I2220" t="str">
        <f>_xlfn.XLOOKUP(Table1[[#This Row],[Customer_ID]],Customers!$A$2:$A$30,Customers!$C$2:$C$30,"Not found")</f>
        <v>Carries forward</v>
      </c>
    </row>
    <row r="2221" spans="1:9">
      <c r="A2221" s="9">
        <v>44812</v>
      </c>
      <c r="B2221" t="s">
        <v>93</v>
      </c>
      <c r="C2221" t="s">
        <v>28</v>
      </c>
      <c r="D2221" s="4">
        <v>7233</v>
      </c>
      <c r="E2221" s="4">
        <v>7233</v>
      </c>
      <c r="F2221">
        <v>222</v>
      </c>
      <c r="G2221" t="s">
        <v>429</v>
      </c>
      <c r="H2221" t="str">
        <f t="shared" si="34"/>
        <v>2022-09</v>
      </c>
      <c r="I2221" t="str">
        <f>_xlfn.XLOOKUP(Table1[[#This Row],[Customer_ID]],Customers!$A$2:$A$30,Customers!$C$2:$C$30,"Not found")</f>
        <v>Carries forward</v>
      </c>
    </row>
    <row r="2222" spans="1:9">
      <c r="A2222" s="9">
        <v>44812</v>
      </c>
      <c r="B2222" t="s">
        <v>93</v>
      </c>
      <c r="C2222" t="s">
        <v>8</v>
      </c>
      <c r="D2222" s="4">
        <v>205</v>
      </c>
      <c r="E2222" s="4"/>
      <c r="F2222">
        <v>222</v>
      </c>
      <c r="H2222" t="str">
        <f t="shared" si="34"/>
        <v>2022-09</v>
      </c>
      <c r="I2222" t="str">
        <f>_xlfn.XLOOKUP(Table1[[#This Row],[Customer_ID]],Customers!$A$2:$A$30,Customers!$C$2:$C$30,"Not found")</f>
        <v>Carries forward</v>
      </c>
    </row>
    <row r="2223" spans="1:9">
      <c r="A2223" s="9">
        <v>44813</v>
      </c>
      <c r="B2223" t="s">
        <v>93</v>
      </c>
      <c r="C2223" t="s">
        <v>8</v>
      </c>
      <c r="D2223" s="4">
        <v>186</v>
      </c>
      <c r="E2223" s="4"/>
      <c r="F2223">
        <v>222</v>
      </c>
      <c r="H2223" t="str">
        <f t="shared" si="34"/>
        <v>2022-09</v>
      </c>
      <c r="I2223" t="str">
        <f>_xlfn.XLOOKUP(Table1[[#This Row],[Customer_ID]],Customers!$A$2:$A$30,Customers!$C$2:$C$30,"Not found")</f>
        <v>Carries forward</v>
      </c>
    </row>
    <row r="2224" spans="1:9">
      <c r="A2224" s="9">
        <v>44812</v>
      </c>
      <c r="B2224" t="s">
        <v>93</v>
      </c>
      <c r="C2224" t="s">
        <v>8</v>
      </c>
      <c r="D2224" s="4">
        <v>40</v>
      </c>
      <c r="E2224" s="4"/>
      <c r="F2224">
        <v>222</v>
      </c>
      <c r="H2224" t="str">
        <f t="shared" si="34"/>
        <v>2022-09</v>
      </c>
      <c r="I2224" t="str">
        <f>_xlfn.XLOOKUP(Table1[[#This Row],[Customer_ID]],Customers!$A$2:$A$30,Customers!$C$2:$C$30,"Not found")</f>
        <v>Carries forward</v>
      </c>
    </row>
    <row r="2225" spans="1:9">
      <c r="A2225" s="9">
        <v>44813</v>
      </c>
      <c r="B2225" t="s">
        <v>93</v>
      </c>
      <c r="C2225" t="s">
        <v>8</v>
      </c>
      <c r="D2225" s="4">
        <v>40</v>
      </c>
      <c r="E2225" s="4"/>
      <c r="F2225">
        <v>222</v>
      </c>
      <c r="H2225" t="str">
        <f t="shared" si="34"/>
        <v>2022-09</v>
      </c>
      <c r="I2225" t="str">
        <f>_xlfn.XLOOKUP(Table1[[#This Row],[Customer_ID]],Customers!$A$2:$A$30,Customers!$C$2:$C$30,"Not found")</f>
        <v>Carries forward</v>
      </c>
    </row>
    <row r="2226" spans="1:9">
      <c r="A2226" s="9">
        <v>44813</v>
      </c>
      <c r="B2226" t="s">
        <v>93</v>
      </c>
      <c r="C2226" t="s">
        <v>8</v>
      </c>
      <c r="D2226" s="4">
        <v>460</v>
      </c>
      <c r="E2226" s="4"/>
      <c r="F2226">
        <v>222</v>
      </c>
      <c r="H2226" t="str">
        <f t="shared" si="34"/>
        <v>2022-09</v>
      </c>
      <c r="I2226" t="str">
        <f>_xlfn.XLOOKUP(Table1[[#This Row],[Customer_ID]],Customers!$A$2:$A$30,Customers!$C$2:$C$30,"Not found")</f>
        <v>Carries forward</v>
      </c>
    </row>
    <row r="2227" spans="1:9">
      <c r="A2227" s="9">
        <v>44814</v>
      </c>
      <c r="B2227" t="s">
        <v>93</v>
      </c>
      <c r="C2227" t="s">
        <v>8</v>
      </c>
      <c r="D2227" s="4">
        <v>65</v>
      </c>
      <c r="E2227" s="4"/>
      <c r="F2227">
        <v>222</v>
      </c>
      <c r="G2227" t="s">
        <v>430</v>
      </c>
      <c r="H2227" t="str">
        <f t="shared" si="34"/>
        <v>2022-09</v>
      </c>
      <c r="I2227" t="str">
        <f>_xlfn.XLOOKUP(Table1[[#This Row],[Customer_ID]],Customers!$A$2:$A$30,Customers!$C$2:$C$30,"Not found")</f>
        <v>Carries forward</v>
      </c>
    </row>
    <row r="2228" spans="1:9">
      <c r="A2228" s="9">
        <v>44814</v>
      </c>
      <c r="B2228" t="s">
        <v>93</v>
      </c>
      <c r="C2228" t="s">
        <v>8</v>
      </c>
      <c r="D2228" s="4">
        <v>150</v>
      </c>
      <c r="E2228" s="4"/>
      <c r="F2228">
        <v>222</v>
      </c>
      <c r="H2228" t="str">
        <f t="shared" si="34"/>
        <v>2022-09</v>
      </c>
      <c r="I2228" t="str">
        <f>_xlfn.XLOOKUP(Table1[[#This Row],[Customer_ID]],Customers!$A$2:$A$30,Customers!$C$2:$C$30,"Not found")</f>
        <v>Carries forward</v>
      </c>
    </row>
    <row r="2229" spans="1:9">
      <c r="A2229" s="9">
        <v>44815</v>
      </c>
      <c r="B2229" t="s">
        <v>93</v>
      </c>
      <c r="C2229" t="s">
        <v>8</v>
      </c>
      <c r="D2229" s="4">
        <v>140</v>
      </c>
      <c r="E2229" s="4"/>
      <c r="F2229">
        <v>222</v>
      </c>
      <c r="H2229" t="str">
        <f t="shared" si="34"/>
        <v>2022-09</v>
      </c>
      <c r="I2229" t="str">
        <f>_xlfn.XLOOKUP(Table1[[#This Row],[Customer_ID]],Customers!$A$2:$A$30,Customers!$C$2:$C$30,"Not found")</f>
        <v>Carries forward</v>
      </c>
    </row>
    <row r="2230" spans="1:9">
      <c r="A2230" s="10">
        <v>44815</v>
      </c>
      <c r="B2230" s="7" t="s">
        <v>93</v>
      </c>
      <c r="C2230" s="7" t="s">
        <v>22</v>
      </c>
      <c r="D2230" s="8">
        <v>-100</v>
      </c>
      <c r="E2230" s="8">
        <v>8419</v>
      </c>
      <c r="F2230" s="7">
        <v>222</v>
      </c>
      <c r="G2230" s="7" t="s">
        <v>431</v>
      </c>
      <c r="H2230" t="str">
        <f t="shared" si="34"/>
        <v>2022-09</v>
      </c>
      <c r="I2230" t="str">
        <f>_xlfn.XLOOKUP(Table1[[#This Row],[Customer_ID]],Customers!$A$2:$A$30,Customers!$C$2:$C$30,"Not found")</f>
        <v>Carries forward</v>
      </c>
    </row>
    <row r="2231" spans="1:9">
      <c r="A2231" s="9">
        <v>44819</v>
      </c>
      <c r="B2231" t="s">
        <v>93</v>
      </c>
      <c r="C2231" t="s">
        <v>14</v>
      </c>
      <c r="D2231" s="4">
        <v>8000</v>
      </c>
      <c r="E2231" s="4">
        <v>419</v>
      </c>
      <c r="F2231">
        <v>222</v>
      </c>
      <c r="G2231" t="s">
        <v>432</v>
      </c>
      <c r="H2231" t="str">
        <f t="shared" si="34"/>
        <v>2022-09</v>
      </c>
      <c r="I2231" t="str">
        <f>_xlfn.XLOOKUP(Table1[[#This Row],[Customer_ID]],Customers!$A$2:$A$30,Customers!$C$2:$C$30,"Not found")</f>
        <v>Carries forward</v>
      </c>
    </row>
    <row r="2232" spans="1:9">
      <c r="A2232" s="9">
        <v>44818</v>
      </c>
      <c r="B2232" t="s">
        <v>93</v>
      </c>
      <c r="C2232" t="s">
        <v>8</v>
      </c>
      <c r="D2232" s="4">
        <v>261</v>
      </c>
      <c r="E2232" s="4"/>
      <c r="F2232">
        <v>222</v>
      </c>
      <c r="H2232" t="str">
        <f t="shared" si="34"/>
        <v>2022-09</v>
      </c>
      <c r="I2232" t="str">
        <f>_xlfn.XLOOKUP(Table1[[#This Row],[Customer_ID]],Customers!$A$2:$A$30,Customers!$C$2:$C$30,"Not found")</f>
        <v>Carries forward</v>
      </c>
    </row>
    <row r="2233" spans="1:9">
      <c r="A2233" s="9">
        <v>44818</v>
      </c>
      <c r="B2233" t="s">
        <v>93</v>
      </c>
      <c r="C2233" t="s">
        <v>8</v>
      </c>
      <c r="D2233" s="4">
        <v>20</v>
      </c>
      <c r="E2233" s="4"/>
      <c r="F2233">
        <v>222</v>
      </c>
      <c r="H2233" t="str">
        <f t="shared" si="34"/>
        <v>2022-09</v>
      </c>
      <c r="I2233" t="str">
        <f>_xlfn.XLOOKUP(Table1[[#This Row],[Customer_ID]],Customers!$A$2:$A$30,Customers!$C$2:$C$30,"Not found")</f>
        <v>Carries forward</v>
      </c>
    </row>
    <row r="2234" spans="1:9">
      <c r="A2234" s="9">
        <v>44818</v>
      </c>
      <c r="B2234" t="s">
        <v>93</v>
      </c>
      <c r="C2234" t="s">
        <v>8</v>
      </c>
      <c r="D2234" s="4">
        <v>40</v>
      </c>
      <c r="E2234" s="4"/>
      <c r="F2234">
        <v>222</v>
      </c>
      <c r="H2234" t="str">
        <f t="shared" si="34"/>
        <v>2022-09</v>
      </c>
      <c r="I2234" t="str">
        <f>_xlfn.XLOOKUP(Table1[[#This Row],[Customer_ID]],Customers!$A$2:$A$30,Customers!$C$2:$C$30,"Not found")</f>
        <v>Carries forward</v>
      </c>
    </row>
    <row r="2235" spans="1:9">
      <c r="A2235" s="9">
        <v>44820</v>
      </c>
      <c r="B2235" t="s">
        <v>93</v>
      </c>
      <c r="C2235" t="s">
        <v>8</v>
      </c>
      <c r="D2235" s="4">
        <v>40</v>
      </c>
      <c r="E2235" s="4"/>
      <c r="F2235">
        <v>222</v>
      </c>
      <c r="H2235" t="str">
        <f t="shared" si="34"/>
        <v>2022-09</v>
      </c>
      <c r="I2235" t="str">
        <f>_xlfn.XLOOKUP(Table1[[#This Row],[Customer_ID]],Customers!$A$2:$A$30,Customers!$C$2:$C$30,"Not found")</f>
        <v>Carries forward</v>
      </c>
    </row>
    <row r="2236" spans="1:9">
      <c r="A2236" s="9">
        <v>44819</v>
      </c>
      <c r="B2236" t="s">
        <v>93</v>
      </c>
      <c r="C2236" t="s">
        <v>8</v>
      </c>
      <c r="D2236" s="4">
        <v>402</v>
      </c>
      <c r="E2236" s="4"/>
      <c r="F2236">
        <v>222</v>
      </c>
      <c r="H2236" t="str">
        <f t="shared" si="34"/>
        <v>2022-09</v>
      </c>
      <c r="I2236" t="str">
        <f>_xlfn.XLOOKUP(Table1[[#This Row],[Customer_ID]],Customers!$A$2:$A$30,Customers!$C$2:$C$30,"Not found")</f>
        <v>Carries forward</v>
      </c>
    </row>
    <row r="2237" spans="1:9">
      <c r="A2237" s="9">
        <v>44821</v>
      </c>
      <c r="B2237" t="s">
        <v>93</v>
      </c>
      <c r="C2237" t="s">
        <v>8</v>
      </c>
      <c r="D2237" s="4">
        <v>273</v>
      </c>
      <c r="E2237" s="4"/>
      <c r="F2237">
        <v>222</v>
      </c>
      <c r="H2237" t="str">
        <f t="shared" si="34"/>
        <v>2022-09</v>
      </c>
      <c r="I2237" t="str">
        <f>_xlfn.XLOOKUP(Table1[[#This Row],[Customer_ID]],Customers!$A$2:$A$30,Customers!$C$2:$C$30,"Not found")</f>
        <v>Carries forward</v>
      </c>
    </row>
    <row r="2238" spans="1:9">
      <c r="A2238" s="9">
        <v>44823</v>
      </c>
      <c r="B2238" t="s">
        <v>93</v>
      </c>
      <c r="C2238" t="s">
        <v>8</v>
      </c>
      <c r="D2238" s="4">
        <v>1385</v>
      </c>
      <c r="E2238" s="4"/>
      <c r="F2238">
        <v>222</v>
      </c>
      <c r="H2238" t="str">
        <f t="shared" si="34"/>
        <v>2022-09</v>
      </c>
      <c r="I2238" t="str">
        <f>_xlfn.XLOOKUP(Table1[[#This Row],[Customer_ID]],Customers!$A$2:$A$30,Customers!$C$2:$C$30,"Not found")</f>
        <v>Carries forward</v>
      </c>
    </row>
    <row r="2239" spans="1:9">
      <c r="A2239" s="9">
        <v>44823</v>
      </c>
      <c r="B2239" t="s">
        <v>93</v>
      </c>
      <c r="C2239" t="s">
        <v>8</v>
      </c>
      <c r="D2239" s="4">
        <v>40</v>
      </c>
      <c r="E2239" s="4"/>
      <c r="F2239">
        <v>222</v>
      </c>
      <c r="H2239" t="str">
        <f t="shared" ref="H2239:H2302" si="35">IF(A2239="","",TEXT(A2239,"yyyy-mm"))</f>
        <v>2022-09</v>
      </c>
      <c r="I2239" t="str">
        <f>_xlfn.XLOOKUP(Table1[[#This Row],[Customer_ID]],Customers!$A$2:$A$30,Customers!$C$2:$C$30,"Not found")</f>
        <v>Carries forward</v>
      </c>
    </row>
    <row r="2240" spans="1:9">
      <c r="A2240" s="9">
        <v>44824</v>
      </c>
      <c r="B2240" t="s">
        <v>93</v>
      </c>
      <c r="C2240" t="s">
        <v>8</v>
      </c>
      <c r="D2240" s="4">
        <v>73</v>
      </c>
      <c r="E2240" s="4"/>
      <c r="F2240">
        <v>222</v>
      </c>
      <c r="H2240" t="str">
        <f t="shared" si="35"/>
        <v>2022-09</v>
      </c>
      <c r="I2240" t="str">
        <f>_xlfn.XLOOKUP(Table1[[#This Row],[Customer_ID]],Customers!$A$2:$A$30,Customers!$C$2:$C$30,"Not found")</f>
        <v>Carries forward</v>
      </c>
    </row>
    <row r="2241" spans="1:9">
      <c r="A2241" s="9">
        <v>44824</v>
      </c>
      <c r="B2241" t="s">
        <v>93</v>
      </c>
      <c r="C2241" t="s">
        <v>8</v>
      </c>
      <c r="D2241" s="4">
        <v>193</v>
      </c>
      <c r="E2241" s="4"/>
      <c r="F2241">
        <v>222</v>
      </c>
      <c r="H2241" t="str">
        <f t="shared" si="35"/>
        <v>2022-09</v>
      </c>
      <c r="I2241" t="str">
        <f>_xlfn.XLOOKUP(Table1[[#This Row],[Customer_ID]],Customers!$A$2:$A$30,Customers!$C$2:$C$30,"Not found")</f>
        <v>Carries forward</v>
      </c>
    </row>
    <row r="2242" spans="1:9">
      <c r="A2242" s="9">
        <v>44824</v>
      </c>
      <c r="B2242" t="s">
        <v>93</v>
      </c>
      <c r="C2242" t="s">
        <v>8</v>
      </c>
      <c r="D2242" s="4">
        <v>35</v>
      </c>
      <c r="E2242" s="4"/>
      <c r="F2242">
        <v>222</v>
      </c>
      <c r="H2242" t="str">
        <f t="shared" si="35"/>
        <v>2022-09</v>
      </c>
      <c r="I2242" t="str">
        <f>_xlfn.XLOOKUP(Table1[[#This Row],[Customer_ID]],Customers!$A$2:$A$30,Customers!$C$2:$C$30,"Not found")</f>
        <v>Carries forward</v>
      </c>
    </row>
    <row r="2243" spans="1:9">
      <c r="A2243" s="9">
        <v>44826</v>
      </c>
      <c r="B2243" t="s">
        <v>93</v>
      </c>
      <c r="C2243" t="s">
        <v>8</v>
      </c>
      <c r="D2243" s="4">
        <v>81</v>
      </c>
      <c r="E2243" s="4"/>
      <c r="F2243">
        <v>222</v>
      </c>
      <c r="H2243" t="str">
        <f t="shared" si="35"/>
        <v>2022-09</v>
      </c>
      <c r="I2243" t="str">
        <f>_xlfn.XLOOKUP(Table1[[#This Row],[Customer_ID]],Customers!$A$2:$A$30,Customers!$C$2:$C$30,"Not found")</f>
        <v>Carries forward</v>
      </c>
    </row>
    <row r="2244" spans="1:9">
      <c r="A2244" s="9">
        <v>44827</v>
      </c>
      <c r="B2244" t="s">
        <v>93</v>
      </c>
      <c r="C2244" t="s">
        <v>8</v>
      </c>
      <c r="D2244" s="4">
        <v>430</v>
      </c>
      <c r="E2244" s="4"/>
      <c r="F2244">
        <v>222</v>
      </c>
      <c r="H2244" t="str">
        <f t="shared" si="35"/>
        <v>2022-09</v>
      </c>
      <c r="I2244" t="str">
        <f>_xlfn.XLOOKUP(Table1[[#This Row],[Customer_ID]],Customers!$A$2:$A$30,Customers!$C$2:$C$30,"Not found")</f>
        <v>Carries forward</v>
      </c>
    </row>
    <row r="2245" spans="1:9">
      <c r="A2245" s="9">
        <v>44830</v>
      </c>
      <c r="B2245" t="s">
        <v>93</v>
      </c>
      <c r="C2245" t="s">
        <v>8</v>
      </c>
      <c r="D2245" s="4">
        <v>52</v>
      </c>
      <c r="E2245" s="4"/>
      <c r="F2245">
        <v>222</v>
      </c>
      <c r="H2245" t="str">
        <f t="shared" si="35"/>
        <v>2022-09</v>
      </c>
      <c r="I2245" t="str">
        <f>_xlfn.XLOOKUP(Table1[[#This Row],[Customer_ID]],Customers!$A$2:$A$30,Customers!$C$2:$C$30,"Not found")</f>
        <v>Carries forward</v>
      </c>
    </row>
    <row r="2246" spans="1:9">
      <c r="A2246" s="9">
        <v>44830</v>
      </c>
      <c r="B2246" t="s">
        <v>93</v>
      </c>
      <c r="C2246" t="s">
        <v>8</v>
      </c>
      <c r="D2246" s="4">
        <v>40</v>
      </c>
      <c r="E2246" s="4"/>
      <c r="F2246">
        <v>222</v>
      </c>
      <c r="H2246" t="str">
        <f t="shared" si="35"/>
        <v>2022-09</v>
      </c>
      <c r="I2246" t="str">
        <f>_xlfn.XLOOKUP(Table1[[#This Row],[Customer_ID]],Customers!$A$2:$A$30,Customers!$C$2:$C$30,"Not found")</f>
        <v>Carries forward</v>
      </c>
    </row>
    <row r="2247" spans="1:9">
      <c r="A2247" s="9">
        <v>44831</v>
      </c>
      <c r="B2247" t="s">
        <v>93</v>
      </c>
      <c r="C2247" t="s">
        <v>8</v>
      </c>
      <c r="D2247" s="4">
        <v>91</v>
      </c>
      <c r="E2247" s="4"/>
      <c r="F2247">
        <v>222</v>
      </c>
      <c r="H2247" t="str">
        <f t="shared" si="35"/>
        <v>2022-09</v>
      </c>
      <c r="I2247" t="str">
        <f>_xlfn.XLOOKUP(Table1[[#This Row],[Customer_ID]],Customers!$A$2:$A$30,Customers!$C$2:$C$30,"Not found")</f>
        <v>Carries forward</v>
      </c>
    </row>
    <row r="2248" spans="1:9">
      <c r="A2248" s="9">
        <v>44832</v>
      </c>
      <c r="B2248" t="s">
        <v>93</v>
      </c>
      <c r="C2248" t="s">
        <v>8</v>
      </c>
      <c r="D2248" s="4">
        <v>213</v>
      </c>
      <c r="E2248" s="4"/>
      <c r="F2248">
        <v>222</v>
      </c>
      <c r="H2248" t="str">
        <f t="shared" si="35"/>
        <v>2022-09</v>
      </c>
      <c r="I2248" t="str">
        <f>_xlfn.XLOOKUP(Table1[[#This Row],[Customer_ID]],Customers!$A$2:$A$30,Customers!$C$2:$C$30,"Not found")</f>
        <v>Carries forward</v>
      </c>
    </row>
    <row r="2249" spans="1:9">
      <c r="A2249" s="9">
        <v>44834</v>
      </c>
      <c r="B2249" t="s">
        <v>93</v>
      </c>
      <c r="C2249" t="s">
        <v>8</v>
      </c>
      <c r="D2249" s="4">
        <v>20</v>
      </c>
      <c r="E2249" s="4"/>
      <c r="F2249">
        <v>222</v>
      </c>
      <c r="H2249" t="str">
        <f t="shared" si="35"/>
        <v>2022-09</v>
      </c>
      <c r="I2249" t="str">
        <f>_xlfn.XLOOKUP(Table1[[#This Row],[Customer_ID]],Customers!$A$2:$A$30,Customers!$C$2:$C$30,"Not found")</f>
        <v>Carries forward</v>
      </c>
    </row>
    <row r="2250" spans="1:9">
      <c r="A2250" s="9">
        <v>44834</v>
      </c>
      <c r="B2250" t="s">
        <v>93</v>
      </c>
      <c r="C2250" t="s">
        <v>8</v>
      </c>
      <c r="D2250" s="4">
        <v>170</v>
      </c>
      <c r="E2250" s="4"/>
      <c r="F2250">
        <v>222</v>
      </c>
      <c r="H2250" t="str">
        <f t="shared" si="35"/>
        <v>2022-09</v>
      </c>
      <c r="I2250" t="str">
        <f>_xlfn.XLOOKUP(Table1[[#This Row],[Customer_ID]],Customers!$A$2:$A$30,Customers!$C$2:$C$30,"Not found")</f>
        <v>Carries forward</v>
      </c>
    </row>
    <row r="2251" spans="1:9">
      <c r="A2251" s="9">
        <v>44834</v>
      </c>
      <c r="B2251" t="s">
        <v>93</v>
      </c>
      <c r="C2251" t="s">
        <v>8</v>
      </c>
      <c r="D2251" s="4">
        <v>40</v>
      </c>
      <c r="E2251" s="4"/>
      <c r="F2251">
        <v>222</v>
      </c>
      <c r="G2251" t="s">
        <v>199</v>
      </c>
      <c r="H2251" t="str">
        <f t="shared" si="35"/>
        <v>2022-09</v>
      </c>
      <c r="I2251" t="str">
        <f>_xlfn.XLOOKUP(Table1[[#This Row],[Customer_ID]],Customers!$A$2:$A$30,Customers!$C$2:$C$30,"Not found")</f>
        <v>Carries forward</v>
      </c>
    </row>
    <row r="2252" spans="1:9">
      <c r="A2252" s="9">
        <v>44835</v>
      </c>
      <c r="B2252" t="s">
        <v>93</v>
      </c>
      <c r="C2252" t="s">
        <v>8</v>
      </c>
      <c r="D2252" s="4">
        <v>127</v>
      </c>
      <c r="E2252" s="4"/>
      <c r="F2252">
        <v>222</v>
      </c>
      <c r="H2252" t="str">
        <f t="shared" si="35"/>
        <v>2022-10</v>
      </c>
      <c r="I2252" t="str">
        <f>_xlfn.XLOOKUP(Table1[[#This Row],[Customer_ID]],Customers!$A$2:$A$30,Customers!$C$2:$C$30,"Not found")</f>
        <v>Carries forward</v>
      </c>
    </row>
    <row r="2253" spans="1:9">
      <c r="A2253" s="9">
        <v>44836</v>
      </c>
      <c r="B2253" t="s">
        <v>93</v>
      </c>
      <c r="C2253" t="s">
        <v>8</v>
      </c>
      <c r="D2253" s="4">
        <v>136</v>
      </c>
      <c r="E2253" s="4"/>
      <c r="F2253">
        <v>222</v>
      </c>
      <c r="H2253" t="str">
        <f t="shared" si="35"/>
        <v>2022-10</v>
      </c>
      <c r="I2253" t="str">
        <f>_xlfn.XLOOKUP(Table1[[#This Row],[Customer_ID]],Customers!$A$2:$A$30,Customers!$C$2:$C$30,"Not found")</f>
        <v>Carries forward</v>
      </c>
    </row>
    <row r="2254" spans="1:9">
      <c r="A2254" s="9">
        <v>44836</v>
      </c>
      <c r="B2254" t="s">
        <v>93</v>
      </c>
      <c r="C2254" t="s">
        <v>8</v>
      </c>
      <c r="D2254" s="4">
        <v>50</v>
      </c>
      <c r="E2254" s="4"/>
      <c r="F2254">
        <v>222</v>
      </c>
      <c r="H2254" t="str">
        <f t="shared" si="35"/>
        <v>2022-10</v>
      </c>
      <c r="I2254" t="str">
        <f>_xlfn.XLOOKUP(Table1[[#This Row],[Customer_ID]],Customers!$A$2:$A$30,Customers!$C$2:$C$30,"Not found")</f>
        <v>Carries forward</v>
      </c>
    </row>
    <row r="2255" spans="1:9">
      <c r="A2255" s="9">
        <v>44840</v>
      </c>
      <c r="B2255" t="s">
        <v>93</v>
      </c>
      <c r="C2255" t="s">
        <v>8</v>
      </c>
      <c r="D2255" s="4">
        <v>20</v>
      </c>
      <c r="E2255" s="4"/>
      <c r="F2255">
        <v>222</v>
      </c>
      <c r="H2255" t="str">
        <f t="shared" si="35"/>
        <v>2022-10</v>
      </c>
      <c r="I2255" t="str">
        <f>_xlfn.XLOOKUP(Table1[[#This Row],[Customer_ID]],Customers!$A$2:$A$30,Customers!$C$2:$C$30,"Not found")</f>
        <v>Carries forward</v>
      </c>
    </row>
    <row r="2256" spans="1:9">
      <c r="A2256" s="9">
        <v>44842</v>
      </c>
      <c r="B2256" t="s">
        <v>93</v>
      </c>
      <c r="C2256" t="s">
        <v>8</v>
      </c>
      <c r="D2256" s="4">
        <v>4600</v>
      </c>
      <c r="E2256" s="4"/>
      <c r="F2256">
        <v>222</v>
      </c>
      <c r="H2256" t="str">
        <f t="shared" si="35"/>
        <v>2022-10</v>
      </c>
      <c r="I2256" t="str">
        <f>_xlfn.XLOOKUP(Table1[[#This Row],[Customer_ID]],Customers!$A$2:$A$30,Customers!$C$2:$C$30,"Not found")</f>
        <v>Carries forward</v>
      </c>
    </row>
    <row r="2257" spans="1:9">
      <c r="A2257" s="9">
        <v>44842</v>
      </c>
      <c r="B2257" t="s">
        <v>93</v>
      </c>
      <c r="C2257" t="s">
        <v>8</v>
      </c>
      <c r="D2257" s="4">
        <v>261</v>
      </c>
      <c r="E2257" s="4"/>
      <c r="F2257">
        <v>222</v>
      </c>
      <c r="G2257" t="s">
        <v>433</v>
      </c>
      <c r="H2257" t="str">
        <f t="shared" si="35"/>
        <v>2022-10</v>
      </c>
      <c r="I2257" t="str">
        <f>_xlfn.XLOOKUP(Table1[[#This Row],[Customer_ID]],Customers!$A$2:$A$30,Customers!$C$2:$C$30,"Not found")</f>
        <v>Carries forward</v>
      </c>
    </row>
    <row r="2258" spans="1:9">
      <c r="A2258" s="9">
        <v>44843</v>
      </c>
      <c r="B2258" t="s">
        <v>93</v>
      </c>
      <c r="C2258" t="s">
        <v>8</v>
      </c>
      <c r="D2258" s="4">
        <v>20</v>
      </c>
      <c r="E2258" s="4"/>
      <c r="F2258">
        <v>222</v>
      </c>
      <c r="H2258" t="str">
        <f t="shared" si="35"/>
        <v>2022-10</v>
      </c>
      <c r="I2258" t="str">
        <f>_xlfn.XLOOKUP(Table1[[#This Row],[Customer_ID]],Customers!$A$2:$A$30,Customers!$C$2:$C$30,"Not found")</f>
        <v>Carries forward</v>
      </c>
    </row>
    <row r="2259" spans="1:9">
      <c r="A2259" s="9">
        <v>44845</v>
      </c>
      <c r="B2259" t="s">
        <v>93</v>
      </c>
      <c r="C2259" t="s">
        <v>8</v>
      </c>
      <c r="D2259" s="4">
        <v>174</v>
      </c>
      <c r="E2259" s="4"/>
      <c r="F2259">
        <v>222</v>
      </c>
      <c r="H2259" t="str">
        <f t="shared" si="35"/>
        <v>2022-10</v>
      </c>
      <c r="I2259" t="str">
        <f>_xlfn.XLOOKUP(Table1[[#This Row],[Customer_ID]],Customers!$A$2:$A$30,Customers!$C$2:$C$30,"Not found")</f>
        <v>Carries forward</v>
      </c>
    </row>
    <row r="2260" spans="1:9">
      <c r="A2260" s="10">
        <v>44845</v>
      </c>
      <c r="B2260" s="7" t="s">
        <v>93</v>
      </c>
      <c r="C2260" s="7" t="s">
        <v>22</v>
      </c>
      <c r="D2260" s="8">
        <v>-160</v>
      </c>
      <c r="E2260" s="8">
        <v>9546</v>
      </c>
      <c r="F2260" s="7">
        <v>222</v>
      </c>
      <c r="G2260" s="7" t="s">
        <v>434</v>
      </c>
      <c r="H2260" t="str">
        <f t="shared" si="35"/>
        <v>2022-10</v>
      </c>
      <c r="I2260" t="str">
        <f>_xlfn.XLOOKUP(Table1[[#This Row],[Customer_ID]],Customers!$A$2:$A$30,Customers!$C$2:$C$30,"Not found")</f>
        <v>Carries forward</v>
      </c>
    </row>
    <row r="2261" spans="1:9">
      <c r="A2261" s="9"/>
      <c r="B2261" t="s">
        <v>93</v>
      </c>
      <c r="C2261" t="s">
        <v>14</v>
      </c>
      <c r="D2261" s="4">
        <v>2000</v>
      </c>
      <c r="E2261" s="4">
        <v>7546</v>
      </c>
      <c r="F2261">
        <v>222</v>
      </c>
      <c r="G2261" t="s">
        <v>435</v>
      </c>
      <c r="H2261" t="str">
        <f t="shared" si="35"/>
        <v/>
      </c>
      <c r="I2261" t="str">
        <f>_xlfn.XLOOKUP(Table1[[#This Row],[Customer_ID]],Customers!$A$2:$A$30,Customers!$C$2:$C$30,"Not found")</f>
        <v>Carries forward</v>
      </c>
    </row>
    <row r="2262" spans="1:9">
      <c r="A2262" s="9"/>
      <c r="B2262" t="s">
        <v>93</v>
      </c>
      <c r="C2262" t="s">
        <v>14</v>
      </c>
      <c r="D2262" s="4">
        <v>4600</v>
      </c>
      <c r="E2262" s="4">
        <v>2946</v>
      </c>
      <c r="F2262">
        <v>222</v>
      </c>
      <c r="G2262" t="s">
        <v>436</v>
      </c>
      <c r="H2262" t="str">
        <f t="shared" si="35"/>
        <v/>
      </c>
      <c r="I2262" t="str">
        <f>_xlfn.XLOOKUP(Table1[[#This Row],[Customer_ID]],Customers!$A$2:$A$30,Customers!$C$2:$C$30,"Not found")</f>
        <v>Carries forward</v>
      </c>
    </row>
    <row r="2263" spans="1:9">
      <c r="A2263" s="10"/>
      <c r="B2263" s="7" t="s">
        <v>93</v>
      </c>
      <c r="C2263" s="7" t="s">
        <v>14</v>
      </c>
      <c r="D2263" s="8">
        <v>2946</v>
      </c>
      <c r="E2263" s="8">
        <v>0</v>
      </c>
      <c r="F2263" s="7">
        <v>222</v>
      </c>
      <c r="G2263" s="7" t="s">
        <v>437</v>
      </c>
      <c r="H2263" t="str">
        <f t="shared" si="35"/>
        <v/>
      </c>
      <c r="I2263" t="str">
        <f>_xlfn.XLOOKUP(Table1[[#This Row],[Customer_ID]],Customers!$A$2:$A$30,Customers!$C$2:$C$30,"Not found")</f>
        <v>Carries forward</v>
      </c>
    </row>
    <row r="2264" spans="1:9">
      <c r="A2264" s="9">
        <v>44849</v>
      </c>
      <c r="B2264" t="s">
        <v>93</v>
      </c>
      <c r="C2264" t="s">
        <v>8</v>
      </c>
      <c r="D2264" s="4">
        <v>30</v>
      </c>
      <c r="E2264" s="4"/>
      <c r="F2264">
        <v>222</v>
      </c>
      <c r="H2264" t="str">
        <f t="shared" si="35"/>
        <v>2022-10</v>
      </c>
      <c r="I2264" t="str">
        <f>_xlfn.XLOOKUP(Table1[[#This Row],[Customer_ID]],Customers!$A$2:$A$30,Customers!$C$2:$C$30,"Not found")</f>
        <v>Carries forward</v>
      </c>
    </row>
    <row r="2265" spans="1:9">
      <c r="A2265" s="9">
        <v>44850</v>
      </c>
      <c r="B2265" t="s">
        <v>93</v>
      </c>
      <c r="C2265" t="s">
        <v>8</v>
      </c>
      <c r="D2265" s="4">
        <v>185</v>
      </c>
      <c r="E2265" s="4"/>
      <c r="F2265">
        <v>222</v>
      </c>
      <c r="H2265" t="str">
        <f t="shared" si="35"/>
        <v>2022-10</v>
      </c>
      <c r="I2265" t="str">
        <f>_xlfn.XLOOKUP(Table1[[#This Row],[Customer_ID]],Customers!$A$2:$A$30,Customers!$C$2:$C$30,"Not found")</f>
        <v>Carries forward</v>
      </c>
    </row>
    <row r="2266" spans="1:9">
      <c r="A2266" s="9">
        <v>44851</v>
      </c>
      <c r="B2266" t="s">
        <v>93</v>
      </c>
      <c r="C2266" t="s">
        <v>8</v>
      </c>
      <c r="D2266" s="4">
        <v>300</v>
      </c>
      <c r="E2266" s="4"/>
      <c r="F2266">
        <v>222</v>
      </c>
      <c r="H2266" t="str">
        <f t="shared" si="35"/>
        <v>2022-10</v>
      </c>
      <c r="I2266" t="str">
        <f>_xlfn.XLOOKUP(Table1[[#This Row],[Customer_ID]],Customers!$A$2:$A$30,Customers!$C$2:$C$30,"Not found")</f>
        <v>Carries forward</v>
      </c>
    </row>
    <row r="2267" spans="1:9">
      <c r="A2267" s="9">
        <v>44852</v>
      </c>
      <c r="B2267" t="s">
        <v>93</v>
      </c>
      <c r="C2267" t="s">
        <v>8</v>
      </c>
      <c r="D2267" s="4">
        <v>236</v>
      </c>
      <c r="E2267" s="4"/>
      <c r="F2267">
        <v>222</v>
      </c>
      <c r="H2267" t="str">
        <f t="shared" si="35"/>
        <v>2022-10</v>
      </c>
      <c r="I2267" t="str">
        <f>_xlfn.XLOOKUP(Table1[[#This Row],[Customer_ID]],Customers!$A$2:$A$30,Customers!$C$2:$C$30,"Not found")</f>
        <v>Carries forward</v>
      </c>
    </row>
    <row r="2268" spans="1:9">
      <c r="A2268" s="9">
        <v>44853</v>
      </c>
      <c r="B2268" t="s">
        <v>93</v>
      </c>
      <c r="C2268" t="s">
        <v>8</v>
      </c>
      <c r="D2268" s="4">
        <v>20</v>
      </c>
      <c r="E2268" s="4"/>
      <c r="F2268">
        <v>222</v>
      </c>
      <c r="H2268" t="str">
        <f t="shared" si="35"/>
        <v>2022-10</v>
      </c>
      <c r="I2268" t="str">
        <f>_xlfn.XLOOKUP(Table1[[#This Row],[Customer_ID]],Customers!$A$2:$A$30,Customers!$C$2:$C$30,"Not found")</f>
        <v>Carries forward</v>
      </c>
    </row>
    <row r="2269" spans="1:9">
      <c r="A2269" s="9">
        <v>44853</v>
      </c>
      <c r="B2269" t="s">
        <v>93</v>
      </c>
      <c r="C2269" t="s">
        <v>8</v>
      </c>
      <c r="D2269" s="4">
        <v>115</v>
      </c>
      <c r="E2269" s="4"/>
      <c r="F2269">
        <v>222</v>
      </c>
      <c r="H2269" t="str">
        <f t="shared" si="35"/>
        <v>2022-10</v>
      </c>
      <c r="I2269" t="str">
        <f>_xlfn.XLOOKUP(Table1[[#This Row],[Customer_ID]],Customers!$A$2:$A$30,Customers!$C$2:$C$30,"Not found")</f>
        <v>Carries forward</v>
      </c>
    </row>
    <row r="2270" spans="1:9">
      <c r="A2270" s="9">
        <v>44854</v>
      </c>
      <c r="B2270" t="s">
        <v>93</v>
      </c>
      <c r="C2270" t="s">
        <v>8</v>
      </c>
      <c r="D2270" s="4">
        <v>184</v>
      </c>
      <c r="E2270" s="4"/>
      <c r="F2270">
        <v>222</v>
      </c>
      <c r="H2270" t="str">
        <f t="shared" si="35"/>
        <v>2022-10</v>
      </c>
      <c r="I2270" t="str">
        <f>_xlfn.XLOOKUP(Table1[[#This Row],[Customer_ID]],Customers!$A$2:$A$30,Customers!$C$2:$C$30,"Not found")</f>
        <v>Carries forward</v>
      </c>
    </row>
    <row r="2271" spans="1:9">
      <c r="A2271" s="9">
        <v>44858</v>
      </c>
      <c r="B2271" t="s">
        <v>93</v>
      </c>
      <c r="C2271" t="s">
        <v>8</v>
      </c>
      <c r="D2271" s="4">
        <v>20</v>
      </c>
      <c r="E2271" s="4"/>
      <c r="F2271">
        <v>222</v>
      </c>
      <c r="H2271" t="str">
        <f t="shared" si="35"/>
        <v>2022-10</v>
      </c>
      <c r="I2271" t="str">
        <f>_xlfn.XLOOKUP(Table1[[#This Row],[Customer_ID]],Customers!$A$2:$A$30,Customers!$C$2:$C$30,"Not found")</f>
        <v>Carries forward</v>
      </c>
    </row>
    <row r="2272" spans="1:9">
      <c r="A2272" s="9">
        <v>44861</v>
      </c>
      <c r="B2272" t="s">
        <v>93</v>
      </c>
      <c r="C2272" t="s">
        <v>8</v>
      </c>
      <c r="D2272" s="4">
        <v>355</v>
      </c>
      <c r="E2272" s="4"/>
      <c r="F2272">
        <v>222</v>
      </c>
      <c r="H2272" t="str">
        <f t="shared" si="35"/>
        <v>2022-10</v>
      </c>
      <c r="I2272" t="str">
        <f>_xlfn.XLOOKUP(Table1[[#This Row],[Customer_ID]],Customers!$A$2:$A$30,Customers!$C$2:$C$30,"Not found")</f>
        <v>Carries forward</v>
      </c>
    </row>
    <row r="2273" spans="1:9">
      <c r="A2273" s="9">
        <v>44861</v>
      </c>
      <c r="B2273" t="s">
        <v>93</v>
      </c>
      <c r="C2273" t="s">
        <v>8</v>
      </c>
      <c r="D2273" s="4">
        <v>130</v>
      </c>
      <c r="E2273" s="4"/>
      <c r="F2273">
        <v>222</v>
      </c>
      <c r="H2273" t="str">
        <f t="shared" si="35"/>
        <v>2022-10</v>
      </c>
      <c r="I2273" t="str">
        <f>_xlfn.XLOOKUP(Table1[[#This Row],[Customer_ID]],Customers!$A$2:$A$30,Customers!$C$2:$C$30,"Not found")</f>
        <v>Carries forward</v>
      </c>
    </row>
    <row r="2274" spans="1:9">
      <c r="A2274" s="9">
        <v>44865</v>
      </c>
      <c r="B2274" t="s">
        <v>93</v>
      </c>
      <c r="C2274" t="s">
        <v>8</v>
      </c>
      <c r="D2274" s="4">
        <v>280</v>
      </c>
      <c r="E2274" s="4"/>
      <c r="F2274">
        <v>222</v>
      </c>
      <c r="H2274" t="str">
        <f t="shared" si="35"/>
        <v>2022-10</v>
      </c>
      <c r="I2274" t="str">
        <f>_xlfn.XLOOKUP(Table1[[#This Row],[Customer_ID]],Customers!$A$2:$A$30,Customers!$C$2:$C$30,"Not found")</f>
        <v>Carries forward</v>
      </c>
    </row>
    <row r="2275" spans="1:9">
      <c r="A2275" s="9">
        <v>44865</v>
      </c>
      <c r="B2275" t="s">
        <v>93</v>
      </c>
      <c r="C2275" t="s">
        <v>8</v>
      </c>
      <c r="D2275" s="4">
        <v>40</v>
      </c>
      <c r="E2275" s="4"/>
      <c r="F2275">
        <v>222</v>
      </c>
      <c r="H2275" t="str">
        <f t="shared" si="35"/>
        <v>2022-10</v>
      </c>
      <c r="I2275" t="str">
        <f>_xlfn.XLOOKUP(Table1[[#This Row],[Customer_ID]],Customers!$A$2:$A$30,Customers!$C$2:$C$30,"Not found")</f>
        <v>Carries forward</v>
      </c>
    </row>
    <row r="2276" spans="1:9">
      <c r="A2276" s="9">
        <v>44866</v>
      </c>
      <c r="B2276" t="s">
        <v>93</v>
      </c>
      <c r="C2276" t="s">
        <v>8</v>
      </c>
      <c r="D2276" s="4">
        <v>30</v>
      </c>
      <c r="E2276" s="4"/>
      <c r="F2276">
        <v>222</v>
      </c>
      <c r="H2276" t="str">
        <f t="shared" si="35"/>
        <v>2022-11</v>
      </c>
      <c r="I2276" t="str">
        <f>_xlfn.XLOOKUP(Table1[[#This Row],[Customer_ID]],Customers!$A$2:$A$30,Customers!$C$2:$C$30,"Not found")</f>
        <v>Carries forward</v>
      </c>
    </row>
    <row r="2277" spans="1:9">
      <c r="A2277" s="9">
        <v>44867</v>
      </c>
      <c r="B2277" t="s">
        <v>93</v>
      </c>
      <c r="C2277" t="s">
        <v>8</v>
      </c>
      <c r="D2277" s="4">
        <v>250</v>
      </c>
      <c r="E2277" s="4"/>
      <c r="F2277">
        <v>222</v>
      </c>
      <c r="H2277" t="str">
        <f t="shared" si="35"/>
        <v>2022-11</v>
      </c>
      <c r="I2277" t="str">
        <f>_xlfn.XLOOKUP(Table1[[#This Row],[Customer_ID]],Customers!$A$2:$A$30,Customers!$C$2:$C$30,"Not found")</f>
        <v>Carries forward</v>
      </c>
    </row>
    <row r="2278" spans="1:9">
      <c r="A2278" s="9">
        <v>44867</v>
      </c>
      <c r="B2278" t="s">
        <v>93</v>
      </c>
      <c r="C2278" t="s">
        <v>8</v>
      </c>
      <c r="D2278" s="4">
        <v>245</v>
      </c>
      <c r="E2278" s="4"/>
      <c r="F2278">
        <v>222</v>
      </c>
      <c r="H2278" t="str">
        <f t="shared" si="35"/>
        <v>2022-11</v>
      </c>
      <c r="I2278" t="str">
        <f>_xlfn.XLOOKUP(Table1[[#This Row],[Customer_ID]],Customers!$A$2:$A$30,Customers!$C$2:$C$30,"Not found")</f>
        <v>Carries forward</v>
      </c>
    </row>
    <row r="2279" spans="1:9">
      <c r="A2279" s="9">
        <v>44868</v>
      </c>
      <c r="B2279" t="s">
        <v>93</v>
      </c>
      <c r="C2279" t="s">
        <v>8</v>
      </c>
      <c r="D2279" s="4">
        <v>30</v>
      </c>
      <c r="E2279" s="4"/>
      <c r="F2279">
        <v>222</v>
      </c>
      <c r="H2279" t="str">
        <f t="shared" si="35"/>
        <v>2022-11</v>
      </c>
      <c r="I2279" t="str">
        <f>_xlfn.XLOOKUP(Table1[[#This Row],[Customer_ID]],Customers!$A$2:$A$30,Customers!$C$2:$C$30,"Not found")</f>
        <v>Carries forward</v>
      </c>
    </row>
    <row r="2280" spans="1:9">
      <c r="A2280" s="9">
        <v>44871</v>
      </c>
      <c r="B2280" t="s">
        <v>93</v>
      </c>
      <c r="C2280" t="s">
        <v>8</v>
      </c>
      <c r="D2280" s="4">
        <v>128</v>
      </c>
      <c r="E2280" s="4"/>
      <c r="F2280">
        <v>222</v>
      </c>
      <c r="H2280" t="str">
        <f t="shared" si="35"/>
        <v>2022-11</v>
      </c>
      <c r="I2280" t="str">
        <f>_xlfn.XLOOKUP(Table1[[#This Row],[Customer_ID]],Customers!$A$2:$A$30,Customers!$C$2:$C$30,"Not found")</f>
        <v>Carries forward</v>
      </c>
    </row>
    <row r="2281" spans="1:9">
      <c r="A2281" s="9">
        <v>44874</v>
      </c>
      <c r="B2281" t="s">
        <v>93</v>
      </c>
      <c r="C2281" t="s">
        <v>8</v>
      </c>
      <c r="D2281" s="4">
        <v>162</v>
      </c>
      <c r="E2281" s="4"/>
      <c r="F2281">
        <v>222</v>
      </c>
      <c r="H2281" t="str">
        <f t="shared" si="35"/>
        <v>2022-11</v>
      </c>
      <c r="I2281" t="str">
        <f>_xlfn.XLOOKUP(Table1[[#This Row],[Customer_ID]],Customers!$A$2:$A$30,Customers!$C$2:$C$30,"Not found")</f>
        <v>Carries forward</v>
      </c>
    </row>
    <row r="2282" spans="1:9">
      <c r="A2282" s="9">
        <v>44874</v>
      </c>
      <c r="B2282" t="s">
        <v>93</v>
      </c>
      <c r="C2282" t="s">
        <v>8</v>
      </c>
      <c r="D2282" s="4">
        <v>35</v>
      </c>
      <c r="E2282" s="4"/>
      <c r="F2282">
        <v>222</v>
      </c>
      <c r="H2282" t="str">
        <f t="shared" si="35"/>
        <v>2022-11</v>
      </c>
      <c r="I2282" t="str">
        <f>_xlfn.XLOOKUP(Table1[[#This Row],[Customer_ID]],Customers!$A$2:$A$30,Customers!$C$2:$C$30,"Not found")</f>
        <v>Carries forward</v>
      </c>
    </row>
    <row r="2283" spans="1:9">
      <c r="A2283" s="9">
        <v>44875</v>
      </c>
      <c r="B2283" t="s">
        <v>93</v>
      </c>
      <c r="C2283" t="s">
        <v>8</v>
      </c>
      <c r="D2283" s="4">
        <v>40</v>
      </c>
      <c r="E2283" s="4"/>
      <c r="F2283">
        <v>222</v>
      </c>
      <c r="H2283" t="str">
        <f t="shared" si="35"/>
        <v>2022-11</v>
      </c>
      <c r="I2283" t="str">
        <f>_xlfn.XLOOKUP(Table1[[#This Row],[Customer_ID]],Customers!$A$2:$A$30,Customers!$C$2:$C$30,"Not found")</f>
        <v>Carries forward</v>
      </c>
    </row>
    <row r="2284" spans="1:9">
      <c r="A2284" s="9">
        <v>44876</v>
      </c>
      <c r="B2284" t="s">
        <v>93</v>
      </c>
      <c r="C2284" t="s">
        <v>8</v>
      </c>
      <c r="D2284" s="4">
        <v>100</v>
      </c>
      <c r="E2284" s="4"/>
      <c r="F2284">
        <v>222</v>
      </c>
      <c r="H2284" t="str">
        <f t="shared" si="35"/>
        <v>2022-11</v>
      </c>
      <c r="I2284" t="str">
        <f>_xlfn.XLOOKUP(Table1[[#This Row],[Customer_ID]],Customers!$A$2:$A$30,Customers!$C$2:$C$30,"Not found")</f>
        <v>Carries forward</v>
      </c>
    </row>
    <row r="2285" spans="1:9">
      <c r="A2285" s="9">
        <v>44877</v>
      </c>
      <c r="B2285" t="s">
        <v>93</v>
      </c>
      <c r="C2285" t="s">
        <v>8</v>
      </c>
      <c r="D2285" s="4">
        <v>75</v>
      </c>
      <c r="E2285" s="4"/>
      <c r="F2285">
        <v>222</v>
      </c>
      <c r="H2285" t="str">
        <f t="shared" si="35"/>
        <v>2022-11</v>
      </c>
      <c r="I2285" t="str">
        <f>_xlfn.XLOOKUP(Table1[[#This Row],[Customer_ID]],Customers!$A$2:$A$30,Customers!$C$2:$C$30,"Not found")</f>
        <v>Carries forward</v>
      </c>
    </row>
    <row r="2286" spans="1:9">
      <c r="A2286" s="9">
        <v>44877</v>
      </c>
      <c r="B2286" t="s">
        <v>93</v>
      </c>
      <c r="C2286" t="s">
        <v>22</v>
      </c>
      <c r="D2286" s="4">
        <v>10</v>
      </c>
      <c r="E2286" s="4">
        <v>3000</v>
      </c>
      <c r="F2286">
        <v>222</v>
      </c>
      <c r="G2286" t="s">
        <v>438</v>
      </c>
      <c r="H2286" t="str">
        <f t="shared" si="35"/>
        <v>2022-11</v>
      </c>
      <c r="I2286" t="str">
        <f>_xlfn.XLOOKUP(Table1[[#This Row],[Customer_ID]],Customers!$A$2:$A$30,Customers!$C$2:$C$30,"Not found")</f>
        <v>Carries forward</v>
      </c>
    </row>
    <row r="2287" spans="1:9">
      <c r="A2287" s="9"/>
      <c r="B2287" t="s">
        <v>93</v>
      </c>
      <c r="C2287" t="s">
        <v>14</v>
      </c>
      <c r="D2287" s="4">
        <v>3000</v>
      </c>
      <c r="E2287" s="4">
        <v>0</v>
      </c>
      <c r="F2287">
        <v>222</v>
      </c>
      <c r="G2287" t="s">
        <v>439</v>
      </c>
      <c r="H2287" t="str">
        <f t="shared" si="35"/>
        <v/>
      </c>
      <c r="I2287" t="str">
        <f>_xlfn.XLOOKUP(Table1[[#This Row],[Customer_ID]],Customers!$A$2:$A$30,Customers!$C$2:$C$30,"Not found")</f>
        <v>Carries forward</v>
      </c>
    </row>
    <row r="2288" spans="1:9">
      <c r="A2288" s="9">
        <v>44877</v>
      </c>
      <c r="B2288" t="s">
        <v>93</v>
      </c>
      <c r="C2288" t="s">
        <v>8</v>
      </c>
      <c r="D2288" s="4">
        <v>40</v>
      </c>
      <c r="E2288" s="4"/>
      <c r="F2288">
        <v>222</v>
      </c>
      <c r="H2288" t="str">
        <f t="shared" si="35"/>
        <v>2022-11</v>
      </c>
      <c r="I2288" t="str">
        <f>_xlfn.XLOOKUP(Table1[[#This Row],[Customer_ID]],Customers!$A$2:$A$30,Customers!$C$2:$C$30,"Not found")</f>
        <v>Carries forward</v>
      </c>
    </row>
    <row r="2289" spans="1:9">
      <c r="A2289" s="9">
        <v>44878</v>
      </c>
      <c r="B2289" t="s">
        <v>93</v>
      </c>
      <c r="C2289" t="s">
        <v>8</v>
      </c>
      <c r="D2289" s="4">
        <v>20</v>
      </c>
      <c r="E2289" s="4"/>
      <c r="F2289">
        <v>222</v>
      </c>
      <c r="H2289" t="str">
        <f t="shared" si="35"/>
        <v>2022-11</v>
      </c>
      <c r="I2289" t="str">
        <f>_xlfn.XLOOKUP(Table1[[#This Row],[Customer_ID]],Customers!$A$2:$A$30,Customers!$C$2:$C$30,"Not found")</f>
        <v>Carries forward</v>
      </c>
    </row>
    <row r="2290" spans="1:9">
      <c r="A2290" s="9">
        <v>44879</v>
      </c>
      <c r="B2290" t="s">
        <v>93</v>
      </c>
      <c r="C2290" t="s">
        <v>8</v>
      </c>
      <c r="D2290" s="4">
        <v>330</v>
      </c>
      <c r="E2290" s="4"/>
      <c r="F2290">
        <v>222</v>
      </c>
      <c r="H2290" t="str">
        <f t="shared" si="35"/>
        <v>2022-11</v>
      </c>
      <c r="I2290" t="str">
        <f>_xlfn.XLOOKUP(Table1[[#This Row],[Customer_ID]],Customers!$A$2:$A$30,Customers!$C$2:$C$30,"Not found")</f>
        <v>Carries forward</v>
      </c>
    </row>
    <row r="2291" spans="1:9">
      <c r="A2291" s="9">
        <v>44880</v>
      </c>
      <c r="B2291" t="s">
        <v>93</v>
      </c>
      <c r="C2291" t="s">
        <v>8</v>
      </c>
      <c r="D2291" s="4">
        <v>184</v>
      </c>
      <c r="E2291" s="4"/>
      <c r="F2291">
        <v>222</v>
      </c>
      <c r="H2291" t="str">
        <f t="shared" si="35"/>
        <v>2022-11</v>
      </c>
      <c r="I2291" t="str">
        <f>_xlfn.XLOOKUP(Table1[[#This Row],[Customer_ID]],Customers!$A$2:$A$30,Customers!$C$2:$C$30,"Not found")</f>
        <v>Carries forward</v>
      </c>
    </row>
    <row r="2292" spans="1:9">
      <c r="A2292" s="10">
        <v>44880</v>
      </c>
      <c r="B2292" s="7" t="s">
        <v>93</v>
      </c>
      <c r="C2292" s="7" t="s">
        <v>8</v>
      </c>
      <c r="D2292" s="8">
        <v>1900</v>
      </c>
      <c r="E2292" s="8"/>
      <c r="F2292" s="7">
        <v>222</v>
      </c>
      <c r="G2292" s="7" t="s">
        <v>440</v>
      </c>
      <c r="H2292" t="str">
        <f t="shared" si="35"/>
        <v>2022-11</v>
      </c>
      <c r="I2292" t="str">
        <f>_xlfn.XLOOKUP(Table1[[#This Row],[Customer_ID]],Customers!$A$2:$A$30,Customers!$C$2:$C$30,"Not found")</f>
        <v>Carries forward</v>
      </c>
    </row>
    <row r="2293" spans="1:9">
      <c r="A2293" s="9">
        <v>44881</v>
      </c>
      <c r="B2293" t="s">
        <v>93</v>
      </c>
      <c r="C2293" t="s">
        <v>8</v>
      </c>
      <c r="D2293" s="4">
        <v>20</v>
      </c>
      <c r="E2293" s="4"/>
      <c r="F2293">
        <v>222</v>
      </c>
      <c r="H2293" t="str">
        <f t="shared" si="35"/>
        <v>2022-11</v>
      </c>
      <c r="I2293" t="str">
        <f>_xlfn.XLOOKUP(Table1[[#This Row],[Customer_ID]],Customers!$A$2:$A$30,Customers!$C$2:$C$30,"Not found")</f>
        <v>Carries forward</v>
      </c>
    </row>
    <row r="2294" spans="1:9">
      <c r="A2294" s="9">
        <v>44884</v>
      </c>
      <c r="B2294" t="s">
        <v>93</v>
      </c>
      <c r="C2294" t="s">
        <v>8</v>
      </c>
      <c r="D2294" s="4">
        <v>40</v>
      </c>
      <c r="E2294" s="4"/>
      <c r="F2294">
        <v>222</v>
      </c>
      <c r="H2294" t="str">
        <f t="shared" si="35"/>
        <v>2022-11</v>
      </c>
      <c r="I2294" t="str">
        <f>_xlfn.XLOOKUP(Table1[[#This Row],[Customer_ID]],Customers!$A$2:$A$30,Customers!$C$2:$C$30,"Not found")</f>
        <v>Carries forward</v>
      </c>
    </row>
    <row r="2295" spans="1:9">
      <c r="A2295" s="9">
        <v>44885</v>
      </c>
      <c r="B2295" t="s">
        <v>93</v>
      </c>
      <c r="C2295" t="s">
        <v>8</v>
      </c>
      <c r="D2295" s="4">
        <v>248</v>
      </c>
      <c r="E2295" s="4"/>
      <c r="F2295">
        <v>222</v>
      </c>
      <c r="H2295" t="str">
        <f t="shared" si="35"/>
        <v>2022-11</v>
      </c>
      <c r="I2295" t="str">
        <f>_xlfn.XLOOKUP(Table1[[#This Row],[Customer_ID]],Customers!$A$2:$A$30,Customers!$C$2:$C$30,"Not found")</f>
        <v>Carries forward</v>
      </c>
    </row>
    <row r="2296" spans="1:9">
      <c r="A2296" s="9">
        <v>44886</v>
      </c>
      <c r="B2296" t="s">
        <v>93</v>
      </c>
      <c r="C2296" t="s">
        <v>8</v>
      </c>
      <c r="D2296" s="4">
        <v>310</v>
      </c>
      <c r="E2296" s="4"/>
      <c r="F2296">
        <v>222</v>
      </c>
      <c r="H2296" t="str">
        <f t="shared" si="35"/>
        <v>2022-11</v>
      </c>
      <c r="I2296" t="str">
        <f>_xlfn.XLOOKUP(Table1[[#This Row],[Customer_ID]],Customers!$A$2:$A$30,Customers!$C$2:$C$30,"Not found")</f>
        <v>Carries forward</v>
      </c>
    </row>
    <row r="2297" spans="1:9">
      <c r="A2297" s="9">
        <v>44886</v>
      </c>
      <c r="B2297" t="s">
        <v>93</v>
      </c>
      <c r="C2297" t="s">
        <v>8</v>
      </c>
      <c r="D2297" s="4">
        <v>30</v>
      </c>
      <c r="E2297" s="4"/>
      <c r="F2297">
        <v>222</v>
      </c>
      <c r="H2297" t="str">
        <f t="shared" si="35"/>
        <v>2022-11</v>
      </c>
      <c r="I2297" t="str">
        <f>_xlfn.XLOOKUP(Table1[[#This Row],[Customer_ID]],Customers!$A$2:$A$30,Customers!$C$2:$C$30,"Not found")</f>
        <v>Carries forward</v>
      </c>
    </row>
    <row r="2298" spans="1:9">
      <c r="A2298" s="9">
        <v>44887</v>
      </c>
      <c r="B2298" t="s">
        <v>93</v>
      </c>
      <c r="C2298" t="s">
        <v>8</v>
      </c>
      <c r="D2298" s="4">
        <v>130</v>
      </c>
      <c r="E2298" s="4"/>
      <c r="F2298">
        <v>222</v>
      </c>
      <c r="H2298" t="str">
        <f t="shared" si="35"/>
        <v>2022-11</v>
      </c>
      <c r="I2298" t="str">
        <f>_xlfn.XLOOKUP(Table1[[#This Row],[Customer_ID]],Customers!$A$2:$A$30,Customers!$C$2:$C$30,"Not found")</f>
        <v>Carries forward</v>
      </c>
    </row>
    <row r="2299" spans="1:9">
      <c r="A2299" s="9">
        <v>44887</v>
      </c>
      <c r="B2299" t="s">
        <v>93</v>
      </c>
      <c r="C2299" t="s">
        <v>8</v>
      </c>
      <c r="D2299" s="4">
        <v>30</v>
      </c>
      <c r="E2299" s="4"/>
      <c r="F2299">
        <v>222</v>
      </c>
      <c r="H2299" t="str">
        <f t="shared" si="35"/>
        <v>2022-11</v>
      </c>
      <c r="I2299" t="str">
        <f>_xlfn.XLOOKUP(Table1[[#This Row],[Customer_ID]],Customers!$A$2:$A$30,Customers!$C$2:$C$30,"Not found")</f>
        <v>Carries forward</v>
      </c>
    </row>
    <row r="2300" spans="1:9">
      <c r="A2300" s="9">
        <v>44888</v>
      </c>
      <c r="B2300" t="s">
        <v>93</v>
      </c>
      <c r="C2300" t="s">
        <v>8</v>
      </c>
      <c r="D2300" s="4">
        <v>204</v>
      </c>
      <c r="E2300" s="4"/>
      <c r="F2300">
        <v>222</v>
      </c>
      <c r="H2300" t="str">
        <f t="shared" si="35"/>
        <v>2022-11</v>
      </c>
      <c r="I2300" t="str">
        <f>_xlfn.XLOOKUP(Table1[[#This Row],[Customer_ID]],Customers!$A$2:$A$30,Customers!$C$2:$C$30,"Not found")</f>
        <v>Carries forward</v>
      </c>
    </row>
    <row r="2301" spans="1:9">
      <c r="A2301" s="9">
        <v>44889</v>
      </c>
      <c r="B2301" t="s">
        <v>93</v>
      </c>
      <c r="C2301" t="s">
        <v>8</v>
      </c>
      <c r="D2301" s="4">
        <v>373</v>
      </c>
      <c r="E2301" s="4"/>
      <c r="F2301">
        <v>222</v>
      </c>
      <c r="H2301" t="str">
        <f t="shared" si="35"/>
        <v>2022-11</v>
      </c>
      <c r="I2301" t="str">
        <f>_xlfn.XLOOKUP(Table1[[#This Row],[Customer_ID]],Customers!$A$2:$A$30,Customers!$C$2:$C$30,"Not found")</f>
        <v>Carries forward</v>
      </c>
    </row>
    <row r="2302" spans="1:9">
      <c r="A2302" s="9">
        <v>44890</v>
      </c>
      <c r="B2302" t="s">
        <v>93</v>
      </c>
      <c r="C2302" t="s">
        <v>8</v>
      </c>
      <c r="D2302" s="4">
        <v>60</v>
      </c>
      <c r="E2302" s="4"/>
      <c r="F2302">
        <v>222</v>
      </c>
      <c r="H2302" t="str">
        <f t="shared" si="35"/>
        <v>2022-11</v>
      </c>
      <c r="I2302" t="str">
        <f>_xlfn.XLOOKUP(Table1[[#This Row],[Customer_ID]],Customers!$A$2:$A$30,Customers!$C$2:$C$30,"Not found")</f>
        <v>Carries forward</v>
      </c>
    </row>
    <row r="2303" spans="1:9">
      <c r="A2303" s="9">
        <v>44891</v>
      </c>
      <c r="B2303" t="s">
        <v>93</v>
      </c>
      <c r="C2303" t="s">
        <v>8</v>
      </c>
      <c r="D2303" s="4">
        <v>140</v>
      </c>
      <c r="E2303" s="4"/>
      <c r="F2303">
        <v>222</v>
      </c>
      <c r="H2303" t="str">
        <f t="shared" ref="H2303:H2366" si="36">IF(A2303="","",TEXT(A2303,"yyyy-mm"))</f>
        <v>2022-11</v>
      </c>
      <c r="I2303" t="str">
        <f>_xlfn.XLOOKUP(Table1[[#This Row],[Customer_ID]],Customers!$A$2:$A$30,Customers!$C$2:$C$30,"Not found")</f>
        <v>Carries forward</v>
      </c>
    </row>
    <row r="2304" spans="1:9">
      <c r="A2304" s="9">
        <v>44892</v>
      </c>
      <c r="B2304" t="s">
        <v>93</v>
      </c>
      <c r="C2304" t="s">
        <v>8</v>
      </c>
      <c r="D2304" s="4">
        <v>180</v>
      </c>
      <c r="E2304" s="4"/>
      <c r="F2304">
        <v>222</v>
      </c>
      <c r="H2304" t="str">
        <f t="shared" si="36"/>
        <v>2022-11</v>
      </c>
      <c r="I2304" t="str">
        <f>_xlfn.XLOOKUP(Table1[[#This Row],[Customer_ID]],Customers!$A$2:$A$30,Customers!$C$2:$C$30,"Not found")</f>
        <v>Carries forward</v>
      </c>
    </row>
    <row r="2305" spans="1:9">
      <c r="A2305" s="9">
        <v>44893</v>
      </c>
      <c r="B2305" t="s">
        <v>93</v>
      </c>
      <c r="C2305" t="s">
        <v>8</v>
      </c>
      <c r="D2305" s="4">
        <v>60</v>
      </c>
      <c r="E2305" s="4"/>
      <c r="F2305">
        <v>222</v>
      </c>
      <c r="H2305" t="str">
        <f t="shared" si="36"/>
        <v>2022-11</v>
      </c>
      <c r="I2305" t="str">
        <f>_xlfn.XLOOKUP(Table1[[#This Row],[Customer_ID]],Customers!$A$2:$A$30,Customers!$C$2:$C$30,"Not found")</f>
        <v>Carries forward</v>
      </c>
    </row>
    <row r="2306" spans="1:9">
      <c r="A2306" s="9">
        <v>44894</v>
      </c>
      <c r="B2306" t="s">
        <v>93</v>
      </c>
      <c r="C2306" t="s">
        <v>8</v>
      </c>
      <c r="D2306" s="4">
        <v>276</v>
      </c>
      <c r="E2306" s="4"/>
      <c r="F2306">
        <v>222</v>
      </c>
      <c r="H2306" t="str">
        <f t="shared" si="36"/>
        <v>2022-11</v>
      </c>
      <c r="I2306" t="str">
        <f>_xlfn.XLOOKUP(Table1[[#This Row],[Customer_ID]],Customers!$A$2:$A$30,Customers!$C$2:$C$30,"Not found")</f>
        <v>Carries forward</v>
      </c>
    </row>
    <row r="2307" spans="1:9">
      <c r="A2307" s="9">
        <v>44894</v>
      </c>
      <c r="B2307" t="s">
        <v>93</v>
      </c>
      <c r="C2307" t="s">
        <v>8</v>
      </c>
      <c r="D2307" s="4">
        <v>60</v>
      </c>
      <c r="E2307" s="4"/>
      <c r="F2307">
        <v>222</v>
      </c>
      <c r="H2307" t="str">
        <f t="shared" si="36"/>
        <v>2022-11</v>
      </c>
      <c r="I2307" t="str">
        <f>_xlfn.XLOOKUP(Table1[[#This Row],[Customer_ID]],Customers!$A$2:$A$30,Customers!$C$2:$C$30,"Not found")</f>
        <v>Carries forward</v>
      </c>
    </row>
    <row r="2308" spans="1:9">
      <c r="A2308" s="9">
        <v>44894</v>
      </c>
      <c r="B2308" t="s">
        <v>93</v>
      </c>
      <c r="C2308" t="s">
        <v>8</v>
      </c>
      <c r="D2308" s="4">
        <v>40</v>
      </c>
      <c r="E2308" s="4"/>
      <c r="F2308">
        <v>222</v>
      </c>
      <c r="H2308" t="str">
        <f t="shared" si="36"/>
        <v>2022-11</v>
      </c>
      <c r="I2308" t="str">
        <f>_xlfn.XLOOKUP(Table1[[#This Row],[Customer_ID]],Customers!$A$2:$A$30,Customers!$C$2:$C$30,"Not found")</f>
        <v>Carries forward</v>
      </c>
    </row>
    <row r="2309" spans="1:9">
      <c r="A2309" s="9">
        <v>44894</v>
      </c>
      <c r="B2309" t="s">
        <v>93</v>
      </c>
      <c r="C2309" t="s">
        <v>8</v>
      </c>
      <c r="D2309" s="4">
        <v>60</v>
      </c>
      <c r="E2309" s="4"/>
      <c r="F2309">
        <v>222</v>
      </c>
      <c r="H2309" t="str">
        <f t="shared" si="36"/>
        <v>2022-11</v>
      </c>
      <c r="I2309" t="str">
        <f>_xlfn.XLOOKUP(Table1[[#This Row],[Customer_ID]],Customers!$A$2:$A$30,Customers!$C$2:$C$30,"Not found")</f>
        <v>Carries forward</v>
      </c>
    </row>
    <row r="2310" spans="1:9">
      <c r="A2310" s="9">
        <v>44895</v>
      </c>
      <c r="B2310" t="s">
        <v>93</v>
      </c>
      <c r="C2310" t="s">
        <v>8</v>
      </c>
      <c r="D2310" s="4">
        <v>60</v>
      </c>
      <c r="E2310" s="4"/>
      <c r="F2310">
        <v>222</v>
      </c>
      <c r="H2310" t="str">
        <f t="shared" si="36"/>
        <v>2022-11</v>
      </c>
      <c r="I2310" t="str">
        <f>_xlfn.XLOOKUP(Table1[[#This Row],[Customer_ID]],Customers!$A$2:$A$30,Customers!$C$2:$C$30,"Not found")</f>
        <v>Carries forward</v>
      </c>
    </row>
    <row r="2311" spans="1:9">
      <c r="A2311" s="9">
        <v>44896</v>
      </c>
      <c r="B2311" t="s">
        <v>93</v>
      </c>
      <c r="C2311" t="s">
        <v>8</v>
      </c>
      <c r="D2311" s="4">
        <v>24</v>
      </c>
      <c r="E2311" s="4"/>
      <c r="F2311">
        <v>222</v>
      </c>
      <c r="H2311" t="str">
        <f t="shared" si="36"/>
        <v>2022-12</v>
      </c>
      <c r="I2311" t="str">
        <f>_xlfn.XLOOKUP(Table1[[#This Row],[Customer_ID]],Customers!$A$2:$A$30,Customers!$C$2:$C$30,"Not found")</f>
        <v>Carries forward</v>
      </c>
    </row>
    <row r="2312" spans="1:9">
      <c r="A2312" s="9">
        <v>44897</v>
      </c>
      <c r="B2312" t="s">
        <v>93</v>
      </c>
      <c r="C2312" t="s">
        <v>8</v>
      </c>
      <c r="D2312" s="4">
        <v>290</v>
      </c>
      <c r="E2312" s="4"/>
      <c r="F2312">
        <v>222</v>
      </c>
      <c r="H2312" t="str">
        <f t="shared" si="36"/>
        <v>2022-12</v>
      </c>
      <c r="I2312" t="str">
        <f>_xlfn.XLOOKUP(Table1[[#This Row],[Customer_ID]],Customers!$A$2:$A$30,Customers!$C$2:$C$30,"Not found")</f>
        <v>Carries forward</v>
      </c>
    </row>
    <row r="2313" spans="1:9">
      <c r="A2313" s="9">
        <v>44898</v>
      </c>
      <c r="B2313" t="s">
        <v>93</v>
      </c>
      <c r="C2313" t="s">
        <v>8</v>
      </c>
      <c r="D2313" s="4">
        <v>67</v>
      </c>
      <c r="E2313" s="4"/>
      <c r="F2313">
        <v>222</v>
      </c>
      <c r="H2313" t="str">
        <f t="shared" si="36"/>
        <v>2022-12</v>
      </c>
      <c r="I2313" t="str">
        <f>_xlfn.XLOOKUP(Table1[[#This Row],[Customer_ID]],Customers!$A$2:$A$30,Customers!$C$2:$C$30,"Not found")</f>
        <v>Carries forward</v>
      </c>
    </row>
    <row r="2314" spans="1:9">
      <c r="A2314" s="9">
        <v>44900</v>
      </c>
      <c r="B2314" t="s">
        <v>93</v>
      </c>
      <c r="C2314" t="s">
        <v>8</v>
      </c>
      <c r="D2314" s="4">
        <v>20</v>
      </c>
      <c r="E2314" s="4"/>
      <c r="F2314">
        <v>222</v>
      </c>
      <c r="H2314" t="str">
        <f t="shared" si="36"/>
        <v>2022-12</v>
      </c>
      <c r="I2314" t="str">
        <f>_xlfn.XLOOKUP(Table1[[#This Row],[Customer_ID]],Customers!$A$2:$A$30,Customers!$C$2:$C$30,"Not found")</f>
        <v>Carries forward</v>
      </c>
    </row>
    <row r="2315" spans="1:9">
      <c r="A2315" s="9">
        <v>44900</v>
      </c>
      <c r="B2315" t="s">
        <v>93</v>
      </c>
      <c r="C2315" t="s">
        <v>22</v>
      </c>
      <c r="D2315" s="4">
        <v>-20</v>
      </c>
      <c r="E2315" s="4">
        <v>5176</v>
      </c>
      <c r="F2315">
        <v>222</v>
      </c>
      <c r="G2315" t="s">
        <v>441</v>
      </c>
      <c r="H2315" t="str">
        <f t="shared" si="36"/>
        <v>2022-12</v>
      </c>
      <c r="I2315" t="str">
        <f>_xlfn.XLOOKUP(Table1[[#This Row],[Customer_ID]],Customers!$A$2:$A$30,Customers!$C$2:$C$30,"Not found")</f>
        <v>Carries forward</v>
      </c>
    </row>
    <row r="2316" spans="1:9">
      <c r="A2316" s="9">
        <v>44901</v>
      </c>
      <c r="B2316" t="s">
        <v>93</v>
      </c>
      <c r="C2316" t="s">
        <v>8</v>
      </c>
      <c r="D2316" s="4">
        <v>130</v>
      </c>
      <c r="E2316" s="4"/>
      <c r="F2316">
        <v>222</v>
      </c>
      <c r="H2316" t="str">
        <f t="shared" si="36"/>
        <v>2022-12</v>
      </c>
      <c r="I2316" t="str">
        <f>_xlfn.XLOOKUP(Table1[[#This Row],[Customer_ID]],Customers!$A$2:$A$30,Customers!$C$2:$C$30,"Not found")</f>
        <v>Carries forward</v>
      </c>
    </row>
    <row r="2317" spans="1:9">
      <c r="A2317" s="9">
        <v>44901</v>
      </c>
      <c r="B2317" t="s">
        <v>93</v>
      </c>
      <c r="C2317" t="s">
        <v>8</v>
      </c>
      <c r="D2317" s="4">
        <v>30</v>
      </c>
      <c r="E2317" s="4"/>
      <c r="F2317">
        <v>222</v>
      </c>
      <c r="H2317" t="str">
        <f t="shared" si="36"/>
        <v>2022-12</v>
      </c>
      <c r="I2317" t="str">
        <f>_xlfn.XLOOKUP(Table1[[#This Row],[Customer_ID]],Customers!$A$2:$A$30,Customers!$C$2:$C$30,"Not found")</f>
        <v>Carries forward</v>
      </c>
    </row>
    <row r="2318" spans="1:9">
      <c r="A2318" s="9">
        <v>44902</v>
      </c>
      <c r="B2318" t="s">
        <v>93</v>
      </c>
      <c r="C2318" t="s">
        <v>8</v>
      </c>
      <c r="D2318" s="4">
        <v>60</v>
      </c>
      <c r="E2318" s="4"/>
      <c r="F2318">
        <v>222</v>
      </c>
      <c r="H2318" t="str">
        <f t="shared" si="36"/>
        <v>2022-12</v>
      </c>
      <c r="I2318" t="str">
        <f>_xlfn.XLOOKUP(Table1[[#This Row],[Customer_ID]],Customers!$A$2:$A$30,Customers!$C$2:$C$30,"Not found")</f>
        <v>Carries forward</v>
      </c>
    </row>
    <row r="2319" spans="1:9">
      <c r="A2319" s="9">
        <v>44903</v>
      </c>
      <c r="B2319" t="s">
        <v>93</v>
      </c>
      <c r="C2319" t="s">
        <v>8</v>
      </c>
      <c r="D2319" s="4">
        <v>290</v>
      </c>
      <c r="E2319" s="4"/>
      <c r="F2319">
        <v>222</v>
      </c>
      <c r="H2319" t="str">
        <f t="shared" si="36"/>
        <v>2022-12</v>
      </c>
      <c r="I2319" t="str">
        <f>_xlfn.XLOOKUP(Table1[[#This Row],[Customer_ID]],Customers!$A$2:$A$30,Customers!$C$2:$C$30,"Not found")</f>
        <v>Carries forward</v>
      </c>
    </row>
    <row r="2320" spans="1:9">
      <c r="A2320" s="9">
        <v>44905</v>
      </c>
      <c r="B2320" t="s">
        <v>93</v>
      </c>
      <c r="C2320" t="s">
        <v>8</v>
      </c>
      <c r="D2320" s="4">
        <v>150</v>
      </c>
      <c r="E2320" s="4"/>
      <c r="F2320">
        <v>222</v>
      </c>
      <c r="H2320" t="str">
        <f t="shared" si="36"/>
        <v>2022-12</v>
      </c>
      <c r="I2320" t="str">
        <f>_xlfn.XLOOKUP(Table1[[#This Row],[Customer_ID]],Customers!$A$2:$A$30,Customers!$C$2:$C$30,"Not found")</f>
        <v>Carries forward</v>
      </c>
    </row>
    <row r="2321" spans="1:9">
      <c r="A2321" s="9">
        <v>44906</v>
      </c>
      <c r="B2321" t="s">
        <v>93</v>
      </c>
      <c r="C2321" t="s">
        <v>8</v>
      </c>
      <c r="D2321" s="4">
        <v>60</v>
      </c>
      <c r="E2321" s="4"/>
      <c r="F2321">
        <v>222</v>
      </c>
      <c r="H2321" t="str">
        <f t="shared" si="36"/>
        <v>2022-12</v>
      </c>
      <c r="I2321" t="str">
        <f>_xlfn.XLOOKUP(Table1[[#This Row],[Customer_ID]],Customers!$A$2:$A$30,Customers!$C$2:$C$30,"Not found")</f>
        <v>Carries forward</v>
      </c>
    </row>
    <row r="2322" spans="1:9">
      <c r="A2322" s="9">
        <v>44906</v>
      </c>
      <c r="B2322" t="s">
        <v>93</v>
      </c>
      <c r="C2322" t="s">
        <v>22</v>
      </c>
      <c r="D2322" s="4">
        <v>-60</v>
      </c>
      <c r="E2322" s="4">
        <v>5836</v>
      </c>
      <c r="F2322">
        <v>222</v>
      </c>
      <c r="G2322" t="s">
        <v>442</v>
      </c>
      <c r="H2322" t="str">
        <f t="shared" si="36"/>
        <v>2022-12</v>
      </c>
      <c r="I2322" t="str">
        <f>_xlfn.XLOOKUP(Table1[[#This Row],[Customer_ID]],Customers!$A$2:$A$30,Customers!$C$2:$C$30,"Not found")</f>
        <v>Carries forward</v>
      </c>
    </row>
    <row r="2323" spans="1:9">
      <c r="A2323" s="9">
        <v>44909</v>
      </c>
      <c r="B2323" t="s">
        <v>93</v>
      </c>
      <c r="C2323" t="s">
        <v>14</v>
      </c>
      <c r="D2323" s="4">
        <v>4000</v>
      </c>
      <c r="E2323" s="4">
        <v>1836</v>
      </c>
      <c r="F2323">
        <v>222</v>
      </c>
      <c r="G2323" t="s">
        <v>443</v>
      </c>
      <c r="H2323" t="str">
        <f t="shared" si="36"/>
        <v>2022-12</v>
      </c>
      <c r="I2323" t="str">
        <f>_xlfn.XLOOKUP(Table1[[#This Row],[Customer_ID]],Customers!$A$2:$A$30,Customers!$C$2:$C$30,"Not found")</f>
        <v>Carries forward</v>
      </c>
    </row>
    <row r="2324" spans="1:9">
      <c r="A2324" s="9">
        <v>44909</v>
      </c>
      <c r="B2324" t="s">
        <v>93</v>
      </c>
      <c r="C2324" t="s">
        <v>8</v>
      </c>
      <c r="D2324" s="4">
        <v>145</v>
      </c>
      <c r="E2324" s="4">
        <v>1981</v>
      </c>
      <c r="F2324">
        <v>222</v>
      </c>
      <c r="G2324" t="s">
        <v>444</v>
      </c>
      <c r="H2324" t="str">
        <f t="shared" si="36"/>
        <v>2022-12</v>
      </c>
      <c r="I2324" t="str">
        <f>_xlfn.XLOOKUP(Table1[[#This Row],[Customer_ID]],Customers!$A$2:$A$30,Customers!$C$2:$C$30,"Not found")</f>
        <v>Carries forward</v>
      </c>
    </row>
    <row r="2325" spans="1:9">
      <c r="A2325" s="9">
        <v>44911</v>
      </c>
      <c r="B2325" t="s">
        <v>93</v>
      </c>
      <c r="C2325" t="s">
        <v>8</v>
      </c>
      <c r="D2325" s="4">
        <v>200</v>
      </c>
      <c r="E2325" s="4">
        <v>2181</v>
      </c>
      <c r="F2325">
        <v>223</v>
      </c>
      <c r="G2325" t="s">
        <v>445</v>
      </c>
      <c r="H2325" t="str">
        <f t="shared" si="36"/>
        <v>2022-12</v>
      </c>
      <c r="I2325" t="str">
        <f>_xlfn.XLOOKUP(Table1[[#This Row],[Customer_ID]],Customers!$A$2:$A$30,Customers!$C$2:$C$30,"Not found")</f>
        <v>Carries forward</v>
      </c>
    </row>
    <row r="2326" spans="1:9">
      <c r="A2326" s="9">
        <v>44809</v>
      </c>
      <c r="B2326" t="s">
        <v>446</v>
      </c>
      <c r="C2326" t="s">
        <v>28</v>
      </c>
      <c r="D2326" s="4">
        <v>3462</v>
      </c>
      <c r="E2326" s="4">
        <v>3462</v>
      </c>
      <c r="F2326">
        <v>220</v>
      </c>
      <c r="G2326" t="s">
        <v>447</v>
      </c>
      <c r="H2326" t="str">
        <f t="shared" si="36"/>
        <v>2022-09</v>
      </c>
      <c r="I2326" t="str">
        <f>_xlfn.XLOOKUP(Table1[[#This Row],[Customer_ID]],Customers!$A$2:$A$30,Customers!$C$2:$C$30,"Not found")</f>
        <v>Carries forward</v>
      </c>
    </row>
    <row r="2327" spans="1:9">
      <c r="A2327" s="9">
        <v>44809</v>
      </c>
      <c r="B2327" t="s">
        <v>446</v>
      </c>
      <c r="C2327" t="s">
        <v>8</v>
      </c>
      <c r="D2327" s="4">
        <v>140</v>
      </c>
      <c r="E2327" s="4">
        <v>3602</v>
      </c>
      <c r="F2327">
        <v>220</v>
      </c>
      <c r="G2327" t="s">
        <v>448</v>
      </c>
      <c r="H2327" t="str">
        <f t="shared" si="36"/>
        <v>2022-09</v>
      </c>
      <c r="I2327" t="str">
        <f>_xlfn.XLOOKUP(Table1[[#This Row],[Customer_ID]],Customers!$A$2:$A$30,Customers!$C$2:$C$30,"Not found")</f>
        <v>Carries forward</v>
      </c>
    </row>
    <row r="2328" spans="1:9">
      <c r="A2328" s="9">
        <v>44811</v>
      </c>
      <c r="B2328" t="s">
        <v>446</v>
      </c>
      <c r="C2328" t="s">
        <v>14</v>
      </c>
      <c r="D2328" s="4">
        <v>3000</v>
      </c>
      <c r="E2328" s="4">
        <v>602</v>
      </c>
      <c r="F2328">
        <v>220</v>
      </c>
      <c r="G2328" t="s">
        <v>449</v>
      </c>
      <c r="H2328" t="str">
        <f t="shared" si="36"/>
        <v>2022-09</v>
      </c>
      <c r="I2328" t="str">
        <f>_xlfn.XLOOKUP(Table1[[#This Row],[Customer_ID]],Customers!$A$2:$A$30,Customers!$C$2:$C$30,"Not found")</f>
        <v>Carries forward</v>
      </c>
    </row>
    <row r="2329" spans="1:9">
      <c r="A2329" s="9">
        <v>44811</v>
      </c>
      <c r="B2329" t="s">
        <v>446</v>
      </c>
      <c r="C2329" t="s">
        <v>8</v>
      </c>
      <c r="D2329" s="4">
        <v>2338</v>
      </c>
      <c r="E2329" s="4"/>
      <c r="F2329">
        <v>220</v>
      </c>
      <c r="H2329" t="str">
        <f t="shared" si="36"/>
        <v>2022-09</v>
      </c>
      <c r="I2329" t="str">
        <f>_xlfn.XLOOKUP(Table1[[#This Row],[Customer_ID]],Customers!$A$2:$A$30,Customers!$C$2:$C$30,"Not found")</f>
        <v>Carries forward</v>
      </c>
    </row>
    <row r="2330" spans="1:9">
      <c r="A2330" s="9">
        <v>44811</v>
      </c>
      <c r="B2330" t="s">
        <v>446</v>
      </c>
      <c r="C2330" t="s">
        <v>8</v>
      </c>
      <c r="D2330" s="4">
        <v>120</v>
      </c>
      <c r="E2330" s="4"/>
      <c r="F2330">
        <v>220</v>
      </c>
      <c r="H2330" t="str">
        <f t="shared" si="36"/>
        <v>2022-09</v>
      </c>
      <c r="I2330" t="str">
        <f>_xlfn.XLOOKUP(Table1[[#This Row],[Customer_ID]],Customers!$A$2:$A$30,Customers!$C$2:$C$30,"Not found")</f>
        <v>Carries forward</v>
      </c>
    </row>
    <row r="2331" spans="1:9">
      <c r="A2331" s="9">
        <v>44812</v>
      </c>
      <c r="B2331" t="s">
        <v>446</v>
      </c>
      <c r="C2331" t="s">
        <v>8</v>
      </c>
      <c r="D2331" s="4">
        <v>130</v>
      </c>
      <c r="E2331" s="4"/>
      <c r="F2331">
        <v>220</v>
      </c>
      <c r="H2331" t="str">
        <f t="shared" si="36"/>
        <v>2022-09</v>
      </c>
      <c r="I2331" t="str">
        <f>_xlfn.XLOOKUP(Table1[[#This Row],[Customer_ID]],Customers!$A$2:$A$30,Customers!$C$2:$C$30,"Not found")</f>
        <v>Carries forward</v>
      </c>
    </row>
    <row r="2332" spans="1:9">
      <c r="A2332" s="9">
        <v>44816</v>
      </c>
      <c r="B2332" t="s">
        <v>446</v>
      </c>
      <c r="C2332" t="s">
        <v>8</v>
      </c>
      <c r="D2332" s="4">
        <v>226</v>
      </c>
      <c r="E2332" s="4"/>
      <c r="F2332">
        <v>220</v>
      </c>
      <c r="H2332" t="str">
        <f t="shared" si="36"/>
        <v>2022-09</v>
      </c>
      <c r="I2332" t="str">
        <f>_xlfn.XLOOKUP(Table1[[#This Row],[Customer_ID]],Customers!$A$2:$A$30,Customers!$C$2:$C$30,"Not found")</f>
        <v>Carries forward</v>
      </c>
    </row>
    <row r="2333" spans="1:9">
      <c r="A2333" s="9">
        <v>44818</v>
      </c>
      <c r="B2333" t="s">
        <v>446</v>
      </c>
      <c r="C2333" t="s">
        <v>8</v>
      </c>
      <c r="D2333" s="4">
        <v>254</v>
      </c>
      <c r="E2333" s="4"/>
      <c r="F2333">
        <v>220</v>
      </c>
      <c r="H2333" t="str">
        <f t="shared" si="36"/>
        <v>2022-09</v>
      </c>
      <c r="I2333" t="str">
        <f>_xlfn.XLOOKUP(Table1[[#This Row],[Customer_ID]],Customers!$A$2:$A$30,Customers!$C$2:$C$30,"Not found")</f>
        <v>Carries forward</v>
      </c>
    </row>
    <row r="2334" spans="1:9">
      <c r="A2334" s="9">
        <v>44819</v>
      </c>
      <c r="B2334" t="s">
        <v>446</v>
      </c>
      <c r="C2334" t="s">
        <v>8</v>
      </c>
      <c r="D2334" s="4">
        <v>88</v>
      </c>
      <c r="E2334" s="4"/>
      <c r="F2334">
        <v>220</v>
      </c>
      <c r="H2334" t="str">
        <f t="shared" si="36"/>
        <v>2022-09</v>
      </c>
      <c r="I2334" t="str">
        <f>_xlfn.XLOOKUP(Table1[[#This Row],[Customer_ID]],Customers!$A$2:$A$30,Customers!$C$2:$C$30,"Not found")</f>
        <v>Carries forward</v>
      </c>
    </row>
    <row r="2335" spans="1:9">
      <c r="A2335" s="9">
        <v>44825</v>
      </c>
      <c r="B2335" t="s">
        <v>446</v>
      </c>
      <c r="C2335" t="s">
        <v>8</v>
      </c>
      <c r="D2335" s="4">
        <v>667</v>
      </c>
      <c r="E2335" s="4"/>
      <c r="F2335">
        <v>220</v>
      </c>
      <c r="H2335" t="str">
        <f t="shared" si="36"/>
        <v>2022-09</v>
      </c>
      <c r="I2335" t="str">
        <f>_xlfn.XLOOKUP(Table1[[#This Row],[Customer_ID]],Customers!$A$2:$A$30,Customers!$C$2:$C$30,"Not found")</f>
        <v>Carries forward</v>
      </c>
    </row>
    <row r="2336" spans="1:9">
      <c r="A2336" s="9">
        <v>44826</v>
      </c>
      <c r="B2336" t="s">
        <v>446</v>
      </c>
      <c r="C2336" t="s">
        <v>8</v>
      </c>
      <c r="D2336" s="4">
        <v>178</v>
      </c>
      <c r="E2336" s="4"/>
      <c r="F2336">
        <v>220</v>
      </c>
      <c r="H2336" t="str">
        <f t="shared" si="36"/>
        <v>2022-09</v>
      </c>
      <c r="I2336" t="str">
        <f>_xlfn.XLOOKUP(Table1[[#This Row],[Customer_ID]],Customers!$A$2:$A$30,Customers!$C$2:$C$30,"Not found")</f>
        <v>Carries forward</v>
      </c>
    </row>
    <row r="2337" spans="1:9">
      <c r="A2337" s="9">
        <v>44827</v>
      </c>
      <c r="B2337" t="s">
        <v>446</v>
      </c>
      <c r="C2337" t="s">
        <v>8</v>
      </c>
      <c r="D2337" s="4">
        <v>30</v>
      </c>
      <c r="E2337" s="4"/>
      <c r="F2337">
        <v>220</v>
      </c>
      <c r="H2337" t="str">
        <f t="shared" si="36"/>
        <v>2022-09</v>
      </c>
      <c r="I2337" t="str">
        <f>_xlfn.XLOOKUP(Table1[[#This Row],[Customer_ID]],Customers!$A$2:$A$30,Customers!$C$2:$C$30,"Not found")</f>
        <v>Carries forward</v>
      </c>
    </row>
    <row r="2338" spans="1:9">
      <c r="A2338" s="9">
        <v>44828</v>
      </c>
      <c r="B2338" t="s">
        <v>446</v>
      </c>
      <c r="C2338" t="s">
        <v>8</v>
      </c>
      <c r="D2338" s="4">
        <v>283</v>
      </c>
      <c r="E2338" s="4"/>
      <c r="F2338">
        <v>220</v>
      </c>
      <c r="H2338" t="str">
        <f t="shared" si="36"/>
        <v>2022-09</v>
      </c>
      <c r="I2338" t="str">
        <f>_xlfn.XLOOKUP(Table1[[#This Row],[Customer_ID]],Customers!$A$2:$A$30,Customers!$C$2:$C$30,"Not found")</f>
        <v>Carries forward</v>
      </c>
    </row>
    <row r="2339" spans="1:9">
      <c r="A2339" s="9">
        <v>44830</v>
      </c>
      <c r="B2339" t="s">
        <v>446</v>
      </c>
      <c r="C2339" t="s">
        <v>8</v>
      </c>
      <c r="D2339" s="4">
        <v>203</v>
      </c>
      <c r="E2339" s="4"/>
      <c r="F2339">
        <v>220</v>
      </c>
      <c r="H2339" t="str">
        <f t="shared" si="36"/>
        <v>2022-09</v>
      </c>
      <c r="I2339" t="str">
        <f>_xlfn.XLOOKUP(Table1[[#This Row],[Customer_ID]],Customers!$A$2:$A$30,Customers!$C$2:$C$30,"Not found")</f>
        <v>Carries forward</v>
      </c>
    </row>
    <row r="2340" spans="1:9">
      <c r="A2340" s="9">
        <v>44831</v>
      </c>
      <c r="B2340" t="s">
        <v>446</v>
      </c>
      <c r="C2340" t="s">
        <v>8</v>
      </c>
      <c r="D2340" s="4">
        <v>208</v>
      </c>
      <c r="E2340" s="4"/>
      <c r="F2340">
        <v>220</v>
      </c>
      <c r="H2340" t="str">
        <f t="shared" si="36"/>
        <v>2022-09</v>
      </c>
      <c r="I2340" t="str">
        <f>_xlfn.XLOOKUP(Table1[[#This Row],[Customer_ID]],Customers!$A$2:$A$30,Customers!$C$2:$C$30,"Not found")</f>
        <v>Carries forward</v>
      </c>
    </row>
    <row r="2341" spans="1:9">
      <c r="A2341" s="9">
        <v>44833</v>
      </c>
      <c r="B2341" t="s">
        <v>446</v>
      </c>
      <c r="C2341" t="s">
        <v>8</v>
      </c>
      <c r="D2341" s="4">
        <v>213</v>
      </c>
      <c r="E2341" s="4">
        <v>5540</v>
      </c>
      <c r="F2341">
        <v>220</v>
      </c>
      <c r="G2341" t="s">
        <v>450</v>
      </c>
      <c r="H2341" t="str">
        <f t="shared" si="36"/>
        <v>2022-09</v>
      </c>
      <c r="I2341" t="str">
        <f>_xlfn.XLOOKUP(Table1[[#This Row],[Customer_ID]],Customers!$A$2:$A$30,Customers!$C$2:$C$30,"Not found")</f>
        <v>Carries forward</v>
      </c>
    </row>
    <row r="2342" spans="1:9">
      <c r="A2342" s="9">
        <v>44835</v>
      </c>
      <c r="B2342" t="s">
        <v>446</v>
      </c>
      <c r="C2342" t="s">
        <v>14</v>
      </c>
      <c r="D2342" s="4">
        <v>1000</v>
      </c>
      <c r="E2342" s="4">
        <v>4540</v>
      </c>
      <c r="F2342">
        <v>220</v>
      </c>
      <c r="G2342" t="s">
        <v>451</v>
      </c>
      <c r="H2342" t="str">
        <f t="shared" si="36"/>
        <v>2022-10</v>
      </c>
      <c r="I2342" t="str">
        <f>_xlfn.XLOOKUP(Table1[[#This Row],[Customer_ID]],Customers!$A$2:$A$30,Customers!$C$2:$C$30,"Not found")</f>
        <v>Carries forward</v>
      </c>
    </row>
    <row r="2343" spans="1:9">
      <c r="A2343" s="9"/>
      <c r="B2343" t="s">
        <v>446</v>
      </c>
      <c r="C2343" t="s">
        <v>14</v>
      </c>
      <c r="D2343" s="4">
        <v>800</v>
      </c>
      <c r="E2343" s="4">
        <v>3740</v>
      </c>
      <c r="F2343">
        <v>220</v>
      </c>
      <c r="G2343" t="s">
        <v>452</v>
      </c>
      <c r="H2343" t="str">
        <f t="shared" si="36"/>
        <v/>
      </c>
      <c r="I2343" t="str">
        <f>_xlfn.XLOOKUP(Table1[[#This Row],[Customer_ID]],Customers!$A$2:$A$30,Customers!$C$2:$C$30,"Not found")</f>
        <v>Carries forward</v>
      </c>
    </row>
    <row r="2344" spans="1:9">
      <c r="A2344" s="9">
        <v>44837</v>
      </c>
      <c r="B2344" t="s">
        <v>446</v>
      </c>
      <c r="C2344" t="s">
        <v>14</v>
      </c>
      <c r="D2344" s="4">
        <v>1000</v>
      </c>
      <c r="E2344" s="4">
        <v>2740</v>
      </c>
      <c r="F2344">
        <v>220</v>
      </c>
      <c r="G2344" t="s">
        <v>453</v>
      </c>
      <c r="H2344" t="str">
        <f t="shared" si="36"/>
        <v>2022-10</v>
      </c>
      <c r="I2344" t="str">
        <f>_xlfn.XLOOKUP(Table1[[#This Row],[Customer_ID]],Customers!$A$2:$A$30,Customers!$C$2:$C$30,"Not found")</f>
        <v>Carries forward</v>
      </c>
    </row>
    <row r="2345" spans="1:9">
      <c r="A2345" s="9">
        <v>44840</v>
      </c>
      <c r="B2345" t="s">
        <v>446</v>
      </c>
      <c r="C2345" t="s">
        <v>14</v>
      </c>
      <c r="D2345" s="4">
        <v>1000</v>
      </c>
      <c r="E2345" s="4">
        <v>1740</v>
      </c>
      <c r="F2345">
        <v>220</v>
      </c>
      <c r="G2345" t="s">
        <v>454</v>
      </c>
      <c r="H2345" t="str">
        <f t="shared" si="36"/>
        <v>2022-10</v>
      </c>
      <c r="I2345" t="str">
        <f>_xlfn.XLOOKUP(Table1[[#This Row],[Customer_ID]],Customers!$A$2:$A$30,Customers!$C$2:$C$30,"Not found")</f>
        <v>Carries forward</v>
      </c>
    </row>
    <row r="2346" spans="1:9">
      <c r="A2346" s="9"/>
      <c r="B2346" t="s">
        <v>446</v>
      </c>
      <c r="C2346" t="s">
        <v>14</v>
      </c>
      <c r="D2346" s="4">
        <v>1500</v>
      </c>
      <c r="E2346" s="4">
        <v>240</v>
      </c>
      <c r="F2346">
        <v>220</v>
      </c>
      <c r="G2346" t="s">
        <v>455</v>
      </c>
      <c r="H2346" t="str">
        <f t="shared" si="36"/>
        <v/>
      </c>
      <c r="I2346" t="str">
        <f>_xlfn.XLOOKUP(Table1[[#This Row],[Customer_ID]],Customers!$A$2:$A$30,Customers!$C$2:$C$30,"Not found")</f>
        <v>Carries forward</v>
      </c>
    </row>
    <row r="2347" spans="1:9">
      <c r="A2347" s="9">
        <v>44835</v>
      </c>
      <c r="B2347" t="s">
        <v>446</v>
      </c>
      <c r="C2347" t="s">
        <v>8</v>
      </c>
      <c r="D2347" s="4">
        <v>758</v>
      </c>
      <c r="E2347" s="4"/>
      <c r="F2347">
        <v>220</v>
      </c>
      <c r="H2347" t="str">
        <f t="shared" si="36"/>
        <v>2022-10</v>
      </c>
      <c r="I2347" t="str">
        <f>_xlfn.XLOOKUP(Table1[[#This Row],[Customer_ID]],Customers!$A$2:$A$30,Customers!$C$2:$C$30,"Not found")</f>
        <v>Carries forward</v>
      </c>
    </row>
    <row r="2348" spans="1:9">
      <c r="A2348" s="9">
        <v>44836</v>
      </c>
      <c r="B2348" t="s">
        <v>446</v>
      </c>
      <c r="C2348" t="s">
        <v>8</v>
      </c>
      <c r="D2348" s="4">
        <v>266</v>
      </c>
      <c r="E2348" s="4"/>
      <c r="F2348">
        <v>220</v>
      </c>
      <c r="H2348" t="str">
        <f t="shared" si="36"/>
        <v>2022-10</v>
      </c>
      <c r="I2348" t="str">
        <f>_xlfn.XLOOKUP(Table1[[#This Row],[Customer_ID]],Customers!$A$2:$A$30,Customers!$C$2:$C$30,"Not found")</f>
        <v>Carries forward</v>
      </c>
    </row>
    <row r="2349" spans="1:9">
      <c r="A2349" s="9">
        <v>44836</v>
      </c>
      <c r="B2349" t="s">
        <v>446</v>
      </c>
      <c r="C2349" t="s">
        <v>8</v>
      </c>
      <c r="D2349" s="4">
        <v>40</v>
      </c>
      <c r="E2349" s="4"/>
      <c r="F2349">
        <v>220</v>
      </c>
      <c r="H2349" t="str">
        <f t="shared" si="36"/>
        <v>2022-10</v>
      </c>
      <c r="I2349" t="str">
        <f>_xlfn.XLOOKUP(Table1[[#This Row],[Customer_ID]],Customers!$A$2:$A$30,Customers!$C$2:$C$30,"Not found")</f>
        <v>Carries forward</v>
      </c>
    </row>
    <row r="2350" spans="1:9">
      <c r="A2350" s="9">
        <v>44838</v>
      </c>
      <c r="B2350" t="s">
        <v>446</v>
      </c>
      <c r="C2350" t="s">
        <v>8</v>
      </c>
      <c r="D2350" s="4">
        <v>415</v>
      </c>
      <c r="E2350" s="4"/>
      <c r="F2350">
        <v>220</v>
      </c>
      <c r="H2350" t="str">
        <f t="shared" si="36"/>
        <v>2022-10</v>
      </c>
      <c r="I2350" t="str">
        <f>_xlfn.XLOOKUP(Table1[[#This Row],[Customer_ID]],Customers!$A$2:$A$30,Customers!$C$2:$C$30,"Not found")</f>
        <v>Carries forward</v>
      </c>
    </row>
    <row r="2351" spans="1:9">
      <c r="A2351" s="9">
        <v>44838</v>
      </c>
      <c r="B2351" t="s">
        <v>446</v>
      </c>
      <c r="C2351" t="s">
        <v>8</v>
      </c>
      <c r="D2351" s="4">
        <v>733</v>
      </c>
      <c r="E2351" s="4"/>
      <c r="F2351">
        <v>220</v>
      </c>
      <c r="H2351" t="str">
        <f t="shared" si="36"/>
        <v>2022-10</v>
      </c>
      <c r="I2351" t="str">
        <f>_xlfn.XLOOKUP(Table1[[#This Row],[Customer_ID]],Customers!$A$2:$A$30,Customers!$C$2:$C$30,"Not found")</f>
        <v>Carries forward</v>
      </c>
    </row>
    <row r="2352" spans="1:9">
      <c r="A2352" s="9">
        <v>44839</v>
      </c>
      <c r="B2352" t="s">
        <v>446</v>
      </c>
      <c r="C2352" t="s">
        <v>8</v>
      </c>
      <c r="D2352" s="4">
        <v>197</v>
      </c>
      <c r="E2352" s="4"/>
      <c r="F2352">
        <v>220</v>
      </c>
      <c r="H2352" t="str">
        <f t="shared" si="36"/>
        <v>2022-10</v>
      </c>
      <c r="I2352" t="str">
        <f>_xlfn.XLOOKUP(Table1[[#This Row],[Customer_ID]],Customers!$A$2:$A$30,Customers!$C$2:$C$30,"Not found")</f>
        <v>Carries forward</v>
      </c>
    </row>
    <row r="2353" spans="1:9">
      <c r="A2353" s="9">
        <v>44841</v>
      </c>
      <c r="B2353" t="s">
        <v>446</v>
      </c>
      <c r="C2353" t="s">
        <v>8</v>
      </c>
      <c r="D2353" s="4">
        <v>38</v>
      </c>
      <c r="E2353" s="4"/>
      <c r="F2353">
        <v>220</v>
      </c>
      <c r="H2353" t="str">
        <f t="shared" si="36"/>
        <v>2022-10</v>
      </c>
      <c r="I2353" t="str">
        <f>_xlfn.XLOOKUP(Table1[[#This Row],[Customer_ID]],Customers!$A$2:$A$30,Customers!$C$2:$C$30,"Not found")</f>
        <v>Carries forward</v>
      </c>
    </row>
    <row r="2354" spans="1:9">
      <c r="A2354" s="9">
        <v>44841</v>
      </c>
      <c r="B2354" t="s">
        <v>446</v>
      </c>
      <c r="C2354" t="s">
        <v>8</v>
      </c>
      <c r="D2354" s="4">
        <v>235</v>
      </c>
      <c r="E2354" s="4"/>
      <c r="F2354">
        <v>220</v>
      </c>
      <c r="H2354" t="str">
        <f t="shared" si="36"/>
        <v>2022-10</v>
      </c>
      <c r="I2354" t="str">
        <f>_xlfn.XLOOKUP(Table1[[#This Row],[Customer_ID]],Customers!$A$2:$A$30,Customers!$C$2:$C$30,"Not found")</f>
        <v>Carries forward</v>
      </c>
    </row>
    <row r="2355" spans="1:9">
      <c r="A2355" s="9">
        <v>44842</v>
      </c>
      <c r="B2355" t="s">
        <v>446</v>
      </c>
      <c r="C2355" t="s">
        <v>8</v>
      </c>
      <c r="D2355" s="4">
        <v>1324</v>
      </c>
      <c r="E2355" s="4"/>
      <c r="F2355">
        <v>220</v>
      </c>
      <c r="G2355" t="s">
        <v>456</v>
      </c>
      <c r="H2355" t="str">
        <f t="shared" si="36"/>
        <v>2022-10</v>
      </c>
      <c r="I2355" t="str">
        <f>_xlfn.XLOOKUP(Table1[[#This Row],[Customer_ID]],Customers!$A$2:$A$30,Customers!$C$2:$C$30,"Not found")</f>
        <v>Carries forward</v>
      </c>
    </row>
    <row r="2356" spans="1:9">
      <c r="A2356" s="9">
        <v>44844</v>
      </c>
      <c r="B2356" t="s">
        <v>446</v>
      </c>
      <c r="C2356" t="s">
        <v>8</v>
      </c>
      <c r="D2356" s="4">
        <v>95</v>
      </c>
      <c r="E2356" s="4"/>
      <c r="F2356">
        <v>220</v>
      </c>
      <c r="H2356" t="str">
        <f t="shared" si="36"/>
        <v>2022-10</v>
      </c>
      <c r="I2356" t="str">
        <f>_xlfn.XLOOKUP(Table1[[#This Row],[Customer_ID]],Customers!$A$2:$A$30,Customers!$C$2:$C$30,"Not found")</f>
        <v>Carries forward</v>
      </c>
    </row>
    <row r="2357" spans="1:9">
      <c r="A2357" s="9">
        <v>44845</v>
      </c>
      <c r="B2357" t="s">
        <v>446</v>
      </c>
      <c r="C2357" t="s">
        <v>8</v>
      </c>
      <c r="D2357" s="4">
        <v>616</v>
      </c>
      <c r="E2357" s="4"/>
      <c r="F2357">
        <v>220</v>
      </c>
      <c r="H2357" t="str">
        <f t="shared" si="36"/>
        <v>2022-10</v>
      </c>
      <c r="I2357" t="str">
        <f>_xlfn.XLOOKUP(Table1[[#This Row],[Customer_ID]],Customers!$A$2:$A$30,Customers!$C$2:$C$30,"Not found")</f>
        <v>Carries forward</v>
      </c>
    </row>
    <row r="2358" spans="1:9">
      <c r="A2358" s="9">
        <v>44846</v>
      </c>
      <c r="B2358" t="s">
        <v>446</v>
      </c>
      <c r="C2358" t="s">
        <v>8</v>
      </c>
      <c r="D2358" s="4">
        <v>203</v>
      </c>
      <c r="E2358" s="4"/>
      <c r="F2358">
        <v>220</v>
      </c>
      <c r="H2358" t="str">
        <f t="shared" si="36"/>
        <v>2022-10</v>
      </c>
      <c r="I2358" t="str">
        <f>_xlfn.XLOOKUP(Table1[[#This Row],[Customer_ID]],Customers!$A$2:$A$30,Customers!$C$2:$C$30,"Not found")</f>
        <v>Carries forward</v>
      </c>
    </row>
    <row r="2359" spans="1:9">
      <c r="A2359" s="9">
        <v>44847</v>
      </c>
      <c r="B2359" t="s">
        <v>446</v>
      </c>
      <c r="C2359" t="s">
        <v>8</v>
      </c>
      <c r="D2359" s="4">
        <v>91</v>
      </c>
      <c r="E2359" s="4"/>
      <c r="F2359">
        <v>220</v>
      </c>
      <c r="H2359" t="str">
        <f t="shared" si="36"/>
        <v>2022-10</v>
      </c>
      <c r="I2359" t="str">
        <f>_xlfn.XLOOKUP(Table1[[#This Row],[Customer_ID]],Customers!$A$2:$A$30,Customers!$C$2:$C$30,"Not found")</f>
        <v>Carries forward</v>
      </c>
    </row>
    <row r="2360" spans="1:9">
      <c r="A2360" s="9">
        <v>44848</v>
      </c>
      <c r="B2360" t="s">
        <v>446</v>
      </c>
      <c r="C2360" t="s">
        <v>8</v>
      </c>
      <c r="D2360" s="4">
        <v>20</v>
      </c>
      <c r="E2360" s="4"/>
      <c r="F2360">
        <v>220</v>
      </c>
      <c r="H2360" t="str">
        <f t="shared" si="36"/>
        <v>2022-10</v>
      </c>
      <c r="I2360" t="str">
        <f>_xlfn.XLOOKUP(Table1[[#This Row],[Customer_ID]],Customers!$A$2:$A$30,Customers!$C$2:$C$30,"Not found")</f>
        <v>Carries forward</v>
      </c>
    </row>
    <row r="2361" spans="1:9">
      <c r="A2361" s="9">
        <v>44850</v>
      </c>
      <c r="B2361" t="s">
        <v>446</v>
      </c>
      <c r="C2361" t="s">
        <v>8</v>
      </c>
      <c r="D2361" s="4">
        <v>123</v>
      </c>
      <c r="E2361" s="4"/>
      <c r="F2361">
        <v>220</v>
      </c>
      <c r="H2361" t="str">
        <f t="shared" si="36"/>
        <v>2022-10</v>
      </c>
      <c r="I2361" t="str">
        <f>_xlfn.XLOOKUP(Table1[[#This Row],[Customer_ID]],Customers!$A$2:$A$30,Customers!$C$2:$C$30,"Not found")</f>
        <v>Carries forward</v>
      </c>
    </row>
    <row r="2362" spans="1:9">
      <c r="A2362" s="9">
        <v>44850</v>
      </c>
      <c r="B2362" t="s">
        <v>446</v>
      </c>
      <c r="C2362" t="s">
        <v>8</v>
      </c>
      <c r="D2362" s="4">
        <v>130</v>
      </c>
      <c r="E2362" s="4"/>
      <c r="F2362">
        <v>220</v>
      </c>
      <c r="H2362" t="str">
        <f t="shared" si="36"/>
        <v>2022-10</v>
      </c>
      <c r="I2362" t="str">
        <f>_xlfn.XLOOKUP(Table1[[#This Row],[Customer_ID]],Customers!$A$2:$A$30,Customers!$C$2:$C$30,"Not found")</f>
        <v>Carries forward</v>
      </c>
    </row>
    <row r="2363" spans="1:9">
      <c r="A2363" s="9">
        <v>44851</v>
      </c>
      <c r="B2363" t="s">
        <v>446</v>
      </c>
      <c r="C2363" t="s">
        <v>8</v>
      </c>
      <c r="D2363" s="4">
        <v>562</v>
      </c>
      <c r="E2363" s="4"/>
      <c r="F2363">
        <v>220</v>
      </c>
      <c r="H2363" t="str">
        <f t="shared" si="36"/>
        <v>2022-10</v>
      </c>
      <c r="I2363" t="str">
        <f>_xlfn.XLOOKUP(Table1[[#This Row],[Customer_ID]],Customers!$A$2:$A$30,Customers!$C$2:$C$30,"Not found")</f>
        <v>Carries forward</v>
      </c>
    </row>
    <row r="2364" spans="1:9">
      <c r="A2364" s="9">
        <v>44855</v>
      </c>
      <c r="B2364" t="s">
        <v>446</v>
      </c>
      <c r="C2364" t="s">
        <v>8</v>
      </c>
      <c r="D2364" s="4">
        <v>305</v>
      </c>
      <c r="E2364" s="4"/>
      <c r="F2364">
        <v>220</v>
      </c>
      <c r="H2364" t="str">
        <f t="shared" si="36"/>
        <v>2022-10</v>
      </c>
      <c r="I2364" t="str">
        <f>_xlfn.XLOOKUP(Table1[[#This Row],[Customer_ID]],Customers!$A$2:$A$30,Customers!$C$2:$C$30,"Not found")</f>
        <v>Carries forward</v>
      </c>
    </row>
    <row r="2365" spans="1:9">
      <c r="A2365" s="9">
        <v>44856</v>
      </c>
      <c r="B2365" t="s">
        <v>446</v>
      </c>
      <c r="C2365" t="s">
        <v>8</v>
      </c>
      <c r="D2365" s="4">
        <v>15</v>
      </c>
      <c r="E2365" s="4"/>
      <c r="F2365">
        <v>220</v>
      </c>
      <c r="H2365" t="str">
        <f t="shared" si="36"/>
        <v>2022-10</v>
      </c>
      <c r="I2365" t="str">
        <f>_xlfn.XLOOKUP(Table1[[#This Row],[Customer_ID]],Customers!$A$2:$A$30,Customers!$C$2:$C$30,"Not found")</f>
        <v>Carries forward</v>
      </c>
    </row>
    <row r="2366" spans="1:9">
      <c r="A2366" s="9">
        <v>44856</v>
      </c>
      <c r="B2366" t="s">
        <v>446</v>
      </c>
      <c r="C2366" t="s">
        <v>8</v>
      </c>
      <c r="D2366" s="4">
        <v>25</v>
      </c>
      <c r="E2366" s="4"/>
      <c r="F2366">
        <v>220</v>
      </c>
      <c r="H2366" t="str">
        <f t="shared" si="36"/>
        <v>2022-10</v>
      </c>
      <c r="I2366" t="str">
        <f>_xlfn.XLOOKUP(Table1[[#This Row],[Customer_ID]],Customers!$A$2:$A$30,Customers!$C$2:$C$30,"Not found")</f>
        <v>Carries forward</v>
      </c>
    </row>
    <row r="2367" spans="1:9">
      <c r="A2367" s="9">
        <v>44858</v>
      </c>
      <c r="B2367" t="s">
        <v>446</v>
      </c>
      <c r="C2367" t="s">
        <v>8</v>
      </c>
      <c r="D2367" s="4">
        <v>441</v>
      </c>
      <c r="E2367" s="4">
        <v>6872</v>
      </c>
      <c r="F2367">
        <v>220</v>
      </c>
      <c r="G2367" t="s">
        <v>457</v>
      </c>
      <c r="H2367" t="str">
        <f t="shared" ref="H2367:H2430" si="37">IF(A2367="","",TEXT(A2367,"yyyy-mm"))</f>
        <v>2022-10</v>
      </c>
      <c r="I2367" t="str">
        <f>_xlfn.XLOOKUP(Table1[[#This Row],[Customer_ID]],Customers!$A$2:$A$30,Customers!$C$2:$C$30,"Not found")</f>
        <v>Carries forward</v>
      </c>
    </row>
    <row r="2368" spans="1:9">
      <c r="A2368" s="9">
        <v>44870</v>
      </c>
      <c r="B2368" t="s">
        <v>446</v>
      </c>
      <c r="C2368" t="s">
        <v>14</v>
      </c>
      <c r="D2368" s="4">
        <v>800</v>
      </c>
      <c r="E2368" s="4">
        <v>6072</v>
      </c>
      <c r="F2368">
        <v>220</v>
      </c>
      <c r="G2368" t="s">
        <v>458</v>
      </c>
      <c r="H2368" t="str">
        <f t="shared" si="37"/>
        <v>2022-11</v>
      </c>
      <c r="I2368" t="str">
        <f>_xlfn.XLOOKUP(Table1[[#This Row],[Customer_ID]],Customers!$A$2:$A$30,Customers!$C$2:$C$30,"Not found")</f>
        <v>Carries forward</v>
      </c>
    </row>
    <row r="2369" spans="1:9">
      <c r="A2369" s="9"/>
      <c r="B2369" t="s">
        <v>446</v>
      </c>
      <c r="C2369" t="s">
        <v>14</v>
      </c>
      <c r="D2369" s="4">
        <v>5000</v>
      </c>
      <c r="E2369" s="4">
        <v>1072</v>
      </c>
      <c r="F2369">
        <v>220</v>
      </c>
      <c r="G2369" t="s">
        <v>459</v>
      </c>
      <c r="H2369" t="str">
        <f t="shared" si="37"/>
        <v/>
      </c>
      <c r="I2369" t="str">
        <f>_xlfn.XLOOKUP(Table1[[#This Row],[Customer_ID]],Customers!$A$2:$A$30,Customers!$C$2:$C$30,"Not found")</f>
        <v>Carries forward</v>
      </c>
    </row>
    <row r="2370" spans="1:9">
      <c r="A2370" s="9">
        <v>44872</v>
      </c>
      <c r="B2370" t="s">
        <v>446</v>
      </c>
      <c r="C2370" t="s">
        <v>14</v>
      </c>
      <c r="D2370" s="4">
        <v>400</v>
      </c>
      <c r="E2370" s="4">
        <v>672</v>
      </c>
      <c r="F2370">
        <v>220</v>
      </c>
      <c r="G2370" t="s">
        <v>460</v>
      </c>
      <c r="H2370" t="str">
        <f t="shared" si="37"/>
        <v>2022-11</v>
      </c>
      <c r="I2370" t="str">
        <f>_xlfn.XLOOKUP(Table1[[#This Row],[Customer_ID]],Customers!$A$2:$A$30,Customers!$C$2:$C$30,"Not found")</f>
        <v>Carries forward</v>
      </c>
    </row>
    <row r="2371" spans="1:9">
      <c r="A2371" s="9">
        <v>44869</v>
      </c>
      <c r="B2371" t="s">
        <v>446</v>
      </c>
      <c r="C2371" t="s">
        <v>8</v>
      </c>
      <c r="D2371" s="4">
        <v>43</v>
      </c>
      <c r="E2371" s="4"/>
      <c r="F2371">
        <v>220</v>
      </c>
      <c r="H2371" t="str">
        <f t="shared" si="37"/>
        <v>2022-11</v>
      </c>
      <c r="I2371" t="str">
        <f>_xlfn.XLOOKUP(Table1[[#This Row],[Customer_ID]],Customers!$A$2:$A$30,Customers!$C$2:$C$30,"Not found")</f>
        <v>Carries forward</v>
      </c>
    </row>
    <row r="2372" spans="1:9">
      <c r="A2372" s="9">
        <v>44870</v>
      </c>
      <c r="B2372" t="s">
        <v>446</v>
      </c>
      <c r="C2372" t="s">
        <v>8</v>
      </c>
      <c r="D2372" s="4">
        <v>120</v>
      </c>
      <c r="E2372" s="4"/>
      <c r="F2372">
        <v>220</v>
      </c>
      <c r="H2372" t="str">
        <f t="shared" si="37"/>
        <v>2022-11</v>
      </c>
      <c r="I2372" t="str">
        <f>_xlfn.XLOOKUP(Table1[[#This Row],[Customer_ID]],Customers!$A$2:$A$30,Customers!$C$2:$C$30,"Not found")</f>
        <v>Carries forward</v>
      </c>
    </row>
    <row r="2373" spans="1:9">
      <c r="A2373" s="9">
        <v>44871</v>
      </c>
      <c r="B2373" t="s">
        <v>446</v>
      </c>
      <c r="C2373" t="s">
        <v>8</v>
      </c>
      <c r="D2373" s="4">
        <v>629</v>
      </c>
      <c r="E2373" s="4"/>
      <c r="F2373">
        <v>220</v>
      </c>
      <c r="H2373" t="str">
        <f t="shared" si="37"/>
        <v>2022-11</v>
      </c>
      <c r="I2373" t="str">
        <f>_xlfn.XLOOKUP(Table1[[#This Row],[Customer_ID]],Customers!$A$2:$A$30,Customers!$C$2:$C$30,"Not found")</f>
        <v>Carries forward</v>
      </c>
    </row>
    <row r="2374" spans="1:9">
      <c r="A2374" s="9">
        <v>44872</v>
      </c>
      <c r="B2374" t="s">
        <v>446</v>
      </c>
      <c r="C2374" t="s">
        <v>8</v>
      </c>
      <c r="D2374" s="4">
        <v>2472</v>
      </c>
      <c r="E2374" s="4"/>
      <c r="F2374">
        <v>220</v>
      </c>
      <c r="H2374" t="str">
        <f t="shared" si="37"/>
        <v>2022-11</v>
      </c>
      <c r="I2374" t="str">
        <f>_xlfn.XLOOKUP(Table1[[#This Row],[Customer_ID]],Customers!$A$2:$A$30,Customers!$C$2:$C$30,"Not found")</f>
        <v>Carries forward</v>
      </c>
    </row>
    <row r="2375" spans="1:9">
      <c r="A2375" s="9">
        <v>44874</v>
      </c>
      <c r="B2375" t="s">
        <v>446</v>
      </c>
      <c r="C2375" t="s">
        <v>8</v>
      </c>
      <c r="D2375" s="4">
        <v>67</v>
      </c>
      <c r="E2375" s="4"/>
      <c r="F2375">
        <v>220</v>
      </c>
      <c r="H2375" t="str">
        <f t="shared" si="37"/>
        <v>2022-11</v>
      </c>
      <c r="I2375" t="str">
        <f>_xlfn.XLOOKUP(Table1[[#This Row],[Customer_ID]],Customers!$A$2:$A$30,Customers!$C$2:$C$30,"Not found")</f>
        <v>Carries forward</v>
      </c>
    </row>
    <row r="2376" spans="1:9">
      <c r="A2376" s="9">
        <v>44876</v>
      </c>
      <c r="B2376" t="s">
        <v>446</v>
      </c>
      <c r="C2376" t="s">
        <v>8</v>
      </c>
      <c r="D2376" s="4">
        <v>1530</v>
      </c>
      <c r="E2376" s="4"/>
      <c r="F2376">
        <v>220</v>
      </c>
      <c r="H2376" t="str">
        <f t="shared" si="37"/>
        <v>2022-11</v>
      </c>
      <c r="I2376" t="str">
        <f>_xlfn.XLOOKUP(Table1[[#This Row],[Customer_ID]],Customers!$A$2:$A$30,Customers!$C$2:$C$30,"Not found")</f>
        <v>Carries forward</v>
      </c>
    </row>
    <row r="2377" spans="1:9">
      <c r="A2377" s="9">
        <v>44877</v>
      </c>
      <c r="B2377" t="s">
        <v>446</v>
      </c>
      <c r="C2377" t="s">
        <v>8</v>
      </c>
      <c r="D2377" s="4">
        <v>180</v>
      </c>
      <c r="E2377" s="4"/>
      <c r="F2377">
        <v>220</v>
      </c>
      <c r="H2377" t="str">
        <f t="shared" si="37"/>
        <v>2022-11</v>
      </c>
      <c r="I2377" t="str">
        <f>_xlfn.XLOOKUP(Table1[[#This Row],[Customer_ID]],Customers!$A$2:$A$30,Customers!$C$2:$C$30,"Not found")</f>
        <v>Carries forward</v>
      </c>
    </row>
    <row r="2378" spans="1:9">
      <c r="A2378" s="9">
        <v>44877</v>
      </c>
      <c r="B2378" t="s">
        <v>446</v>
      </c>
      <c r="C2378" t="s">
        <v>8</v>
      </c>
      <c r="D2378" s="4">
        <v>376</v>
      </c>
      <c r="E2378" s="4"/>
      <c r="F2378">
        <v>220</v>
      </c>
      <c r="H2378" t="str">
        <f t="shared" si="37"/>
        <v>2022-11</v>
      </c>
      <c r="I2378" t="str">
        <f>_xlfn.XLOOKUP(Table1[[#This Row],[Customer_ID]],Customers!$A$2:$A$30,Customers!$C$2:$C$30,"Not found")</f>
        <v>Carries forward</v>
      </c>
    </row>
    <row r="2379" spans="1:9">
      <c r="A2379" s="9">
        <v>44879</v>
      </c>
      <c r="B2379" t="s">
        <v>446</v>
      </c>
      <c r="C2379" t="s">
        <v>8</v>
      </c>
      <c r="D2379" s="4">
        <v>287</v>
      </c>
      <c r="E2379" s="4"/>
      <c r="F2379">
        <v>220</v>
      </c>
      <c r="H2379" t="str">
        <f t="shared" si="37"/>
        <v>2022-11</v>
      </c>
      <c r="I2379" t="str">
        <f>_xlfn.XLOOKUP(Table1[[#This Row],[Customer_ID]],Customers!$A$2:$A$30,Customers!$C$2:$C$30,"Not found")</f>
        <v>Carries forward</v>
      </c>
    </row>
    <row r="2380" spans="1:9">
      <c r="A2380" s="9">
        <v>44879</v>
      </c>
      <c r="B2380" t="s">
        <v>446</v>
      </c>
      <c r="C2380" t="s">
        <v>8</v>
      </c>
      <c r="D2380" s="4">
        <v>19</v>
      </c>
      <c r="E2380" s="4"/>
      <c r="F2380">
        <v>220</v>
      </c>
      <c r="H2380" t="str">
        <f t="shared" si="37"/>
        <v>2022-11</v>
      </c>
      <c r="I2380" t="str">
        <f>_xlfn.XLOOKUP(Table1[[#This Row],[Customer_ID]],Customers!$A$2:$A$30,Customers!$C$2:$C$30,"Not found")</f>
        <v>Carries forward</v>
      </c>
    </row>
    <row r="2381" spans="1:9">
      <c r="A2381" s="9">
        <v>44881</v>
      </c>
      <c r="B2381" t="s">
        <v>446</v>
      </c>
      <c r="C2381" t="s">
        <v>8</v>
      </c>
      <c r="D2381" s="4">
        <v>167</v>
      </c>
      <c r="E2381" s="4"/>
      <c r="F2381">
        <v>220</v>
      </c>
      <c r="H2381" t="str">
        <f t="shared" si="37"/>
        <v>2022-11</v>
      </c>
      <c r="I2381" t="str">
        <f>_xlfn.XLOOKUP(Table1[[#This Row],[Customer_ID]],Customers!$A$2:$A$30,Customers!$C$2:$C$30,"Not found")</f>
        <v>Carries forward</v>
      </c>
    </row>
    <row r="2382" spans="1:9">
      <c r="A2382" s="9">
        <v>44882</v>
      </c>
      <c r="B2382" t="s">
        <v>446</v>
      </c>
      <c r="C2382" t="s">
        <v>8</v>
      </c>
      <c r="D2382" s="4">
        <v>646</v>
      </c>
      <c r="E2382" s="4"/>
      <c r="F2382">
        <v>220</v>
      </c>
      <c r="H2382" t="str">
        <f t="shared" si="37"/>
        <v>2022-11</v>
      </c>
      <c r="I2382" t="str">
        <f>_xlfn.XLOOKUP(Table1[[#This Row],[Customer_ID]],Customers!$A$2:$A$30,Customers!$C$2:$C$30,"Not found")</f>
        <v>Carries forward</v>
      </c>
    </row>
    <row r="2383" spans="1:9">
      <c r="A2383" s="9">
        <v>44884</v>
      </c>
      <c r="B2383" t="s">
        <v>446</v>
      </c>
      <c r="C2383" t="s">
        <v>8</v>
      </c>
      <c r="D2383" s="4">
        <v>180</v>
      </c>
      <c r="E2383" s="4"/>
      <c r="F2383">
        <v>220</v>
      </c>
      <c r="H2383" t="str">
        <f t="shared" si="37"/>
        <v>2022-11</v>
      </c>
      <c r="I2383" t="str">
        <f>_xlfn.XLOOKUP(Table1[[#This Row],[Customer_ID]],Customers!$A$2:$A$30,Customers!$C$2:$C$30,"Not found")</f>
        <v>Carries forward</v>
      </c>
    </row>
    <row r="2384" spans="1:9">
      <c r="A2384" s="9">
        <v>44886</v>
      </c>
      <c r="B2384" t="s">
        <v>446</v>
      </c>
      <c r="C2384" t="s">
        <v>8</v>
      </c>
      <c r="D2384" s="4">
        <v>10</v>
      </c>
      <c r="E2384" s="4"/>
      <c r="F2384">
        <v>220</v>
      </c>
      <c r="H2384" t="str">
        <f t="shared" si="37"/>
        <v>2022-11</v>
      </c>
      <c r="I2384" t="str">
        <f>_xlfn.XLOOKUP(Table1[[#This Row],[Customer_ID]],Customers!$A$2:$A$30,Customers!$C$2:$C$30,"Not found")</f>
        <v>Carries forward</v>
      </c>
    </row>
    <row r="2385" spans="1:9">
      <c r="A2385" s="9">
        <v>44887</v>
      </c>
      <c r="B2385" t="s">
        <v>446</v>
      </c>
      <c r="C2385" t="s">
        <v>8</v>
      </c>
      <c r="D2385" s="4">
        <v>265</v>
      </c>
      <c r="E2385" s="4"/>
      <c r="F2385">
        <v>220</v>
      </c>
      <c r="H2385" t="str">
        <f t="shared" si="37"/>
        <v>2022-11</v>
      </c>
      <c r="I2385" t="str">
        <f>_xlfn.XLOOKUP(Table1[[#This Row],[Customer_ID]],Customers!$A$2:$A$30,Customers!$C$2:$C$30,"Not found")</f>
        <v>Carries forward</v>
      </c>
    </row>
    <row r="2386" spans="1:9">
      <c r="A2386" s="9">
        <v>44888</v>
      </c>
      <c r="B2386" t="s">
        <v>446</v>
      </c>
      <c r="C2386" t="s">
        <v>8</v>
      </c>
      <c r="D2386" s="4">
        <v>100</v>
      </c>
      <c r="E2386" s="4"/>
      <c r="F2386">
        <v>220</v>
      </c>
      <c r="H2386" t="str">
        <f t="shared" si="37"/>
        <v>2022-11</v>
      </c>
      <c r="I2386" t="str">
        <f>_xlfn.XLOOKUP(Table1[[#This Row],[Customer_ID]],Customers!$A$2:$A$30,Customers!$C$2:$C$30,"Not found")</f>
        <v>Carries forward</v>
      </c>
    </row>
    <row r="2387" spans="1:9">
      <c r="A2387" s="9">
        <v>44889</v>
      </c>
      <c r="B2387" t="s">
        <v>446</v>
      </c>
      <c r="C2387" t="s">
        <v>8</v>
      </c>
      <c r="D2387" s="4">
        <v>65</v>
      </c>
      <c r="E2387" s="4"/>
      <c r="F2387">
        <v>220</v>
      </c>
      <c r="H2387" t="str">
        <f t="shared" si="37"/>
        <v>2022-11</v>
      </c>
      <c r="I2387" t="str">
        <f>_xlfn.XLOOKUP(Table1[[#This Row],[Customer_ID]],Customers!$A$2:$A$30,Customers!$C$2:$C$30,"Not found")</f>
        <v>Carries forward</v>
      </c>
    </row>
    <row r="2388" spans="1:9">
      <c r="A2388" s="9">
        <v>44890</v>
      </c>
      <c r="B2388" t="s">
        <v>446</v>
      </c>
      <c r="C2388" t="s">
        <v>8</v>
      </c>
      <c r="D2388" s="4">
        <v>10</v>
      </c>
      <c r="E2388" s="4"/>
      <c r="F2388">
        <v>220</v>
      </c>
      <c r="H2388" t="str">
        <f t="shared" si="37"/>
        <v>2022-11</v>
      </c>
      <c r="I2388" t="str">
        <f>_xlfn.XLOOKUP(Table1[[#This Row],[Customer_ID]],Customers!$A$2:$A$30,Customers!$C$2:$C$30,"Not found")</f>
        <v>Carries forward</v>
      </c>
    </row>
    <row r="2389" spans="1:9">
      <c r="A2389" s="9">
        <v>44890</v>
      </c>
      <c r="B2389" t="s">
        <v>446</v>
      </c>
      <c r="C2389" t="s">
        <v>8</v>
      </c>
      <c r="D2389" s="4">
        <v>55</v>
      </c>
      <c r="E2389" s="4"/>
      <c r="F2389">
        <v>220</v>
      </c>
      <c r="H2389" t="str">
        <f t="shared" si="37"/>
        <v>2022-11</v>
      </c>
      <c r="I2389" t="str">
        <f>_xlfn.XLOOKUP(Table1[[#This Row],[Customer_ID]],Customers!$A$2:$A$30,Customers!$C$2:$C$30,"Not found")</f>
        <v>Carries forward</v>
      </c>
    </row>
    <row r="2390" spans="1:9">
      <c r="A2390" s="9">
        <v>44891</v>
      </c>
      <c r="B2390" t="s">
        <v>446</v>
      </c>
      <c r="C2390" t="s">
        <v>8</v>
      </c>
      <c r="D2390" s="4">
        <v>35</v>
      </c>
      <c r="E2390" s="4"/>
      <c r="F2390">
        <v>220</v>
      </c>
      <c r="H2390" t="str">
        <f t="shared" si="37"/>
        <v>2022-11</v>
      </c>
      <c r="I2390" t="str">
        <f>_xlfn.XLOOKUP(Table1[[#This Row],[Customer_ID]],Customers!$A$2:$A$30,Customers!$C$2:$C$30,"Not found")</f>
        <v>Carries forward</v>
      </c>
    </row>
    <row r="2391" spans="1:9">
      <c r="A2391" s="9">
        <v>44892</v>
      </c>
      <c r="B2391" t="s">
        <v>446</v>
      </c>
      <c r="C2391" t="s">
        <v>8</v>
      </c>
      <c r="D2391" s="4">
        <v>390</v>
      </c>
      <c r="E2391" s="4"/>
      <c r="F2391">
        <v>220</v>
      </c>
      <c r="H2391" t="str">
        <f t="shared" si="37"/>
        <v>2022-11</v>
      </c>
      <c r="I2391" t="str">
        <f>_xlfn.XLOOKUP(Table1[[#This Row],[Customer_ID]],Customers!$A$2:$A$30,Customers!$C$2:$C$30,"Not found")</f>
        <v>Carries forward</v>
      </c>
    </row>
    <row r="2392" spans="1:9">
      <c r="A2392" s="9">
        <v>44893</v>
      </c>
      <c r="B2392" t="s">
        <v>446</v>
      </c>
      <c r="C2392" t="s">
        <v>8</v>
      </c>
      <c r="D2392" s="4">
        <v>103</v>
      </c>
      <c r="E2392" s="4"/>
      <c r="F2392">
        <v>220</v>
      </c>
      <c r="H2392" t="str">
        <f t="shared" si="37"/>
        <v>2022-11</v>
      </c>
      <c r="I2392" t="str">
        <f>_xlfn.XLOOKUP(Table1[[#This Row],[Customer_ID]],Customers!$A$2:$A$30,Customers!$C$2:$C$30,"Not found")</f>
        <v>Carries forward</v>
      </c>
    </row>
    <row r="2393" spans="1:9">
      <c r="A2393" s="10">
        <v>44893</v>
      </c>
      <c r="B2393" s="7" t="s">
        <v>446</v>
      </c>
      <c r="C2393" s="7" t="s">
        <v>22</v>
      </c>
      <c r="D2393" s="8">
        <v>-220</v>
      </c>
      <c r="E2393" s="8">
        <v>8201</v>
      </c>
      <c r="F2393" s="7">
        <v>220</v>
      </c>
      <c r="G2393" s="7" t="s">
        <v>461</v>
      </c>
      <c r="H2393" t="str">
        <f t="shared" si="37"/>
        <v>2022-11</v>
      </c>
      <c r="I2393" t="str">
        <f>_xlfn.XLOOKUP(Table1[[#This Row],[Customer_ID]],Customers!$A$2:$A$30,Customers!$C$2:$C$30,"Not found")</f>
        <v>Carries forward</v>
      </c>
    </row>
    <row r="2394" spans="1:9">
      <c r="A2394" s="9"/>
      <c r="B2394" t="s">
        <v>446</v>
      </c>
      <c r="C2394" t="s">
        <v>14</v>
      </c>
      <c r="D2394" s="4">
        <v>1000</v>
      </c>
      <c r="E2394" s="4">
        <v>7201</v>
      </c>
      <c r="F2394">
        <v>220</v>
      </c>
      <c r="G2394" t="s">
        <v>462</v>
      </c>
      <c r="H2394" t="str">
        <f t="shared" si="37"/>
        <v/>
      </c>
      <c r="I2394" t="str">
        <f>_xlfn.XLOOKUP(Table1[[#This Row],[Customer_ID]],Customers!$A$2:$A$30,Customers!$C$2:$C$30,"Not found")</f>
        <v>Carries forward</v>
      </c>
    </row>
    <row r="2395" spans="1:9">
      <c r="A2395" s="9"/>
      <c r="B2395" t="s">
        <v>446</v>
      </c>
      <c r="C2395" t="s">
        <v>14</v>
      </c>
      <c r="D2395" s="4">
        <v>1000</v>
      </c>
      <c r="E2395" s="4">
        <v>6201</v>
      </c>
      <c r="F2395">
        <v>220</v>
      </c>
      <c r="G2395" t="s">
        <v>463</v>
      </c>
      <c r="H2395" t="str">
        <f t="shared" si="37"/>
        <v/>
      </c>
      <c r="I2395" t="str">
        <f>_xlfn.XLOOKUP(Table1[[#This Row],[Customer_ID]],Customers!$A$2:$A$30,Customers!$C$2:$C$30,"Not found")</f>
        <v>Carries forward</v>
      </c>
    </row>
    <row r="2396" spans="1:9">
      <c r="A2396" s="9">
        <v>44902</v>
      </c>
      <c r="B2396" t="s">
        <v>446</v>
      </c>
      <c r="C2396" t="s">
        <v>14</v>
      </c>
      <c r="D2396" s="4">
        <v>1000</v>
      </c>
      <c r="E2396" s="4">
        <v>5201</v>
      </c>
      <c r="F2396">
        <v>220</v>
      </c>
      <c r="G2396" t="s">
        <v>464</v>
      </c>
      <c r="H2396" t="str">
        <f t="shared" si="37"/>
        <v>2022-12</v>
      </c>
      <c r="I2396" t="str">
        <f>_xlfn.XLOOKUP(Table1[[#This Row],[Customer_ID]],Customers!$A$2:$A$30,Customers!$C$2:$C$30,"Not found")</f>
        <v>Carries forward</v>
      </c>
    </row>
    <row r="2397" spans="1:9">
      <c r="A2397" s="9">
        <v>44906</v>
      </c>
      <c r="B2397" t="s">
        <v>446</v>
      </c>
      <c r="C2397" t="s">
        <v>14</v>
      </c>
      <c r="D2397" s="4">
        <v>500</v>
      </c>
      <c r="E2397" s="4">
        <v>4701</v>
      </c>
      <c r="F2397">
        <v>220</v>
      </c>
      <c r="G2397" t="s">
        <v>465</v>
      </c>
      <c r="H2397" t="str">
        <f t="shared" si="37"/>
        <v>2022-12</v>
      </c>
      <c r="I2397" t="str">
        <f>_xlfn.XLOOKUP(Table1[[#This Row],[Customer_ID]],Customers!$A$2:$A$30,Customers!$C$2:$C$30,"Not found")</f>
        <v>Carries forward</v>
      </c>
    </row>
    <row r="2398" spans="1:9">
      <c r="A2398" s="9">
        <v>44907</v>
      </c>
      <c r="B2398" t="s">
        <v>446</v>
      </c>
      <c r="C2398" t="s">
        <v>14</v>
      </c>
      <c r="D2398" s="4">
        <v>500</v>
      </c>
      <c r="E2398" s="4">
        <v>4201</v>
      </c>
      <c r="F2398">
        <v>220</v>
      </c>
      <c r="G2398" t="s">
        <v>466</v>
      </c>
      <c r="H2398" t="str">
        <f t="shared" si="37"/>
        <v>2022-12</v>
      </c>
      <c r="I2398" t="str">
        <f>_xlfn.XLOOKUP(Table1[[#This Row],[Customer_ID]],Customers!$A$2:$A$30,Customers!$C$2:$C$30,"Not found")</f>
        <v>Carries forward</v>
      </c>
    </row>
    <row r="2399" spans="1:9">
      <c r="A2399" s="9">
        <v>44909</v>
      </c>
      <c r="B2399" t="s">
        <v>446</v>
      </c>
      <c r="C2399" t="s">
        <v>14</v>
      </c>
      <c r="D2399" s="4">
        <v>500</v>
      </c>
      <c r="E2399" s="4">
        <v>3701</v>
      </c>
      <c r="F2399">
        <v>220</v>
      </c>
      <c r="G2399" t="s">
        <v>467</v>
      </c>
      <c r="H2399" t="str">
        <f t="shared" si="37"/>
        <v>2022-12</v>
      </c>
      <c r="I2399" t="str">
        <f>_xlfn.XLOOKUP(Table1[[#This Row],[Customer_ID]],Customers!$A$2:$A$30,Customers!$C$2:$C$30,"Not found")</f>
        <v>Carries forward</v>
      </c>
    </row>
    <row r="2400" spans="1:9">
      <c r="A2400" s="9">
        <v>44910</v>
      </c>
      <c r="B2400" t="s">
        <v>446</v>
      </c>
      <c r="C2400" t="s">
        <v>14</v>
      </c>
      <c r="D2400" s="4">
        <v>500</v>
      </c>
      <c r="E2400" s="4">
        <v>3201</v>
      </c>
      <c r="F2400">
        <v>220</v>
      </c>
      <c r="G2400" t="s">
        <v>468</v>
      </c>
      <c r="H2400" t="str">
        <f t="shared" si="37"/>
        <v>2022-12</v>
      </c>
      <c r="I2400" t="str">
        <f>_xlfn.XLOOKUP(Table1[[#This Row],[Customer_ID]],Customers!$A$2:$A$30,Customers!$C$2:$C$30,"Not found")</f>
        <v>Carries forward</v>
      </c>
    </row>
    <row r="2401" spans="1:9">
      <c r="A2401" s="9"/>
      <c r="B2401" t="s">
        <v>446</v>
      </c>
      <c r="C2401" t="s">
        <v>14</v>
      </c>
      <c r="D2401" s="4">
        <v>1000</v>
      </c>
      <c r="E2401" s="4">
        <v>2201</v>
      </c>
      <c r="F2401">
        <v>221</v>
      </c>
      <c r="G2401" t="s">
        <v>469</v>
      </c>
      <c r="H2401" t="str">
        <f t="shared" si="37"/>
        <v/>
      </c>
      <c r="I2401" t="str">
        <f>_xlfn.XLOOKUP(Table1[[#This Row],[Customer_ID]],Customers!$A$2:$A$30,Customers!$C$2:$C$30,"Not found")</f>
        <v>Carries forward</v>
      </c>
    </row>
    <row r="2402" spans="1:9">
      <c r="A2402" s="9"/>
      <c r="B2402" t="s">
        <v>446</v>
      </c>
      <c r="C2402" t="s">
        <v>14</v>
      </c>
      <c r="D2402" s="4">
        <v>500</v>
      </c>
      <c r="E2402" s="4">
        <v>1701</v>
      </c>
      <c r="F2402">
        <v>221</v>
      </c>
      <c r="G2402" t="s">
        <v>470</v>
      </c>
      <c r="H2402" t="str">
        <f t="shared" si="37"/>
        <v/>
      </c>
      <c r="I2402" t="str">
        <f>_xlfn.XLOOKUP(Table1[[#This Row],[Customer_ID]],Customers!$A$2:$A$30,Customers!$C$2:$C$30,"Not found")</f>
        <v>Carries forward</v>
      </c>
    </row>
    <row r="2403" spans="1:9">
      <c r="A2403" s="9"/>
      <c r="B2403" t="s">
        <v>446</v>
      </c>
      <c r="C2403" t="s">
        <v>14</v>
      </c>
      <c r="D2403" s="4">
        <v>500</v>
      </c>
      <c r="E2403" s="4">
        <v>1201</v>
      </c>
      <c r="F2403">
        <v>221</v>
      </c>
      <c r="G2403" t="s">
        <v>471</v>
      </c>
      <c r="H2403" t="str">
        <f t="shared" si="37"/>
        <v/>
      </c>
      <c r="I2403" t="str">
        <f>_xlfn.XLOOKUP(Table1[[#This Row],[Customer_ID]],Customers!$A$2:$A$30,Customers!$C$2:$C$30,"Not found")</f>
        <v>Carries forward</v>
      </c>
    </row>
    <row r="2404" spans="1:9">
      <c r="A2404" s="9">
        <v>44897</v>
      </c>
      <c r="B2404" t="s">
        <v>446</v>
      </c>
      <c r="C2404" t="s">
        <v>8</v>
      </c>
      <c r="D2404" s="4">
        <v>160</v>
      </c>
      <c r="E2404" s="4"/>
      <c r="F2404">
        <v>221</v>
      </c>
      <c r="H2404" t="str">
        <f t="shared" si="37"/>
        <v>2022-12</v>
      </c>
      <c r="I2404" t="str">
        <f>_xlfn.XLOOKUP(Table1[[#This Row],[Customer_ID]],Customers!$A$2:$A$30,Customers!$C$2:$C$30,"Not found")</f>
        <v>Carries forward</v>
      </c>
    </row>
    <row r="2405" spans="1:9">
      <c r="A2405" s="9">
        <v>44898</v>
      </c>
      <c r="B2405" t="s">
        <v>446</v>
      </c>
      <c r="C2405" t="s">
        <v>8</v>
      </c>
      <c r="D2405" s="4">
        <v>51</v>
      </c>
      <c r="E2405" s="4"/>
      <c r="F2405">
        <v>221</v>
      </c>
      <c r="H2405" t="str">
        <f t="shared" si="37"/>
        <v>2022-12</v>
      </c>
      <c r="I2405" t="str">
        <f>_xlfn.XLOOKUP(Table1[[#This Row],[Customer_ID]],Customers!$A$2:$A$30,Customers!$C$2:$C$30,"Not found")</f>
        <v>Carries forward</v>
      </c>
    </row>
    <row r="2406" spans="1:9">
      <c r="A2406" s="9">
        <v>44900</v>
      </c>
      <c r="B2406" t="s">
        <v>446</v>
      </c>
      <c r="C2406" t="s">
        <v>8</v>
      </c>
      <c r="D2406" s="4">
        <v>12</v>
      </c>
      <c r="E2406" s="4"/>
      <c r="F2406">
        <v>221</v>
      </c>
      <c r="H2406" t="str">
        <f t="shared" si="37"/>
        <v>2022-12</v>
      </c>
      <c r="I2406" t="str">
        <f>_xlfn.XLOOKUP(Table1[[#This Row],[Customer_ID]],Customers!$A$2:$A$30,Customers!$C$2:$C$30,"Not found")</f>
        <v>Carries forward</v>
      </c>
    </row>
    <row r="2407" spans="1:9">
      <c r="A2407" s="9">
        <v>44906</v>
      </c>
      <c r="B2407" t="s">
        <v>446</v>
      </c>
      <c r="C2407" t="s">
        <v>8</v>
      </c>
      <c r="D2407" s="4">
        <v>83</v>
      </c>
      <c r="E2407" s="4"/>
      <c r="F2407">
        <v>221</v>
      </c>
      <c r="H2407" t="str">
        <f t="shared" si="37"/>
        <v>2022-12</v>
      </c>
      <c r="I2407" t="str">
        <f>_xlfn.XLOOKUP(Table1[[#This Row],[Customer_ID]],Customers!$A$2:$A$30,Customers!$C$2:$C$30,"Not found")</f>
        <v>Carries forward</v>
      </c>
    </row>
    <row r="2408" spans="1:9">
      <c r="A2408" s="9">
        <v>44907</v>
      </c>
      <c r="B2408" t="s">
        <v>446</v>
      </c>
      <c r="C2408" t="s">
        <v>8</v>
      </c>
      <c r="D2408" s="4">
        <v>90</v>
      </c>
      <c r="E2408" s="4"/>
      <c r="F2408">
        <v>221</v>
      </c>
      <c r="H2408" t="str">
        <f t="shared" si="37"/>
        <v>2022-12</v>
      </c>
      <c r="I2408" t="str">
        <f>_xlfn.XLOOKUP(Table1[[#This Row],[Customer_ID]],Customers!$A$2:$A$30,Customers!$C$2:$C$30,"Not found")</f>
        <v>Carries forward</v>
      </c>
    </row>
    <row r="2409" spans="1:9">
      <c r="A2409" s="9">
        <v>44907</v>
      </c>
      <c r="B2409" t="s">
        <v>446</v>
      </c>
      <c r="C2409" t="s">
        <v>8</v>
      </c>
      <c r="D2409" s="4">
        <v>1582</v>
      </c>
      <c r="E2409" s="4"/>
      <c r="F2409">
        <v>221</v>
      </c>
      <c r="H2409" t="str">
        <f t="shared" si="37"/>
        <v>2022-12</v>
      </c>
      <c r="I2409" t="str">
        <f>_xlfn.XLOOKUP(Table1[[#This Row],[Customer_ID]],Customers!$A$2:$A$30,Customers!$C$2:$C$30,"Not found")</f>
        <v>Carries forward</v>
      </c>
    </row>
    <row r="2410" spans="1:9">
      <c r="A2410" s="9">
        <v>44907</v>
      </c>
      <c r="B2410" t="s">
        <v>446</v>
      </c>
      <c r="C2410" t="s">
        <v>8</v>
      </c>
      <c r="D2410" s="4">
        <v>24</v>
      </c>
      <c r="E2410" s="4"/>
      <c r="F2410">
        <v>221</v>
      </c>
      <c r="H2410" t="str">
        <f t="shared" si="37"/>
        <v>2022-12</v>
      </c>
      <c r="I2410" t="str">
        <f>_xlfn.XLOOKUP(Table1[[#This Row],[Customer_ID]],Customers!$A$2:$A$30,Customers!$C$2:$C$30,"Not found")</f>
        <v>Carries forward</v>
      </c>
    </row>
    <row r="2411" spans="1:9">
      <c r="A2411" s="9">
        <v>44910</v>
      </c>
      <c r="B2411" t="s">
        <v>446</v>
      </c>
      <c r="C2411" t="s">
        <v>8</v>
      </c>
      <c r="D2411" s="4">
        <v>1200</v>
      </c>
      <c r="E2411" s="4"/>
      <c r="F2411">
        <v>221</v>
      </c>
      <c r="G2411" t="s">
        <v>472</v>
      </c>
      <c r="H2411" t="str">
        <f t="shared" si="37"/>
        <v>2022-12</v>
      </c>
      <c r="I2411" t="str">
        <f>_xlfn.XLOOKUP(Table1[[#This Row],[Customer_ID]],Customers!$A$2:$A$30,Customers!$C$2:$C$30,"Not found")</f>
        <v>Carries forward</v>
      </c>
    </row>
    <row r="2412" spans="1:9">
      <c r="A2412" s="9">
        <v>44927</v>
      </c>
      <c r="B2412" t="s">
        <v>446</v>
      </c>
      <c r="C2412" t="s">
        <v>8</v>
      </c>
      <c r="D2412" s="4">
        <v>63</v>
      </c>
      <c r="E2412" s="4"/>
      <c r="F2412">
        <v>221</v>
      </c>
      <c r="H2412" t="str">
        <f t="shared" si="37"/>
        <v>2023-01</v>
      </c>
      <c r="I2412" t="str">
        <f>_xlfn.XLOOKUP(Table1[[#This Row],[Customer_ID]],Customers!$A$2:$A$30,Customers!$C$2:$C$30,"Not found")</f>
        <v>Carries forward</v>
      </c>
    </row>
    <row r="2413" spans="1:9">
      <c r="A2413" s="9">
        <v>44929</v>
      </c>
      <c r="B2413" t="s">
        <v>446</v>
      </c>
      <c r="C2413" t="s">
        <v>8</v>
      </c>
      <c r="D2413" s="4">
        <v>45</v>
      </c>
      <c r="E2413" s="4"/>
      <c r="F2413">
        <v>221</v>
      </c>
      <c r="H2413" t="str">
        <f t="shared" si="37"/>
        <v>2023-01</v>
      </c>
      <c r="I2413" t="str">
        <f>_xlfn.XLOOKUP(Table1[[#This Row],[Customer_ID]],Customers!$A$2:$A$30,Customers!$C$2:$C$30,"Not found")</f>
        <v>Carries forward</v>
      </c>
    </row>
    <row r="2414" spans="1:9">
      <c r="A2414" s="9">
        <v>44929</v>
      </c>
      <c r="B2414" t="s">
        <v>446</v>
      </c>
      <c r="C2414" t="s">
        <v>22</v>
      </c>
      <c r="D2414" s="4">
        <v>-61</v>
      </c>
      <c r="E2414" s="4">
        <v>4450</v>
      </c>
      <c r="F2414">
        <v>221</v>
      </c>
      <c r="G2414" t="s">
        <v>473</v>
      </c>
      <c r="H2414" t="str">
        <f t="shared" si="37"/>
        <v>2023-01</v>
      </c>
      <c r="I2414" t="str">
        <f>_xlfn.XLOOKUP(Table1[[#This Row],[Customer_ID]],Customers!$A$2:$A$30,Customers!$C$2:$C$30,"Not found")</f>
        <v>Carries forward</v>
      </c>
    </row>
    <row r="2415" spans="1:9">
      <c r="A2415" s="9">
        <v>44934</v>
      </c>
      <c r="B2415" t="s">
        <v>446</v>
      </c>
      <c r="C2415" t="s">
        <v>14</v>
      </c>
      <c r="D2415" s="4">
        <v>800</v>
      </c>
      <c r="E2415" s="4">
        <v>3650</v>
      </c>
      <c r="F2415">
        <v>221</v>
      </c>
      <c r="G2415" t="s">
        <v>474</v>
      </c>
      <c r="H2415" t="str">
        <f t="shared" si="37"/>
        <v>2023-01</v>
      </c>
      <c r="I2415" t="str">
        <f>_xlfn.XLOOKUP(Table1[[#This Row],[Customer_ID]],Customers!$A$2:$A$30,Customers!$C$2:$C$30,"Not found")</f>
        <v>Carries forward</v>
      </c>
    </row>
    <row r="2416" spans="1:9">
      <c r="A2416" s="9">
        <v>44934</v>
      </c>
      <c r="B2416" t="s">
        <v>446</v>
      </c>
      <c r="C2416" t="s">
        <v>14</v>
      </c>
      <c r="D2416" s="4">
        <v>500</v>
      </c>
      <c r="E2416" s="4">
        <v>3150</v>
      </c>
      <c r="F2416">
        <v>221</v>
      </c>
      <c r="G2416" t="s">
        <v>475</v>
      </c>
      <c r="H2416" t="str">
        <f t="shared" si="37"/>
        <v>2023-01</v>
      </c>
      <c r="I2416" t="str">
        <f>_xlfn.XLOOKUP(Table1[[#This Row],[Customer_ID]],Customers!$A$2:$A$30,Customers!$C$2:$C$30,"Not found")</f>
        <v>Carries forward</v>
      </c>
    </row>
    <row r="2417" spans="1:9">
      <c r="A2417" s="9">
        <v>44936</v>
      </c>
      <c r="B2417" t="s">
        <v>446</v>
      </c>
      <c r="C2417" t="s">
        <v>14</v>
      </c>
      <c r="D2417" s="4">
        <v>500</v>
      </c>
      <c r="E2417" s="4">
        <v>2650</v>
      </c>
      <c r="F2417">
        <v>221</v>
      </c>
      <c r="G2417" t="s">
        <v>476</v>
      </c>
      <c r="H2417" t="str">
        <f t="shared" si="37"/>
        <v>2023-01</v>
      </c>
      <c r="I2417" t="str">
        <f>_xlfn.XLOOKUP(Table1[[#This Row],[Customer_ID]],Customers!$A$2:$A$30,Customers!$C$2:$C$30,"Not found")</f>
        <v>Carries forward</v>
      </c>
    </row>
    <row r="2418" spans="1:9">
      <c r="A2418" s="9">
        <v>44937</v>
      </c>
      <c r="B2418" t="s">
        <v>446</v>
      </c>
      <c r="C2418" t="s">
        <v>14</v>
      </c>
      <c r="D2418" s="4">
        <v>900</v>
      </c>
      <c r="E2418" s="4">
        <v>1750</v>
      </c>
      <c r="F2418">
        <v>221</v>
      </c>
      <c r="G2418" t="s">
        <v>477</v>
      </c>
      <c r="H2418" t="str">
        <f t="shared" si="37"/>
        <v>2023-01</v>
      </c>
      <c r="I2418" t="str">
        <f>_xlfn.XLOOKUP(Table1[[#This Row],[Customer_ID]],Customers!$A$2:$A$30,Customers!$C$2:$C$30,"Not found")</f>
        <v>Carries forward</v>
      </c>
    </row>
    <row r="2419" spans="1:9">
      <c r="A2419" s="9">
        <v>44937</v>
      </c>
      <c r="B2419" t="s">
        <v>446</v>
      </c>
      <c r="C2419" t="s">
        <v>14</v>
      </c>
      <c r="D2419" s="4">
        <v>500</v>
      </c>
      <c r="E2419" s="4">
        <v>1250</v>
      </c>
      <c r="F2419">
        <v>221</v>
      </c>
      <c r="G2419" t="s">
        <v>478</v>
      </c>
      <c r="H2419" t="str">
        <f t="shared" si="37"/>
        <v>2023-01</v>
      </c>
      <c r="I2419" t="str">
        <f>_xlfn.XLOOKUP(Table1[[#This Row],[Customer_ID]],Customers!$A$2:$A$30,Customers!$C$2:$C$30,"Not found")</f>
        <v>Carries forward</v>
      </c>
    </row>
    <row r="2420" spans="1:9">
      <c r="A2420" s="9"/>
      <c r="B2420" t="s">
        <v>446</v>
      </c>
      <c r="C2420" t="s">
        <v>14</v>
      </c>
      <c r="D2420" s="4">
        <v>500</v>
      </c>
      <c r="E2420" s="4">
        <v>750</v>
      </c>
      <c r="F2420">
        <v>221</v>
      </c>
      <c r="G2420" t="s">
        <v>479</v>
      </c>
      <c r="H2420" t="str">
        <f t="shared" si="37"/>
        <v/>
      </c>
      <c r="I2420" t="str">
        <f>_xlfn.XLOOKUP(Table1[[#This Row],[Customer_ID]],Customers!$A$2:$A$30,Customers!$C$2:$C$30,"Not found")</f>
        <v>Carries forward</v>
      </c>
    </row>
    <row r="2421" spans="1:9">
      <c r="A2421" s="9">
        <v>44937</v>
      </c>
      <c r="B2421" t="s">
        <v>446</v>
      </c>
      <c r="C2421" t="s">
        <v>8</v>
      </c>
      <c r="D2421" s="4">
        <v>1667</v>
      </c>
      <c r="E2421" s="4"/>
      <c r="F2421">
        <v>221</v>
      </c>
      <c r="G2421" t="s">
        <v>480</v>
      </c>
      <c r="H2421" t="str">
        <f t="shared" si="37"/>
        <v>2023-01</v>
      </c>
      <c r="I2421" t="str">
        <f>_xlfn.XLOOKUP(Table1[[#This Row],[Customer_ID]],Customers!$A$2:$A$30,Customers!$C$2:$C$30,"Not found")</f>
        <v>Carries forward</v>
      </c>
    </row>
    <row r="2422" spans="1:9">
      <c r="A2422" s="9">
        <v>44948</v>
      </c>
      <c r="B2422" t="s">
        <v>446</v>
      </c>
      <c r="C2422" t="s">
        <v>8</v>
      </c>
      <c r="D2422" s="4">
        <v>121</v>
      </c>
      <c r="E2422" s="4"/>
      <c r="F2422">
        <v>221</v>
      </c>
      <c r="H2422" t="str">
        <f t="shared" si="37"/>
        <v>2023-01</v>
      </c>
      <c r="I2422" t="str">
        <f>_xlfn.XLOOKUP(Table1[[#This Row],[Customer_ID]],Customers!$A$2:$A$30,Customers!$C$2:$C$30,"Not found")</f>
        <v>Carries forward</v>
      </c>
    </row>
    <row r="2423" spans="1:9">
      <c r="A2423" s="9">
        <v>44949</v>
      </c>
      <c r="B2423" t="s">
        <v>446</v>
      </c>
      <c r="C2423" t="s">
        <v>8</v>
      </c>
      <c r="D2423" s="4">
        <v>88</v>
      </c>
      <c r="E2423" s="4"/>
      <c r="F2423">
        <v>221</v>
      </c>
      <c r="H2423" t="str">
        <f t="shared" si="37"/>
        <v>2023-01</v>
      </c>
      <c r="I2423" t="str">
        <f>_xlfn.XLOOKUP(Table1[[#This Row],[Customer_ID]],Customers!$A$2:$A$30,Customers!$C$2:$C$30,"Not found")</f>
        <v>Carries forward</v>
      </c>
    </row>
    <row r="2424" spans="1:9">
      <c r="A2424" s="9">
        <v>44952</v>
      </c>
      <c r="B2424" t="s">
        <v>446</v>
      </c>
      <c r="C2424" t="s">
        <v>8</v>
      </c>
      <c r="D2424" s="4">
        <v>1150</v>
      </c>
      <c r="E2424" s="4"/>
      <c r="F2424">
        <v>221</v>
      </c>
      <c r="G2424" t="s">
        <v>37</v>
      </c>
      <c r="H2424" t="str">
        <f t="shared" si="37"/>
        <v>2023-01</v>
      </c>
      <c r="I2424" t="str">
        <f>_xlfn.XLOOKUP(Table1[[#This Row],[Customer_ID]],Customers!$A$2:$A$30,Customers!$C$2:$C$30,"Not found")</f>
        <v>Carries forward</v>
      </c>
    </row>
    <row r="2425" spans="1:9">
      <c r="A2425" s="9">
        <v>44954</v>
      </c>
      <c r="B2425" t="s">
        <v>446</v>
      </c>
      <c r="C2425" t="s">
        <v>8</v>
      </c>
      <c r="D2425" s="4">
        <v>56</v>
      </c>
      <c r="E2425" s="4"/>
      <c r="F2425">
        <v>221</v>
      </c>
      <c r="H2425" t="str">
        <f t="shared" si="37"/>
        <v>2023-01</v>
      </c>
      <c r="I2425" t="str">
        <f>_xlfn.XLOOKUP(Table1[[#This Row],[Customer_ID]],Customers!$A$2:$A$30,Customers!$C$2:$C$30,"Not found")</f>
        <v>Carries forward</v>
      </c>
    </row>
    <row r="2426" spans="1:9">
      <c r="A2426" s="9">
        <v>44957</v>
      </c>
      <c r="B2426" t="s">
        <v>446</v>
      </c>
      <c r="C2426" t="s">
        <v>8</v>
      </c>
      <c r="D2426" s="4">
        <v>205</v>
      </c>
      <c r="E2426" s="4">
        <v>4037</v>
      </c>
      <c r="F2426">
        <v>221</v>
      </c>
      <c r="G2426" t="s">
        <v>481</v>
      </c>
      <c r="H2426" t="str">
        <f t="shared" si="37"/>
        <v>2023-01</v>
      </c>
      <c r="I2426" t="str">
        <f>_xlfn.XLOOKUP(Table1[[#This Row],[Customer_ID]],Customers!$A$2:$A$30,Customers!$C$2:$C$30,"Not found")</f>
        <v>Carries forward</v>
      </c>
    </row>
    <row r="2427" spans="1:9">
      <c r="A2427" s="9">
        <v>44961</v>
      </c>
      <c r="B2427" t="s">
        <v>446</v>
      </c>
      <c r="C2427" t="s">
        <v>8</v>
      </c>
      <c r="D2427" s="4">
        <v>72</v>
      </c>
      <c r="E2427" s="4"/>
      <c r="F2427">
        <v>221</v>
      </c>
      <c r="H2427" t="str">
        <f t="shared" si="37"/>
        <v>2023-02</v>
      </c>
      <c r="I2427" t="str">
        <f>_xlfn.XLOOKUP(Table1[[#This Row],[Customer_ID]],Customers!$A$2:$A$30,Customers!$C$2:$C$30,"Not found")</f>
        <v>Carries forward</v>
      </c>
    </row>
    <row r="2428" spans="1:9">
      <c r="A2428" s="9">
        <v>44961</v>
      </c>
      <c r="B2428" t="s">
        <v>446</v>
      </c>
      <c r="C2428" t="s">
        <v>8</v>
      </c>
      <c r="D2428" s="4">
        <v>10</v>
      </c>
      <c r="E2428" s="4">
        <v>4119</v>
      </c>
      <c r="F2428">
        <v>221</v>
      </c>
      <c r="G2428" t="s">
        <v>482</v>
      </c>
      <c r="H2428" t="str">
        <f t="shared" si="37"/>
        <v>2023-02</v>
      </c>
      <c r="I2428" t="str">
        <f>_xlfn.XLOOKUP(Table1[[#This Row],[Customer_ID]],Customers!$A$2:$A$30,Customers!$C$2:$C$30,"Not found")</f>
        <v>Carries forward</v>
      </c>
    </row>
    <row r="2429" spans="1:9">
      <c r="A2429" s="9">
        <v>44959</v>
      </c>
      <c r="B2429" t="s">
        <v>446</v>
      </c>
      <c r="C2429" t="s">
        <v>14</v>
      </c>
      <c r="D2429" s="4">
        <v>1500</v>
      </c>
      <c r="E2429" s="4">
        <v>2619</v>
      </c>
      <c r="F2429">
        <v>221</v>
      </c>
      <c r="G2429" t="s">
        <v>483</v>
      </c>
      <c r="H2429" t="str">
        <f t="shared" si="37"/>
        <v>2023-02</v>
      </c>
      <c r="I2429" t="str">
        <f>_xlfn.XLOOKUP(Table1[[#This Row],[Customer_ID]],Customers!$A$2:$A$30,Customers!$C$2:$C$30,"Not found")</f>
        <v>Carries forward</v>
      </c>
    </row>
    <row r="2430" spans="1:9">
      <c r="A2430" s="9">
        <v>44965</v>
      </c>
      <c r="B2430" t="s">
        <v>446</v>
      </c>
      <c r="C2430" t="s">
        <v>8</v>
      </c>
      <c r="D2430" s="4">
        <v>20</v>
      </c>
      <c r="E2430" s="4">
        <v>2639</v>
      </c>
      <c r="F2430">
        <v>221</v>
      </c>
      <c r="G2430" t="s">
        <v>484</v>
      </c>
      <c r="H2430" t="str">
        <f t="shared" si="37"/>
        <v>2023-02</v>
      </c>
      <c r="I2430" t="str">
        <f>_xlfn.XLOOKUP(Table1[[#This Row],[Customer_ID]],Customers!$A$2:$A$30,Customers!$C$2:$C$30,"Not found")</f>
        <v>Carries forward</v>
      </c>
    </row>
    <row r="2431" spans="1:9">
      <c r="A2431" s="9">
        <v>44964</v>
      </c>
      <c r="B2431" t="s">
        <v>446</v>
      </c>
      <c r="C2431" t="s">
        <v>14</v>
      </c>
      <c r="D2431" s="4">
        <v>500</v>
      </c>
      <c r="E2431" s="4">
        <v>2139</v>
      </c>
      <c r="F2431">
        <v>221</v>
      </c>
      <c r="G2431" t="s">
        <v>485</v>
      </c>
      <c r="H2431" t="str">
        <f t="shared" ref="H2431:H2494" si="38">IF(A2431="","",TEXT(A2431,"yyyy-mm"))</f>
        <v>2023-02</v>
      </c>
      <c r="I2431" t="str">
        <f>_xlfn.XLOOKUP(Table1[[#This Row],[Customer_ID]],Customers!$A$2:$A$30,Customers!$C$2:$C$30,"Not found")</f>
        <v>Carries forward</v>
      </c>
    </row>
    <row r="2432" spans="1:9">
      <c r="A2432" s="9">
        <v>44968</v>
      </c>
      <c r="B2432" t="s">
        <v>446</v>
      </c>
      <c r="C2432" t="s">
        <v>14</v>
      </c>
      <c r="D2432" s="4">
        <v>600</v>
      </c>
      <c r="E2432" s="4">
        <v>1539</v>
      </c>
      <c r="F2432">
        <v>221</v>
      </c>
      <c r="G2432" t="s">
        <v>486</v>
      </c>
      <c r="H2432" t="str">
        <f t="shared" si="38"/>
        <v>2023-02</v>
      </c>
      <c r="I2432" t="str">
        <f>_xlfn.XLOOKUP(Table1[[#This Row],[Customer_ID]],Customers!$A$2:$A$30,Customers!$C$2:$C$30,"Not found")</f>
        <v>Carries forward</v>
      </c>
    </row>
    <row r="2433" spans="1:9">
      <c r="A2433" s="9">
        <v>44969</v>
      </c>
      <c r="B2433" t="s">
        <v>446</v>
      </c>
      <c r="C2433" t="s">
        <v>14</v>
      </c>
      <c r="D2433" s="4">
        <v>500</v>
      </c>
      <c r="E2433" s="4">
        <v>1039</v>
      </c>
      <c r="F2433">
        <v>221</v>
      </c>
      <c r="G2433" t="s">
        <v>487</v>
      </c>
      <c r="H2433" t="str">
        <f t="shared" si="38"/>
        <v>2023-02</v>
      </c>
      <c r="I2433" t="str">
        <f>_xlfn.XLOOKUP(Table1[[#This Row],[Customer_ID]],Customers!$A$2:$A$30,Customers!$C$2:$C$30,"Not found")</f>
        <v>Carries forward</v>
      </c>
    </row>
    <row r="2434" spans="1:9">
      <c r="A2434" s="9">
        <v>44987</v>
      </c>
      <c r="B2434" t="s">
        <v>446</v>
      </c>
      <c r="C2434" t="s">
        <v>14</v>
      </c>
      <c r="D2434" s="4">
        <v>1000</v>
      </c>
      <c r="E2434" s="4">
        <v>39</v>
      </c>
      <c r="F2434">
        <v>221</v>
      </c>
      <c r="G2434" t="s">
        <v>488</v>
      </c>
      <c r="H2434" t="str">
        <f t="shared" si="38"/>
        <v>2023-03</v>
      </c>
      <c r="I2434" t="str">
        <f>_xlfn.XLOOKUP(Table1[[#This Row],[Customer_ID]],Customers!$A$2:$A$30,Customers!$C$2:$C$30,"Not found")</f>
        <v>Carries forward</v>
      </c>
    </row>
    <row r="2435" spans="1:9">
      <c r="A2435" s="9">
        <v>44822</v>
      </c>
      <c r="B2435" t="s">
        <v>489</v>
      </c>
      <c r="C2435" t="s">
        <v>8</v>
      </c>
      <c r="D2435" s="4">
        <v>742</v>
      </c>
      <c r="E2435" s="4"/>
      <c r="F2435">
        <v>0</v>
      </c>
      <c r="G2435" t="s">
        <v>490</v>
      </c>
      <c r="H2435" t="str">
        <f t="shared" si="38"/>
        <v>2022-09</v>
      </c>
      <c r="I2435" t="str">
        <f>_xlfn.XLOOKUP(Table1[[#This Row],[Customer_ID]],Customers!$A$2:$A$30,Customers!$C$2:$C$30,"Not found")</f>
        <v>Carries forward</v>
      </c>
    </row>
    <row r="2436" spans="1:9">
      <c r="A2436" s="9">
        <v>44823</v>
      </c>
      <c r="B2436" t="s">
        <v>489</v>
      </c>
      <c r="C2436" t="s">
        <v>8</v>
      </c>
      <c r="D2436" s="4">
        <v>537</v>
      </c>
      <c r="E2436" s="4"/>
      <c r="F2436">
        <v>0</v>
      </c>
      <c r="H2436" t="str">
        <f t="shared" si="38"/>
        <v>2022-09</v>
      </c>
      <c r="I2436" t="str">
        <f>_xlfn.XLOOKUP(Table1[[#This Row],[Customer_ID]],Customers!$A$2:$A$30,Customers!$C$2:$C$30,"Not found")</f>
        <v>Carries forward</v>
      </c>
    </row>
    <row r="2437" spans="1:9">
      <c r="A2437" s="9">
        <v>44825</v>
      </c>
      <c r="B2437" t="s">
        <v>489</v>
      </c>
      <c r="C2437" t="s">
        <v>8</v>
      </c>
      <c r="D2437" s="4">
        <v>78</v>
      </c>
      <c r="E2437" s="4"/>
      <c r="F2437">
        <v>0</v>
      </c>
      <c r="H2437" t="str">
        <f t="shared" si="38"/>
        <v>2022-09</v>
      </c>
      <c r="I2437" t="str">
        <f>_xlfn.XLOOKUP(Table1[[#This Row],[Customer_ID]],Customers!$A$2:$A$30,Customers!$C$2:$C$30,"Not found")</f>
        <v>Carries forward</v>
      </c>
    </row>
    <row r="2438" spans="1:9">
      <c r="A2438" s="9">
        <v>44826</v>
      </c>
      <c r="B2438" t="s">
        <v>489</v>
      </c>
      <c r="C2438" t="s">
        <v>8</v>
      </c>
      <c r="D2438" s="4">
        <v>390</v>
      </c>
      <c r="E2438" s="4"/>
      <c r="F2438">
        <v>0</v>
      </c>
      <c r="H2438" t="str">
        <f t="shared" si="38"/>
        <v>2022-09</v>
      </c>
      <c r="I2438" t="str">
        <f>_xlfn.XLOOKUP(Table1[[#This Row],[Customer_ID]],Customers!$A$2:$A$30,Customers!$C$2:$C$30,"Not found")</f>
        <v>Carries forward</v>
      </c>
    </row>
    <row r="2439" spans="1:9">
      <c r="A2439" s="9">
        <v>44832</v>
      </c>
      <c r="B2439" t="s">
        <v>489</v>
      </c>
      <c r="C2439" t="s">
        <v>8</v>
      </c>
      <c r="D2439" s="4">
        <v>262</v>
      </c>
      <c r="E2439" s="4"/>
      <c r="F2439">
        <v>0</v>
      </c>
      <c r="H2439" t="str">
        <f t="shared" si="38"/>
        <v>2022-09</v>
      </c>
      <c r="I2439" t="str">
        <f>_xlfn.XLOOKUP(Table1[[#This Row],[Customer_ID]],Customers!$A$2:$A$30,Customers!$C$2:$C$30,"Not found")</f>
        <v>Carries forward</v>
      </c>
    </row>
    <row r="2440" spans="1:9">
      <c r="A2440" s="9">
        <v>44835</v>
      </c>
      <c r="B2440" t="s">
        <v>489</v>
      </c>
      <c r="C2440" t="s">
        <v>8</v>
      </c>
      <c r="D2440" s="4">
        <v>290</v>
      </c>
      <c r="E2440" s="4"/>
      <c r="F2440">
        <v>0</v>
      </c>
      <c r="H2440" t="str">
        <f t="shared" si="38"/>
        <v>2022-10</v>
      </c>
      <c r="I2440" t="str">
        <f>_xlfn.XLOOKUP(Table1[[#This Row],[Customer_ID]],Customers!$A$2:$A$30,Customers!$C$2:$C$30,"Not found")</f>
        <v>Carries forward</v>
      </c>
    </row>
    <row r="2441" spans="1:9">
      <c r="A2441" s="9">
        <v>44836</v>
      </c>
      <c r="B2441" t="s">
        <v>489</v>
      </c>
      <c r="C2441" t="s">
        <v>8</v>
      </c>
      <c r="D2441" s="4">
        <v>220</v>
      </c>
      <c r="E2441" s="4"/>
      <c r="F2441">
        <v>0</v>
      </c>
      <c r="H2441" t="str">
        <f t="shared" si="38"/>
        <v>2022-10</v>
      </c>
      <c r="I2441" t="str">
        <f>_xlfn.XLOOKUP(Table1[[#This Row],[Customer_ID]],Customers!$A$2:$A$30,Customers!$C$2:$C$30,"Not found")</f>
        <v>Carries forward</v>
      </c>
    </row>
    <row r="2442" spans="1:9">
      <c r="A2442" s="9">
        <v>44836</v>
      </c>
      <c r="B2442" t="s">
        <v>489</v>
      </c>
      <c r="C2442" t="s">
        <v>8</v>
      </c>
      <c r="D2442" s="4">
        <v>88</v>
      </c>
      <c r="E2442" s="4"/>
      <c r="F2442">
        <v>0</v>
      </c>
      <c r="H2442" t="str">
        <f t="shared" si="38"/>
        <v>2022-10</v>
      </c>
      <c r="I2442" t="str">
        <f>_xlfn.XLOOKUP(Table1[[#This Row],[Customer_ID]],Customers!$A$2:$A$30,Customers!$C$2:$C$30,"Not found")</f>
        <v>Carries forward</v>
      </c>
    </row>
    <row r="2443" spans="1:9">
      <c r="A2443" s="9">
        <v>44838</v>
      </c>
      <c r="B2443" t="s">
        <v>489</v>
      </c>
      <c r="C2443" t="s">
        <v>8</v>
      </c>
      <c r="D2443" s="4">
        <v>134</v>
      </c>
      <c r="E2443" s="4"/>
      <c r="F2443">
        <v>0</v>
      </c>
      <c r="H2443" t="str">
        <f t="shared" si="38"/>
        <v>2022-10</v>
      </c>
      <c r="I2443" t="str">
        <f>_xlfn.XLOOKUP(Table1[[#This Row],[Customer_ID]],Customers!$A$2:$A$30,Customers!$C$2:$C$30,"Not found")</f>
        <v>Carries forward</v>
      </c>
    </row>
    <row r="2444" spans="1:9">
      <c r="A2444" s="9">
        <v>44839</v>
      </c>
      <c r="B2444" t="s">
        <v>489</v>
      </c>
      <c r="C2444" t="s">
        <v>8</v>
      </c>
      <c r="D2444" s="4">
        <v>265</v>
      </c>
      <c r="E2444" s="4">
        <v>3006</v>
      </c>
      <c r="F2444">
        <v>0</v>
      </c>
      <c r="G2444" t="s">
        <v>491</v>
      </c>
      <c r="H2444" t="str">
        <f t="shared" si="38"/>
        <v>2022-10</v>
      </c>
      <c r="I2444" t="str">
        <f>_xlfn.XLOOKUP(Table1[[#This Row],[Customer_ID]],Customers!$A$2:$A$30,Customers!$C$2:$C$30,"Not found")</f>
        <v>Carries forward</v>
      </c>
    </row>
    <row r="2445" spans="1:9">
      <c r="A2445" s="9">
        <v>44841</v>
      </c>
      <c r="B2445" t="s">
        <v>489</v>
      </c>
      <c r="C2445" t="s">
        <v>8</v>
      </c>
      <c r="D2445" s="4">
        <v>478</v>
      </c>
      <c r="E2445" s="4">
        <v>3484</v>
      </c>
      <c r="F2445">
        <v>0</v>
      </c>
      <c r="G2445" t="s">
        <v>492</v>
      </c>
      <c r="H2445" t="str">
        <f t="shared" si="38"/>
        <v>2022-10</v>
      </c>
      <c r="I2445" t="str">
        <f>_xlfn.XLOOKUP(Table1[[#This Row],[Customer_ID]],Customers!$A$2:$A$30,Customers!$C$2:$C$30,"Not found")</f>
        <v>Carries forward</v>
      </c>
    </row>
    <row r="2446" spans="1:9">
      <c r="A2446" s="9">
        <v>44843</v>
      </c>
      <c r="B2446" t="s">
        <v>489</v>
      </c>
      <c r="C2446" t="s">
        <v>14</v>
      </c>
      <c r="D2446" s="4">
        <v>2000</v>
      </c>
      <c r="E2446" s="4">
        <v>1484</v>
      </c>
      <c r="F2446">
        <v>0</v>
      </c>
      <c r="G2446" t="s">
        <v>493</v>
      </c>
      <c r="H2446" t="str">
        <f t="shared" si="38"/>
        <v>2022-10</v>
      </c>
      <c r="I2446" t="str">
        <f>_xlfn.XLOOKUP(Table1[[#This Row],[Customer_ID]],Customers!$A$2:$A$30,Customers!$C$2:$C$30,"Not found")</f>
        <v>Carries forward</v>
      </c>
    </row>
    <row r="2447" spans="1:9">
      <c r="A2447" s="9">
        <v>44845</v>
      </c>
      <c r="B2447" t="s">
        <v>489</v>
      </c>
      <c r="C2447" t="s">
        <v>8</v>
      </c>
      <c r="D2447" s="4">
        <v>409</v>
      </c>
      <c r="E2447" s="4"/>
      <c r="F2447">
        <v>0</v>
      </c>
      <c r="H2447" t="str">
        <f t="shared" si="38"/>
        <v>2022-10</v>
      </c>
      <c r="I2447" t="str">
        <f>_xlfn.XLOOKUP(Table1[[#This Row],[Customer_ID]],Customers!$A$2:$A$30,Customers!$C$2:$C$30,"Not found")</f>
        <v>Carries forward</v>
      </c>
    </row>
    <row r="2448" spans="1:9">
      <c r="A2448" s="9">
        <v>44847</v>
      </c>
      <c r="B2448" t="s">
        <v>489</v>
      </c>
      <c r="C2448" t="s">
        <v>8</v>
      </c>
      <c r="D2448" s="4">
        <v>367</v>
      </c>
      <c r="E2448" s="4"/>
      <c r="F2448">
        <v>0</v>
      </c>
      <c r="H2448" t="str">
        <f t="shared" si="38"/>
        <v>2022-10</v>
      </c>
      <c r="I2448" t="str">
        <f>_xlfn.XLOOKUP(Table1[[#This Row],[Customer_ID]],Customers!$A$2:$A$30,Customers!$C$2:$C$30,"Not found")</f>
        <v>Carries forward</v>
      </c>
    </row>
    <row r="2449" spans="1:9">
      <c r="A2449" s="9">
        <v>44850</v>
      </c>
      <c r="B2449" t="s">
        <v>489</v>
      </c>
      <c r="C2449" t="s">
        <v>8</v>
      </c>
      <c r="D2449" s="4">
        <v>598</v>
      </c>
      <c r="E2449" s="4"/>
      <c r="F2449">
        <v>0</v>
      </c>
      <c r="H2449" t="str">
        <f t="shared" si="38"/>
        <v>2022-10</v>
      </c>
      <c r="I2449" t="str">
        <f>_xlfn.XLOOKUP(Table1[[#This Row],[Customer_ID]],Customers!$A$2:$A$30,Customers!$C$2:$C$30,"Not found")</f>
        <v>Carries forward</v>
      </c>
    </row>
    <row r="2450" spans="1:9">
      <c r="A2450" s="9">
        <v>44853</v>
      </c>
      <c r="B2450" t="s">
        <v>489</v>
      </c>
      <c r="C2450" t="s">
        <v>8</v>
      </c>
      <c r="D2450" s="4">
        <v>307</v>
      </c>
      <c r="E2450" s="4"/>
      <c r="F2450">
        <v>0</v>
      </c>
      <c r="H2450" t="str">
        <f t="shared" si="38"/>
        <v>2022-10</v>
      </c>
      <c r="I2450" t="str">
        <f>_xlfn.XLOOKUP(Table1[[#This Row],[Customer_ID]],Customers!$A$2:$A$30,Customers!$C$2:$C$30,"Not found")</f>
        <v>Carries forward</v>
      </c>
    </row>
    <row r="2451" spans="1:9">
      <c r="A2451" s="9">
        <v>44857</v>
      </c>
      <c r="B2451" t="s">
        <v>489</v>
      </c>
      <c r="C2451" t="s">
        <v>8</v>
      </c>
      <c r="D2451" s="4">
        <v>413</v>
      </c>
      <c r="E2451" s="4"/>
      <c r="F2451">
        <v>0</v>
      </c>
      <c r="H2451" t="str">
        <f t="shared" si="38"/>
        <v>2022-10</v>
      </c>
      <c r="I2451" t="str">
        <f>_xlfn.XLOOKUP(Table1[[#This Row],[Customer_ID]],Customers!$A$2:$A$30,Customers!$C$2:$C$30,"Not found")</f>
        <v>Carries forward</v>
      </c>
    </row>
    <row r="2452" spans="1:9">
      <c r="A2452" s="9">
        <v>44860</v>
      </c>
      <c r="B2452" t="s">
        <v>489</v>
      </c>
      <c r="C2452" t="s">
        <v>8</v>
      </c>
      <c r="D2452" s="4">
        <v>988</v>
      </c>
      <c r="E2452" s="4"/>
      <c r="F2452">
        <v>0</v>
      </c>
      <c r="H2452" t="str">
        <f t="shared" si="38"/>
        <v>2022-10</v>
      </c>
      <c r="I2452" t="str">
        <f>_xlfn.XLOOKUP(Table1[[#This Row],[Customer_ID]],Customers!$A$2:$A$30,Customers!$C$2:$C$30,"Not found")</f>
        <v>Carries forward</v>
      </c>
    </row>
    <row r="2453" spans="1:9">
      <c r="A2453" s="9">
        <v>44862</v>
      </c>
      <c r="B2453" t="s">
        <v>489</v>
      </c>
      <c r="C2453" t="s">
        <v>8</v>
      </c>
      <c r="D2453" s="4">
        <v>90</v>
      </c>
      <c r="E2453" s="4"/>
      <c r="F2453">
        <v>0</v>
      </c>
      <c r="H2453" t="str">
        <f t="shared" si="38"/>
        <v>2022-10</v>
      </c>
      <c r="I2453" t="str">
        <f>_xlfn.XLOOKUP(Table1[[#This Row],[Customer_ID]],Customers!$A$2:$A$30,Customers!$C$2:$C$30,"Not found")</f>
        <v>Carries forward</v>
      </c>
    </row>
    <row r="2454" spans="1:9">
      <c r="A2454" s="9">
        <v>44863</v>
      </c>
      <c r="B2454" t="s">
        <v>489</v>
      </c>
      <c r="C2454" t="s">
        <v>8</v>
      </c>
      <c r="D2454" s="4">
        <v>221</v>
      </c>
      <c r="E2454" s="4"/>
      <c r="F2454">
        <v>0</v>
      </c>
      <c r="H2454" t="str">
        <f t="shared" si="38"/>
        <v>2022-10</v>
      </c>
      <c r="I2454" t="str">
        <f>_xlfn.XLOOKUP(Table1[[#This Row],[Customer_ID]],Customers!$A$2:$A$30,Customers!$C$2:$C$30,"Not found")</f>
        <v>Carries forward</v>
      </c>
    </row>
    <row r="2455" spans="1:9">
      <c r="A2455" s="9">
        <v>44867</v>
      </c>
      <c r="B2455" t="s">
        <v>489</v>
      </c>
      <c r="C2455" t="s">
        <v>8</v>
      </c>
      <c r="D2455" s="4">
        <v>562</v>
      </c>
      <c r="E2455" s="4"/>
      <c r="F2455">
        <v>0</v>
      </c>
      <c r="H2455" t="str">
        <f t="shared" si="38"/>
        <v>2022-11</v>
      </c>
      <c r="I2455" t="str">
        <f>_xlfn.XLOOKUP(Table1[[#This Row],[Customer_ID]],Customers!$A$2:$A$30,Customers!$C$2:$C$30,"Not found")</f>
        <v>Carries forward</v>
      </c>
    </row>
    <row r="2456" spans="1:9">
      <c r="A2456" s="9">
        <v>44867</v>
      </c>
      <c r="B2456" t="s">
        <v>489</v>
      </c>
      <c r="C2456" t="s">
        <v>22</v>
      </c>
      <c r="D2456" s="4">
        <v>-60</v>
      </c>
      <c r="E2456" s="4">
        <v>5379</v>
      </c>
      <c r="F2456">
        <v>0</v>
      </c>
      <c r="G2456" t="s">
        <v>494</v>
      </c>
      <c r="H2456" t="str">
        <f t="shared" si="38"/>
        <v>2022-11</v>
      </c>
      <c r="I2456" t="str">
        <f>_xlfn.XLOOKUP(Table1[[#This Row],[Customer_ID]],Customers!$A$2:$A$30,Customers!$C$2:$C$30,"Not found")</f>
        <v>Carries forward</v>
      </c>
    </row>
    <row r="2457" spans="1:9">
      <c r="A2457" s="9">
        <v>44884</v>
      </c>
      <c r="B2457" t="s">
        <v>489</v>
      </c>
      <c r="C2457" t="s">
        <v>8</v>
      </c>
      <c r="D2457" s="4">
        <v>689</v>
      </c>
      <c r="E2457" s="4"/>
      <c r="F2457">
        <v>0</v>
      </c>
      <c r="H2457" t="str">
        <f t="shared" si="38"/>
        <v>2022-11</v>
      </c>
      <c r="I2457" t="str">
        <f>_xlfn.XLOOKUP(Table1[[#This Row],[Customer_ID]],Customers!$A$2:$A$30,Customers!$C$2:$C$30,"Not found")</f>
        <v>Carries forward</v>
      </c>
    </row>
    <row r="2458" spans="1:9">
      <c r="A2458" s="9">
        <v>44886</v>
      </c>
      <c r="B2458" t="s">
        <v>489</v>
      </c>
      <c r="C2458" t="s">
        <v>8</v>
      </c>
      <c r="D2458" s="4">
        <v>20</v>
      </c>
      <c r="E2458" s="4"/>
      <c r="F2458">
        <v>0</v>
      </c>
      <c r="H2458" t="str">
        <f t="shared" si="38"/>
        <v>2022-11</v>
      </c>
      <c r="I2458" t="str">
        <f>_xlfn.XLOOKUP(Table1[[#This Row],[Customer_ID]],Customers!$A$2:$A$30,Customers!$C$2:$C$30,"Not found")</f>
        <v>Carries forward</v>
      </c>
    </row>
    <row r="2459" spans="1:9">
      <c r="A2459" s="9">
        <v>44887</v>
      </c>
      <c r="B2459" t="s">
        <v>489</v>
      </c>
      <c r="C2459" t="s">
        <v>8</v>
      </c>
      <c r="D2459" s="4">
        <v>215</v>
      </c>
      <c r="E2459" s="4"/>
      <c r="F2459">
        <v>0</v>
      </c>
      <c r="H2459" t="str">
        <f t="shared" si="38"/>
        <v>2022-11</v>
      </c>
      <c r="I2459" t="str">
        <f>_xlfn.XLOOKUP(Table1[[#This Row],[Customer_ID]],Customers!$A$2:$A$30,Customers!$C$2:$C$30,"Not found")</f>
        <v>Carries forward</v>
      </c>
    </row>
    <row r="2460" spans="1:9">
      <c r="A2460" s="9">
        <v>44889</v>
      </c>
      <c r="B2460" t="s">
        <v>489</v>
      </c>
      <c r="C2460" t="s">
        <v>8</v>
      </c>
      <c r="D2460" s="4">
        <v>324</v>
      </c>
      <c r="E2460" s="4"/>
      <c r="F2460">
        <v>0</v>
      </c>
      <c r="H2460" t="str">
        <f t="shared" si="38"/>
        <v>2022-11</v>
      </c>
      <c r="I2460" t="str">
        <f>_xlfn.XLOOKUP(Table1[[#This Row],[Customer_ID]],Customers!$A$2:$A$30,Customers!$C$2:$C$30,"Not found")</f>
        <v>Carries forward</v>
      </c>
    </row>
    <row r="2461" spans="1:9">
      <c r="A2461" s="9">
        <v>44891</v>
      </c>
      <c r="B2461" t="s">
        <v>489</v>
      </c>
      <c r="C2461" t="s">
        <v>8</v>
      </c>
      <c r="D2461" s="4">
        <v>206</v>
      </c>
      <c r="E2461" s="4"/>
      <c r="F2461">
        <v>0</v>
      </c>
      <c r="H2461" t="str">
        <f t="shared" si="38"/>
        <v>2022-11</v>
      </c>
      <c r="I2461" t="str">
        <f>_xlfn.XLOOKUP(Table1[[#This Row],[Customer_ID]],Customers!$A$2:$A$30,Customers!$C$2:$C$30,"Not found")</f>
        <v>Carries forward</v>
      </c>
    </row>
    <row r="2462" spans="1:9">
      <c r="A2462" s="9">
        <v>44891</v>
      </c>
      <c r="B2462" t="s">
        <v>489</v>
      </c>
      <c r="C2462" t="s">
        <v>8</v>
      </c>
      <c r="D2462" s="4">
        <v>24</v>
      </c>
      <c r="E2462" s="4"/>
      <c r="F2462">
        <v>0</v>
      </c>
      <c r="H2462" t="str">
        <f t="shared" si="38"/>
        <v>2022-11</v>
      </c>
      <c r="I2462" t="str">
        <f>_xlfn.XLOOKUP(Table1[[#This Row],[Customer_ID]],Customers!$A$2:$A$30,Customers!$C$2:$C$30,"Not found")</f>
        <v>Carries forward</v>
      </c>
    </row>
    <row r="2463" spans="1:9">
      <c r="A2463" s="9">
        <v>44894</v>
      </c>
      <c r="B2463" t="s">
        <v>489</v>
      </c>
      <c r="C2463" t="s">
        <v>8</v>
      </c>
      <c r="D2463" s="4">
        <v>418</v>
      </c>
      <c r="E2463" s="4"/>
      <c r="F2463">
        <v>0</v>
      </c>
      <c r="H2463" t="str">
        <f t="shared" si="38"/>
        <v>2022-11</v>
      </c>
      <c r="I2463" t="str">
        <f>_xlfn.XLOOKUP(Table1[[#This Row],[Customer_ID]],Customers!$A$2:$A$30,Customers!$C$2:$C$30,"Not found")</f>
        <v>Carries forward</v>
      </c>
    </row>
    <row r="2464" spans="1:9">
      <c r="A2464" s="9">
        <v>44897</v>
      </c>
      <c r="B2464" t="s">
        <v>489</v>
      </c>
      <c r="C2464" t="s">
        <v>8</v>
      </c>
      <c r="D2464" s="4">
        <v>604</v>
      </c>
      <c r="E2464" s="4"/>
      <c r="F2464">
        <v>0</v>
      </c>
      <c r="H2464" t="str">
        <f t="shared" si="38"/>
        <v>2022-12</v>
      </c>
      <c r="I2464" t="str">
        <f>_xlfn.XLOOKUP(Table1[[#This Row],[Customer_ID]],Customers!$A$2:$A$30,Customers!$C$2:$C$30,"Not found")</f>
        <v>Carries forward</v>
      </c>
    </row>
    <row r="2465" spans="1:9">
      <c r="A2465" s="9">
        <v>44897</v>
      </c>
      <c r="B2465" t="s">
        <v>489</v>
      </c>
      <c r="C2465" t="s">
        <v>22</v>
      </c>
      <c r="D2465" s="4">
        <v>-3</v>
      </c>
      <c r="E2465" s="4">
        <v>7876</v>
      </c>
      <c r="F2465">
        <v>0</v>
      </c>
      <c r="G2465" t="s">
        <v>495</v>
      </c>
      <c r="H2465" t="str">
        <f t="shared" si="38"/>
        <v>2022-12</v>
      </c>
      <c r="I2465" t="str">
        <f>_xlfn.XLOOKUP(Table1[[#This Row],[Customer_ID]],Customers!$A$2:$A$30,Customers!$C$2:$C$30,"Not found")</f>
        <v>Carries forward</v>
      </c>
    </row>
    <row r="2466" spans="1:9">
      <c r="A2466" s="9">
        <v>44902</v>
      </c>
      <c r="B2466" t="s">
        <v>489</v>
      </c>
      <c r="C2466" t="s">
        <v>8</v>
      </c>
      <c r="D2466" s="4">
        <v>703</v>
      </c>
      <c r="E2466" s="4">
        <v>8579</v>
      </c>
      <c r="F2466">
        <v>0</v>
      </c>
      <c r="G2466" t="s">
        <v>496</v>
      </c>
      <c r="H2466" t="str">
        <f t="shared" si="38"/>
        <v>2022-12</v>
      </c>
      <c r="I2466" t="str">
        <f>_xlfn.XLOOKUP(Table1[[#This Row],[Customer_ID]],Customers!$A$2:$A$30,Customers!$C$2:$C$30,"Not found")</f>
        <v>Carries forward</v>
      </c>
    </row>
    <row r="2467" spans="1:9">
      <c r="A2467" s="9"/>
      <c r="B2467" t="s">
        <v>489</v>
      </c>
      <c r="C2467" t="s">
        <v>14</v>
      </c>
      <c r="D2467" s="4">
        <v>2000</v>
      </c>
      <c r="E2467" s="4">
        <v>6579</v>
      </c>
      <c r="F2467">
        <v>0</v>
      </c>
      <c r="G2467" t="s">
        <v>497</v>
      </c>
      <c r="H2467" t="str">
        <f t="shared" si="38"/>
        <v/>
      </c>
      <c r="I2467" t="str">
        <f>_xlfn.XLOOKUP(Table1[[#This Row],[Customer_ID]],Customers!$A$2:$A$30,Customers!$C$2:$C$30,"Not found")</f>
        <v>Carries forward</v>
      </c>
    </row>
    <row r="2468" spans="1:9">
      <c r="A2468" s="9">
        <v>44912</v>
      </c>
      <c r="B2468" t="s">
        <v>489</v>
      </c>
      <c r="C2468" t="s">
        <v>8</v>
      </c>
      <c r="D2468" s="4">
        <v>591</v>
      </c>
      <c r="E2468" s="4"/>
      <c r="F2468">
        <v>0</v>
      </c>
      <c r="H2468" t="str">
        <f t="shared" si="38"/>
        <v>2022-12</v>
      </c>
      <c r="I2468" t="str">
        <f>_xlfn.XLOOKUP(Table1[[#This Row],[Customer_ID]],Customers!$A$2:$A$30,Customers!$C$2:$C$30,"Not found")</f>
        <v>Carries forward</v>
      </c>
    </row>
    <row r="2469" spans="1:9">
      <c r="A2469" s="9">
        <v>44913</v>
      </c>
      <c r="B2469" t="s">
        <v>489</v>
      </c>
      <c r="C2469" t="s">
        <v>8</v>
      </c>
      <c r="D2469" s="4">
        <v>213</v>
      </c>
      <c r="E2469" s="4"/>
      <c r="F2469">
        <v>0</v>
      </c>
      <c r="H2469" t="str">
        <f t="shared" si="38"/>
        <v>2022-12</v>
      </c>
      <c r="I2469" t="str">
        <f>_xlfn.XLOOKUP(Table1[[#This Row],[Customer_ID]],Customers!$A$2:$A$30,Customers!$C$2:$C$30,"Not found")</f>
        <v>Carries forward</v>
      </c>
    </row>
    <row r="2470" spans="1:9">
      <c r="A2470" s="9">
        <v>44917</v>
      </c>
      <c r="B2470" t="s">
        <v>489</v>
      </c>
      <c r="C2470" t="s">
        <v>8</v>
      </c>
      <c r="D2470" s="4">
        <v>669</v>
      </c>
      <c r="E2470" s="4"/>
      <c r="F2470">
        <v>0</v>
      </c>
      <c r="H2470" t="str">
        <f t="shared" si="38"/>
        <v>2022-12</v>
      </c>
      <c r="I2470" t="str">
        <f>_xlfn.XLOOKUP(Table1[[#This Row],[Customer_ID]],Customers!$A$2:$A$30,Customers!$C$2:$C$30,"Not found")</f>
        <v>Carries forward</v>
      </c>
    </row>
    <row r="2471" spans="1:9">
      <c r="A2471" s="9">
        <v>44917</v>
      </c>
      <c r="B2471" t="s">
        <v>489</v>
      </c>
      <c r="C2471" t="s">
        <v>8</v>
      </c>
      <c r="D2471" s="4">
        <v>270</v>
      </c>
      <c r="E2471" s="4"/>
      <c r="F2471">
        <v>0</v>
      </c>
      <c r="H2471" t="str">
        <f t="shared" si="38"/>
        <v>2022-12</v>
      </c>
      <c r="I2471" t="str">
        <f>_xlfn.XLOOKUP(Table1[[#This Row],[Customer_ID]],Customers!$A$2:$A$30,Customers!$C$2:$C$30,"Not found")</f>
        <v>Carries forward</v>
      </c>
    </row>
    <row r="2472" spans="1:9">
      <c r="A2472" s="9">
        <v>44922</v>
      </c>
      <c r="B2472" t="s">
        <v>489</v>
      </c>
      <c r="C2472" t="s">
        <v>8</v>
      </c>
      <c r="D2472" s="4">
        <v>534</v>
      </c>
      <c r="E2472" s="4"/>
      <c r="F2472">
        <v>0</v>
      </c>
      <c r="H2472" t="str">
        <f t="shared" si="38"/>
        <v>2022-12</v>
      </c>
      <c r="I2472" t="str">
        <f>_xlfn.XLOOKUP(Table1[[#This Row],[Customer_ID]],Customers!$A$2:$A$30,Customers!$C$2:$C$30,"Not found")</f>
        <v>Carries forward</v>
      </c>
    </row>
    <row r="2473" spans="1:9">
      <c r="A2473" s="9">
        <v>44928</v>
      </c>
      <c r="B2473" t="s">
        <v>489</v>
      </c>
      <c r="C2473" t="s">
        <v>8</v>
      </c>
      <c r="D2473" s="4">
        <v>425</v>
      </c>
      <c r="E2473" s="4"/>
      <c r="F2473">
        <v>0</v>
      </c>
      <c r="H2473" t="str">
        <f t="shared" si="38"/>
        <v>2023-01</v>
      </c>
      <c r="I2473" t="str">
        <f>_xlfn.XLOOKUP(Table1[[#This Row],[Customer_ID]],Customers!$A$2:$A$30,Customers!$C$2:$C$30,"Not found")</f>
        <v>Carries forward</v>
      </c>
    </row>
    <row r="2474" spans="1:9">
      <c r="A2474" s="9">
        <v>44930</v>
      </c>
      <c r="B2474" t="s">
        <v>489</v>
      </c>
      <c r="C2474" t="s">
        <v>8</v>
      </c>
      <c r="D2474" s="4">
        <v>789</v>
      </c>
      <c r="E2474" s="4"/>
      <c r="F2474">
        <v>0</v>
      </c>
      <c r="H2474" t="str">
        <f t="shared" si="38"/>
        <v>2023-01</v>
      </c>
      <c r="I2474" t="str">
        <f>_xlfn.XLOOKUP(Table1[[#This Row],[Customer_ID]],Customers!$A$2:$A$30,Customers!$C$2:$C$30,"Not found")</f>
        <v>Carries forward</v>
      </c>
    </row>
    <row r="2475" spans="1:9">
      <c r="A2475" s="9">
        <v>44933</v>
      </c>
      <c r="B2475" t="s">
        <v>489</v>
      </c>
      <c r="C2475" t="s">
        <v>8</v>
      </c>
      <c r="D2475" s="4">
        <v>491</v>
      </c>
      <c r="E2475" s="4"/>
      <c r="F2475">
        <v>0</v>
      </c>
      <c r="H2475" t="str">
        <f t="shared" si="38"/>
        <v>2023-01</v>
      </c>
      <c r="I2475" t="str">
        <f>_xlfn.XLOOKUP(Table1[[#This Row],[Customer_ID]],Customers!$A$2:$A$30,Customers!$C$2:$C$30,"Not found")</f>
        <v>Carries forward</v>
      </c>
    </row>
    <row r="2476" spans="1:9">
      <c r="A2476" s="9">
        <v>44933</v>
      </c>
      <c r="B2476" t="s">
        <v>489</v>
      </c>
      <c r="C2476" t="s">
        <v>8</v>
      </c>
      <c r="D2476" s="4">
        <v>22</v>
      </c>
      <c r="E2476" s="4"/>
      <c r="F2476">
        <v>0</v>
      </c>
      <c r="H2476" t="str">
        <f t="shared" si="38"/>
        <v>2023-01</v>
      </c>
      <c r="I2476" t="str">
        <f>_xlfn.XLOOKUP(Table1[[#This Row],[Customer_ID]],Customers!$A$2:$A$30,Customers!$C$2:$C$30,"Not found")</f>
        <v>Carries forward</v>
      </c>
    </row>
    <row r="2477" spans="1:9">
      <c r="A2477" s="10">
        <v>44933</v>
      </c>
      <c r="B2477" s="7" t="s">
        <v>489</v>
      </c>
      <c r="C2477" s="7" t="s">
        <v>22</v>
      </c>
      <c r="D2477" s="8">
        <v>-611</v>
      </c>
      <c r="E2477" s="8">
        <v>9972</v>
      </c>
      <c r="F2477" s="7">
        <v>0</v>
      </c>
      <c r="G2477" s="7" t="s">
        <v>498</v>
      </c>
      <c r="H2477" t="str">
        <f t="shared" si="38"/>
        <v>2023-01</v>
      </c>
      <c r="I2477" t="str">
        <f>_xlfn.XLOOKUP(Table1[[#This Row],[Customer_ID]],Customers!$A$2:$A$30,Customers!$C$2:$C$30,"Not found")</f>
        <v>Carries forward</v>
      </c>
    </row>
    <row r="2478" spans="1:9">
      <c r="A2478" s="9">
        <v>44933</v>
      </c>
      <c r="B2478" t="s">
        <v>489</v>
      </c>
      <c r="C2478" t="s">
        <v>22</v>
      </c>
      <c r="D2478" s="4">
        <v>500</v>
      </c>
      <c r="E2478" s="4">
        <v>10472</v>
      </c>
      <c r="F2478">
        <v>0</v>
      </c>
      <c r="G2478" t="s">
        <v>499</v>
      </c>
      <c r="H2478" t="str">
        <f t="shared" si="38"/>
        <v>2023-01</v>
      </c>
      <c r="I2478" t="str">
        <f>_xlfn.XLOOKUP(Table1[[#This Row],[Customer_ID]],Customers!$A$2:$A$30,Customers!$C$2:$C$30,"Not found")</f>
        <v>Carries forward</v>
      </c>
    </row>
    <row r="2479" spans="1:9">
      <c r="A2479" s="9"/>
      <c r="B2479" t="s">
        <v>489</v>
      </c>
      <c r="C2479" t="s">
        <v>14</v>
      </c>
      <c r="D2479" s="4">
        <v>4000</v>
      </c>
      <c r="E2479" s="4">
        <v>6472</v>
      </c>
      <c r="F2479">
        <v>0</v>
      </c>
      <c r="G2479" t="s">
        <v>500</v>
      </c>
      <c r="H2479" t="str">
        <f t="shared" si="38"/>
        <v/>
      </c>
      <c r="I2479" t="str">
        <f>_xlfn.XLOOKUP(Table1[[#This Row],[Customer_ID]],Customers!$A$2:$A$30,Customers!$C$2:$C$30,"Not found")</f>
        <v>Carries forward</v>
      </c>
    </row>
    <row r="2480" spans="1:9">
      <c r="A2480" s="9"/>
      <c r="B2480" t="s">
        <v>489</v>
      </c>
      <c r="C2480" t="s">
        <v>22</v>
      </c>
      <c r="D2480" s="4">
        <v>200</v>
      </c>
      <c r="E2480" s="4">
        <v>6672</v>
      </c>
      <c r="F2480">
        <v>0</v>
      </c>
      <c r="G2480" t="s">
        <v>501</v>
      </c>
      <c r="H2480" t="str">
        <f t="shared" si="38"/>
        <v/>
      </c>
      <c r="I2480" t="str">
        <f>_xlfn.XLOOKUP(Table1[[#This Row],[Customer_ID]],Customers!$A$2:$A$30,Customers!$C$2:$C$30,"Not found")</f>
        <v>Carries forward</v>
      </c>
    </row>
    <row r="2481" spans="1:9">
      <c r="A2481" s="9">
        <v>44813</v>
      </c>
      <c r="B2481" t="s">
        <v>502</v>
      </c>
      <c r="C2481" t="s">
        <v>8</v>
      </c>
      <c r="D2481" s="4">
        <v>2000</v>
      </c>
      <c r="E2481" s="4"/>
      <c r="F2481">
        <v>150</v>
      </c>
      <c r="G2481" t="s">
        <v>503</v>
      </c>
      <c r="H2481" t="str">
        <f t="shared" si="38"/>
        <v>2022-09</v>
      </c>
      <c r="I2481" t="str">
        <f>_xlfn.XLOOKUP(Table1[[#This Row],[Customer_ID]],Customers!$A$2:$A$30,Customers!$C$2:$C$30,"Not found")</f>
        <v>Mixed</v>
      </c>
    </row>
    <row r="2482" spans="1:9">
      <c r="A2482" s="9">
        <v>44822</v>
      </c>
      <c r="B2482" t="s">
        <v>502</v>
      </c>
      <c r="C2482" t="s">
        <v>8</v>
      </c>
      <c r="D2482" s="4">
        <v>470</v>
      </c>
      <c r="E2482" s="4">
        <v>2470</v>
      </c>
      <c r="F2482">
        <v>150</v>
      </c>
      <c r="G2482" t="s">
        <v>504</v>
      </c>
      <c r="H2482" t="str">
        <f t="shared" si="38"/>
        <v>2022-09</v>
      </c>
      <c r="I2482" t="str">
        <f>_xlfn.XLOOKUP(Table1[[#This Row],[Customer_ID]],Customers!$A$2:$A$30,Customers!$C$2:$C$30,"Not found")</f>
        <v>Mixed</v>
      </c>
    </row>
    <row r="2483" spans="1:9">
      <c r="A2483" s="9"/>
      <c r="B2483" t="s">
        <v>502</v>
      </c>
      <c r="C2483" t="s">
        <v>14</v>
      </c>
      <c r="D2483" s="4">
        <v>2470</v>
      </c>
      <c r="E2483" s="4">
        <v>0</v>
      </c>
      <c r="F2483">
        <v>150</v>
      </c>
      <c r="G2483" t="s">
        <v>505</v>
      </c>
      <c r="H2483" t="str">
        <f t="shared" si="38"/>
        <v/>
      </c>
      <c r="I2483" t="str">
        <f>_xlfn.XLOOKUP(Table1[[#This Row],[Customer_ID]],Customers!$A$2:$A$30,Customers!$C$2:$C$30,"Not found")</f>
        <v>Mixed</v>
      </c>
    </row>
    <row r="2484" spans="1:9">
      <c r="A2484" s="9">
        <v>44853</v>
      </c>
      <c r="B2484" t="s">
        <v>502</v>
      </c>
      <c r="C2484" t="s">
        <v>8</v>
      </c>
      <c r="D2484" s="4">
        <v>1227</v>
      </c>
      <c r="E2484" s="4"/>
      <c r="F2484">
        <v>150</v>
      </c>
      <c r="H2484" t="str">
        <f t="shared" si="38"/>
        <v>2022-10</v>
      </c>
      <c r="I2484" t="str">
        <f>_xlfn.XLOOKUP(Table1[[#This Row],[Customer_ID]],Customers!$A$2:$A$30,Customers!$C$2:$C$30,"Not found")</f>
        <v>Mixed</v>
      </c>
    </row>
    <row r="2485" spans="1:9">
      <c r="A2485" s="9">
        <v>44857</v>
      </c>
      <c r="B2485" t="s">
        <v>502</v>
      </c>
      <c r="C2485" t="s">
        <v>8</v>
      </c>
      <c r="D2485" s="4">
        <v>685</v>
      </c>
      <c r="E2485" s="4"/>
      <c r="F2485">
        <v>150</v>
      </c>
      <c r="H2485" t="str">
        <f t="shared" si="38"/>
        <v>2022-10</v>
      </c>
      <c r="I2485" t="str">
        <f>_xlfn.XLOOKUP(Table1[[#This Row],[Customer_ID]],Customers!$A$2:$A$30,Customers!$C$2:$C$30,"Not found")</f>
        <v>Mixed</v>
      </c>
    </row>
    <row r="2486" spans="1:9">
      <c r="A2486" s="9">
        <v>44871</v>
      </c>
      <c r="B2486" t="s">
        <v>502</v>
      </c>
      <c r="C2486" t="s">
        <v>8</v>
      </c>
      <c r="D2486" s="4">
        <v>966</v>
      </c>
      <c r="E2486" s="4">
        <v>2878</v>
      </c>
      <c r="F2486">
        <v>150</v>
      </c>
      <c r="G2486" t="s">
        <v>506</v>
      </c>
      <c r="H2486" t="str">
        <f t="shared" si="38"/>
        <v>2022-11</v>
      </c>
      <c r="I2486" t="str">
        <f>_xlfn.XLOOKUP(Table1[[#This Row],[Customer_ID]],Customers!$A$2:$A$30,Customers!$C$2:$C$30,"Not found")</f>
        <v>Mixed</v>
      </c>
    </row>
    <row r="2487" spans="1:9">
      <c r="A2487" s="9">
        <v>44871</v>
      </c>
      <c r="B2487" t="s">
        <v>502</v>
      </c>
      <c r="C2487" t="s">
        <v>8</v>
      </c>
      <c r="D2487" s="4">
        <v>60</v>
      </c>
      <c r="E2487" s="4">
        <v>2938</v>
      </c>
      <c r="F2487">
        <v>150</v>
      </c>
      <c r="G2487" t="s">
        <v>507</v>
      </c>
      <c r="H2487" t="str">
        <f t="shared" si="38"/>
        <v>2022-11</v>
      </c>
      <c r="I2487" t="str">
        <f>_xlfn.XLOOKUP(Table1[[#This Row],[Customer_ID]],Customers!$A$2:$A$30,Customers!$C$2:$C$30,"Not found")</f>
        <v>Mixed</v>
      </c>
    </row>
    <row r="2488" spans="1:9">
      <c r="A2488" s="9"/>
      <c r="B2488" t="s">
        <v>502</v>
      </c>
      <c r="C2488" t="s">
        <v>14</v>
      </c>
      <c r="D2488" s="4">
        <v>2935</v>
      </c>
      <c r="E2488" s="4">
        <v>3</v>
      </c>
      <c r="F2488">
        <v>150</v>
      </c>
      <c r="G2488" t="s">
        <v>508</v>
      </c>
      <c r="H2488" t="str">
        <f t="shared" si="38"/>
        <v/>
      </c>
      <c r="I2488" t="str">
        <f>_xlfn.XLOOKUP(Table1[[#This Row],[Customer_ID]],Customers!$A$2:$A$30,Customers!$C$2:$C$30,"Not found")</f>
        <v>Mixed</v>
      </c>
    </row>
    <row r="2489" spans="1:9">
      <c r="A2489" s="9"/>
      <c r="B2489" t="s">
        <v>502</v>
      </c>
      <c r="C2489" t="s">
        <v>22</v>
      </c>
      <c r="D2489" s="4">
        <v>-3</v>
      </c>
      <c r="E2489" s="4">
        <v>0</v>
      </c>
      <c r="F2489">
        <v>150</v>
      </c>
      <c r="G2489" t="s">
        <v>509</v>
      </c>
      <c r="H2489" t="str">
        <f t="shared" si="38"/>
        <v/>
      </c>
      <c r="I2489" t="str">
        <f>_xlfn.XLOOKUP(Table1[[#This Row],[Customer_ID]],Customers!$A$2:$A$30,Customers!$C$2:$C$30,"Not found")</f>
        <v>Mixed</v>
      </c>
    </row>
    <row r="2490" spans="1:9">
      <c r="A2490" s="9">
        <v>44892</v>
      </c>
      <c r="B2490" t="s">
        <v>502</v>
      </c>
      <c r="C2490" t="s">
        <v>8</v>
      </c>
      <c r="D2490" s="4">
        <v>1533</v>
      </c>
      <c r="E2490" s="4"/>
      <c r="F2490">
        <v>150</v>
      </c>
      <c r="H2490" t="str">
        <f t="shared" si="38"/>
        <v>2022-11</v>
      </c>
      <c r="I2490" t="str">
        <f>_xlfn.XLOOKUP(Table1[[#This Row],[Customer_ID]],Customers!$A$2:$A$30,Customers!$C$2:$C$30,"Not found")</f>
        <v>Mixed</v>
      </c>
    </row>
    <row r="2491" spans="1:9">
      <c r="A2491" s="9">
        <v>44913</v>
      </c>
      <c r="B2491" t="s">
        <v>502</v>
      </c>
      <c r="C2491" t="s">
        <v>8</v>
      </c>
      <c r="D2491" s="4">
        <v>603</v>
      </c>
      <c r="E2491" s="4"/>
      <c r="F2491">
        <v>150</v>
      </c>
      <c r="G2491" t="s">
        <v>510</v>
      </c>
      <c r="H2491" t="str">
        <f t="shared" si="38"/>
        <v>2022-12</v>
      </c>
      <c r="I2491" t="str">
        <f>_xlfn.XLOOKUP(Table1[[#This Row],[Customer_ID]],Customers!$A$2:$A$30,Customers!$C$2:$C$30,"Not found")</f>
        <v>Mixed</v>
      </c>
    </row>
    <row r="2492" spans="1:9">
      <c r="A2492" s="9">
        <v>44942</v>
      </c>
      <c r="B2492" t="s">
        <v>502</v>
      </c>
      <c r="C2492" t="s">
        <v>8</v>
      </c>
      <c r="D2492" s="4">
        <v>2200</v>
      </c>
      <c r="E2492" s="4">
        <v>4336</v>
      </c>
      <c r="F2492">
        <v>150</v>
      </c>
      <c r="G2492" t="s">
        <v>511</v>
      </c>
      <c r="H2492" t="str">
        <f t="shared" si="38"/>
        <v>2023-01</v>
      </c>
      <c r="I2492" t="str">
        <f>_xlfn.XLOOKUP(Table1[[#This Row],[Customer_ID]],Customers!$A$2:$A$30,Customers!$C$2:$C$30,"Not found")</f>
        <v>Mixed</v>
      </c>
    </row>
    <row r="2493" spans="1:9">
      <c r="A2493" s="9">
        <v>44963</v>
      </c>
      <c r="B2493" t="s">
        <v>502</v>
      </c>
      <c r="C2493" t="s">
        <v>14</v>
      </c>
      <c r="D2493" s="4">
        <v>2000</v>
      </c>
      <c r="E2493" s="4">
        <v>2336</v>
      </c>
      <c r="F2493">
        <v>150</v>
      </c>
      <c r="G2493" t="s">
        <v>512</v>
      </c>
      <c r="H2493" t="str">
        <f t="shared" si="38"/>
        <v>2023-02</v>
      </c>
      <c r="I2493" t="str">
        <f>_xlfn.XLOOKUP(Table1[[#This Row],[Customer_ID]],Customers!$A$2:$A$30,Customers!$C$2:$C$30,"Not found")</f>
        <v>Mixed</v>
      </c>
    </row>
    <row r="2494" spans="1:9">
      <c r="A2494" s="9">
        <v>44965</v>
      </c>
      <c r="B2494" t="s">
        <v>502</v>
      </c>
      <c r="C2494" t="s">
        <v>8</v>
      </c>
      <c r="D2494" s="4">
        <v>1340</v>
      </c>
      <c r="E2494" s="4"/>
      <c r="F2494">
        <v>150</v>
      </c>
      <c r="H2494" t="str">
        <f t="shared" si="38"/>
        <v>2023-02</v>
      </c>
      <c r="I2494" t="str">
        <f>_xlfn.XLOOKUP(Table1[[#This Row],[Customer_ID]],Customers!$A$2:$A$30,Customers!$C$2:$C$30,"Not found")</f>
        <v>Mixed</v>
      </c>
    </row>
    <row r="2495" spans="1:9">
      <c r="A2495" s="9">
        <v>44969</v>
      </c>
      <c r="B2495" t="s">
        <v>502</v>
      </c>
      <c r="C2495" t="s">
        <v>8</v>
      </c>
      <c r="D2495" s="4">
        <v>1400</v>
      </c>
      <c r="E2495" s="4"/>
      <c r="F2495">
        <v>150</v>
      </c>
      <c r="H2495" t="str">
        <f t="shared" ref="H2495:H2558" si="39">IF(A2495="","",TEXT(A2495,"yyyy-mm"))</f>
        <v>2023-02</v>
      </c>
      <c r="I2495" t="str">
        <f>_xlfn.XLOOKUP(Table1[[#This Row],[Customer_ID]],Customers!$A$2:$A$30,Customers!$C$2:$C$30,"Not found")</f>
        <v>Mixed</v>
      </c>
    </row>
    <row r="2496" spans="1:9">
      <c r="A2496" s="9">
        <v>44976</v>
      </c>
      <c r="B2496" t="s">
        <v>502</v>
      </c>
      <c r="C2496" t="s">
        <v>8</v>
      </c>
      <c r="D2496" s="4">
        <v>150</v>
      </c>
      <c r="E2496" s="4">
        <v>5226</v>
      </c>
      <c r="F2496">
        <v>150</v>
      </c>
      <c r="G2496" t="s">
        <v>513</v>
      </c>
      <c r="H2496" t="str">
        <f t="shared" si="39"/>
        <v>2023-02</v>
      </c>
      <c r="I2496" t="str">
        <f>_xlfn.XLOOKUP(Table1[[#This Row],[Customer_ID]],Customers!$A$2:$A$30,Customers!$C$2:$C$30,"Not found")</f>
        <v>Mixed</v>
      </c>
    </row>
    <row r="2497" spans="1:9">
      <c r="A2497" s="9">
        <v>44983</v>
      </c>
      <c r="B2497" t="s">
        <v>502</v>
      </c>
      <c r="C2497" t="s">
        <v>8</v>
      </c>
      <c r="D2497" s="4">
        <v>692</v>
      </c>
      <c r="E2497" s="4">
        <v>5918</v>
      </c>
      <c r="F2497">
        <v>150</v>
      </c>
      <c r="G2497" t="s">
        <v>514</v>
      </c>
      <c r="H2497" t="str">
        <f t="shared" si="39"/>
        <v>2023-02</v>
      </c>
      <c r="I2497" t="str">
        <f>_xlfn.XLOOKUP(Table1[[#This Row],[Customer_ID]],Customers!$A$2:$A$30,Customers!$C$2:$C$30,"Not found")</f>
        <v>Mixed</v>
      </c>
    </row>
    <row r="2498" spans="1:9">
      <c r="A2498" s="9"/>
      <c r="B2498" t="s">
        <v>502</v>
      </c>
      <c r="C2498" t="s">
        <v>14</v>
      </c>
      <c r="D2498" s="4">
        <v>5000</v>
      </c>
      <c r="E2498" s="4">
        <v>918</v>
      </c>
      <c r="F2498">
        <v>150</v>
      </c>
      <c r="G2498" t="s">
        <v>515</v>
      </c>
      <c r="H2498" t="str">
        <f t="shared" si="39"/>
        <v/>
      </c>
      <c r="I2498" t="str">
        <f>_xlfn.XLOOKUP(Table1[[#This Row],[Customer_ID]],Customers!$A$2:$A$30,Customers!$C$2:$C$30,"Not found")</f>
        <v>Mixed</v>
      </c>
    </row>
    <row r="2499" spans="1:9">
      <c r="A2499" s="9">
        <v>44990</v>
      </c>
      <c r="B2499" t="s">
        <v>502</v>
      </c>
      <c r="C2499" t="s">
        <v>8</v>
      </c>
      <c r="D2499" s="4">
        <v>1613</v>
      </c>
      <c r="E2499" s="4"/>
      <c r="F2499">
        <v>150</v>
      </c>
      <c r="H2499" t="str">
        <f t="shared" si="39"/>
        <v>2023-03</v>
      </c>
      <c r="I2499" t="str">
        <f>_xlfn.XLOOKUP(Table1[[#This Row],[Customer_ID]],Customers!$A$2:$A$30,Customers!$C$2:$C$30,"Not found")</f>
        <v>Mixed</v>
      </c>
    </row>
    <row r="2500" spans="1:9">
      <c r="A2500" s="9">
        <v>45006</v>
      </c>
      <c r="B2500" t="s">
        <v>502</v>
      </c>
      <c r="C2500" t="s">
        <v>8</v>
      </c>
      <c r="D2500" s="4">
        <v>193</v>
      </c>
      <c r="E2500" s="4"/>
      <c r="F2500">
        <v>150</v>
      </c>
      <c r="G2500" t="s">
        <v>516</v>
      </c>
      <c r="H2500" t="str">
        <f t="shared" si="39"/>
        <v>2023-03</v>
      </c>
      <c r="I2500" t="str">
        <f>_xlfn.XLOOKUP(Table1[[#This Row],[Customer_ID]],Customers!$A$2:$A$30,Customers!$C$2:$C$30,"Not found")</f>
        <v>Mixed</v>
      </c>
    </row>
    <row r="2501" spans="1:9">
      <c r="A2501" s="9">
        <v>45011</v>
      </c>
      <c r="B2501" t="s">
        <v>502</v>
      </c>
      <c r="C2501" t="s">
        <v>8</v>
      </c>
      <c r="D2501" s="4">
        <v>1846</v>
      </c>
      <c r="E2501" s="4">
        <v>4570</v>
      </c>
      <c r="F2501">
        <v>150</v>
      </c>
      <c r="G2501" t="s">
        <v>517</v>
      </c>
      <c r="H2501" t="str">
        <f t="shared" si="39"/>
        <v>2023-03</v>
      </c>
      <c r="I2501" t="str">
        <f>_xlfn.XLOOKUP(Table1[[#This Row],[Customer_ID]],Customers!$A$2:$A$30,Customers!$C$2:$C$30,"Not found")</f>
        <v>Mixed</v>
      </c>
    </row>
    <row r="2502" spans="1:9">
      <c r="A2502" s="9">
        <v>45025</v>
      </c>
      <c r="B2502" t="s">
        <v>502</v>
      </c>
      <c r="C2502" t="s">
        <v>14</v>
      </c>
      <c r="D2502" s="4">
        <v>4000</v>
      </c>
      <c r="E2502" s="4">
        <v>570</v>
      </c>
      <c r="F2502">
        <v>150</v>
      </c>
      <c r="G2502" t="s">
        <v>518</v>
      </c>
      <c r="H2502" t="str">
        <f t="shared" si="39"/>
        <v>2023-04</v>
      </c>
      <c r="I2502" t="str">
        <f>_xlfn.XLOOKUP(Table1[[#This Row],[Customer_ID]],Customers!$A$2:$A$30,Customers!$C$2:$C$30,"Not found")</f>
        <v>Mixed</v>
      </c>
    </row>
    <row r="2503" spans="1:9">
      <c r="A2503" s="9">
        <v>45025</v>
      </c>
      <c r="B2503" t="s">
        <v>502</v>
      </c>
      <c r="C2503" t="s">
        <v>8</v>
      </c>
      <c r="D2503" s="4">
        <v>1422</v>
      </c>
      <c r="E2503" s="4"/>
      <c r="F2503">
        <v>150</v>
      </c>
      <c r="H2503" t="str">
        <f t="shared" si="39"/>
        <v>2023-04</v>
      </c>
      <c r="I2503" t="str">
        <f>_xlfn.XLOOKUP(Table1[[#This Row],[Customer_ID]],Customers!$A$2:$A$30,Customers!$C$2:$C$30,"Not found")</f>
        <v>Mixed</v>
      </c>
    </row>
    <row r="2504" spans="1:9">
      <c r="A2504" s="9">
        <v>45032</v>
      </c>
      <c r="B2504" t="s">
        <v>502</v>
      </c>
      <c r="C2504" t="s">
        <v>8</v>
      </c>
      <c r="D2504" s="4">
        <v>506</v>
      </c>
      <c r="E2504" s="4"/>
      <c r="F2504">
        <v>150</v>
      </c>
      <c r="H2504" t="str">
        <f t="shared" si="39"/>
        <v>2023-04</v>
      </c>
      <c r="I2504" t="str">
        <f>_xlfn.XLOOKUP(Table1[[#This Row],[Customer_ID]],Customers!$A$2:$A$30,Customers!$C$2:$C$30,"Not found")</f>
        <v>Mixed</v>
      </c>
    </row>
    <row r="2505" spans="1:9">
      <c r="A2505" s="9">
        <v>45055</v>
      </c>
      <c r="B2505" t="s">
        <v>502</v>
      </c>
      <c r="C2505" t="s">
        <v>8</v>
      </c>
      <c r="D2505" s="4">
        <v>741</v>
      </c>
      <c r="E2505" s="4">
        <v>3239</v>
      </c>
      <c r="F2505">
        <v>150</v>
      </c>
      <c r="G2505" t="s">
        <v>519</v>
      </c>
      <c r="H2505" t="str">
        <f t="shared" si="39"/>
        <v>2023-05</v>
      </c>
      <c r="I2505" t="str">
        <f>_xlfn.XLOOKUP(Table1[[#This Row],[Customer_ID]],Customers!$A$2:$A$30,Customers!$C$2:$C$30,"Not found")</f>
        <v>Mixed</v>
      </c>
    </row>
    <row r="2506" spans="1:9">
      <c r="A2506" s="9">
        <v>45055</v>
      </c>
      <c r="B2506" t="s">
        <v>502</v>
      </c>
      <c r="C2506" t="s">
        <v>8</v>
      </c>
      <c r="D2506" s="4">
        <v>160</v>
      </c>
      <c r="E2506" s="4">
        <v>3399</v>
      </c>
      <c r="F2506">
        <v>150</v>
      </c>
      <c r="G2506" t="s">
        <v>520</v>
      </c>
      <c r="H2506" t="str">
        <f t="shared" si="39"/>
        <v>2023-05</v>
      </c>
      <c r="I2506" t="str">
        <f>_xlfn.XLOOKUP(Table1[[#This Row],[Customer_ID]],Customers!$A$2:$A$30,Customers!$C$2:$C$30,"Not found")</f>
        <v>Mixed</v>
      </c>
    </row>
    <row r="2507" spans="1:9">
      <c r="A2507" s="9">
        <v>44520</v>
      </c>
      <c r="B2507" t="s">
        <v>521</v>
      </c>
      <c r="C2507" t="s">
        <v>28</v>
      </c>
      <c r="D2507" s="4">
        <v>1465</v>
      </c>
      <c r="E2507" s="4">
        <v>1465</v>
      </c>
      <c r="F2507">
        <v>126</v>
      </c>
      <c r="G2507" t="s">
        <v>522</v>
      </c>
      <c r="H2507" t="str">
        <f t="shared" si="39"/>
        <v>2021-11</v>
      </c>
      <c r="I2507" t="str">
        <f>_xlfn.XLOOKUP(Table1[[#This Row],[Customer_ID]],Customers!$A$2:$A$30,Customers!$C$2:$C$30,"Not found")</f>
        <v>Mixed</v>
      </c>
    </row>
    <row r="2508" spans="1:9">
      <c r="A2508" s="9">
        <v>44520</v>
      </c>
      <c r="B2508" t="s">
        <v>521</v>
      </c>
      <c r="C2508" t="s">
        <v>8</v>
      </c>
      <c r="D2508" s="4">
        <v>308</v>
      </c>
      <c r="E2508" s="4">
        <v>1773</v>
      </c>
      <c r="F2508">
        <v>126</v>
      </c>
      <c r="G2508" t="s">
        <v>523</v>
      </c>
      <c r="H2508" t="str">
        <f t="shared" si="39"/>
        <v>2021-11</v>
      </c>
      <c r="I2508" t="str">
        <f>_xlfn.XLOOKUP(Table1[[#This Row],[Customer_ID]],Customers!$A$2:$A$30,Customers!$C$2:$C$30,"Not found")</f>
        <v>Mixed</v>
      </c>
    </row>
    <row r="2509" spans="1:9">
      <c r="A2509" s="9">
        <v>44520</v>
      </c>
      <c r="B2509" t="s">
        <v>521</v>
      </c>
      <c r="C2509" t="s">
        <v>8</v>
      </c>
      <c r="D2509" s="4">
        <v>824</v>
      </c>
      <c r="E2509" s="4">
        <v>2597</v>
      </c>
      <c r="F2509">
        <v>126</v>
      </c>
      <c r="G2509" t="s">
        <v>524</v>
      </c>
      <c r="H2509" t="str">
        <f t="shared" si="39"/>
        <v>2021-11</v>
      </c>
      <c r="I2509" t="str">
        <f>_xlfn.XLOOKUP(Table1[[#This Row],[Customer_ID]],Customers!$A$2:$A$30,Customers!$C$2:$C$30,"Not found")</f>
        <v>Mixed</v>
      </c>
    </row>
    <row r="2510" spans="1:9">
      <c r="A2510" s="9"/>
      <c r="B2510" t="s">
        <v>521</v>
      </c>
      <c r="C2510" t="s">
        <v>14</v>
      </c>
      <c r="D2510" s="4">
        <v>500</v>
      </c>
      <c r="E2510" s="4">
        <v>2097</v>
      </c>
      <c r="F2510">
        <v>126</v>
      </c>
      <c r="G2510" t="s">
        <v>525</v>
      </c>
      <c r="H2510" t="str">
        <f t="shared" si="39"/>
        <v/>
      </c>
      <c r="I2510" t="str">
        <f>_xlfn.XLOOKUP(Table1[[#This Row],[Customer_ID]],Customers!$A$2:$A$30,Customers!$C$2:$C$30,"Not found")</f>
        <v>Mixed</v>
      </c>
    </row>
    <row r="2511" spans="1:9">
      <c r="A2511" s="9">
        <v>44548</v>
      </c>
      <c r="B2511" t="s">
        <v>521</v>
      </c>
      <c r="C2511" t="s">
        <v>8</v>
      </c>
      <c r="D2511" s="4">
        <v>863</v>
      </c>
      <c r="E2511" s="4">
        <v>2960</v>
      </c>
      <c r="F2511">
        <v>126</v>
      </c>
      <c r="G2511" t="s">
        <v>526</v>
      </c>
      <c r="H2511" t="str">
        <f t="shared" si="39"/>
        <v>2021-12</v>
      </c>
      <c r="I2511" t="str">
        <f>_xlfn.XLOOKUP(Table1[[#This Row],[Customer_ID]],Customers!$A$2:$A$30,Customers!$C$2:$C$30,"Not found")</f>
        <v>Mixed</v>
      </c>
    </row>
    <row r="2512" spans="1:9">
      <c r="A2512" s="9"/>
      <c r="B2512" t="s">
        <v>521</v>
      </c>
      <c r="C2512" t="s">
        <v>14</v>
      </c>
      <c r="D2512" s="4">
        <v>600</v>
      </c>
      <c r="E2512" s="4">
        <v>2360</v>
      </c>
      <c r="F2512">
        <v>126</v>
      </c>
      <c r="G2512" t="s">
        <v>527</v>
      </c>
      <c r="H2512" t="str">
        <f t="shared" si="39"/>
        <v/>
      </c>
      <c r="I2512" t="str">
        <f>_xlfn.XLOOKUP(Table1[[#This Row],[Customer_ID]],Customers!$A$2:$A$30,Customers!$C$2:$C$30,"Not found")</f>
        <v>Mixed</v>
      </c>
    </row>
    <row r="2513" spans="1:9">
      <c r="A2513" s="9">
        <v>44564</v>
      </c>
      <c r="B2513" t="s">
        <v>521</v>
      </c>
      <c r="C2513" t="s">
        <v>8</v>
      </c>
      <c r="D2513" s="4">
        <v>285</v>
      </c>
      <c r="E2513" s="4">
        <v>2645</v>
      </c>
      <c r="F2513">
        <v>126</v>
      </c>
      <c r="G2513" t="s">
        <v>528</v>
      </c>
      <c r="H2513" t="str">
        <f t="shared" si="39"/>
        <v>2022-01</v>
      </c>
      <c r="I2513" t="str">
        <f>_xlfn.XLOOKUP(Table1[[#This Row],[Customer_ID]],Customers!$A$2:$A$30,Customers!$C$2:$C$30,"Not found")</f>
        <v>Mixed</v>
      </c>
    </row>
    <row r="2514" spans="1:9">
      <c r="A2514" s="9"/>
      <c r="B2514" t="s">
        <v>521</v>
      </c>
      <c r="C2514" t="s">
        <v>14</v>
      </c>
      <c r="D2514" s="4">
        <v>2000</v>
      </c>
      <c r="E2514" s="4">
        <v>645</v>
      </c>
      <c r="F2514">
        <v>126</v>
      </c>
      <c r="G2514" t="s">
        <v>529</v>
      </c>
      <c r="H2514" t="str">
        <f t="shared" si="39"/>
        <v/>
      </c>
      <c r="I2514" t="str">
        <f>_xlfn.XLOOKUP(Table1[[#This Row],[Customer_ID]],Customers!$A$2:$A$30,Customers!$C$2:$C$30,"Not found")</f>
        <v>Mixed</v>
      </c>
    </row>
    <row r="2515" spans="1:9">
      <c r="A2515" s="9">
        <v>44575</v>
      </c>
      <c r="B2515" t="s">
        <v>521</v>
      </c>
      <c r="C2515" t="s">
        <v>8</v>
      </c>
      <c r="D2515" s="4">
        <v>484</v>
      </c>
      <c r="E2515" s="4">
        <v>1129</v>
      </c>
      <c r="F2515">
        <v>126</v>
      </c>
      <c r="G2515" t="s">
        <v>530</v>
      </c>
      <c r="H2515" t="str">
        <f t="shared" si="39"/>
        <v>2022-01</v>
      </c>
      <c r="I2515" t="str">
        <f>_xlfn.XLOOKUP(Table1[[#This Row],[Customer_ID]],Customers!$A$2:$A$30,Customers!$C$2:$C$30,"Not found")</f>
        <v>Mixed</v>
      </c>
    </row>
    <row r="2516" spans="1:9">
      <c r="A2516" s="9">
        <v>44575</v>
      </c>
      <c r="B2516" t="s">
        <v>521</v>
      </c>
      <c r="C2516" t="s">
        <v>8</v>
      </c>
      <c r="D2516" s="4">
        <v>142</v>
      </c>
      <c r="E2516" s="4">
        <v>1271</v>
      </c>
      <c r="F2516">
        <v>126</v>
      </c>
      <c r="G2516" t="s">
        <v>531</v>
      </c>
      <c r="H2516" t="str">
        <f t="shared" si="39"/>
        <v>2022-01</v>
      </c>
      <c r="I2516" t="str">
        <f>_xlfn.XLOOKUP(Table1[[#This Row],[Customer_ID]],Customers!$A$2:$A$30,Customers!$C$2:$C$30,"Not found")</f>
        <v>Mixed</v>
      </c>
    </row>
    <row r="2517" spans="1:9">
      <c r="A2517" s="9">
        <v>44625</v>
      </c>
      <c r="B2517" t="s">
        <v>521</v>
      </c>
      <c r="C2517" t="s">
        <v>8</v>
      </c>
      <c r="D2517" s="4">
        <v>1023</v>
      </c>
      <c r="E2517" s="4">
        <v>2294</v>
      </c>
      <c r="F2517">
        <v>126</v>
      </c>
      <c r="G2517" t="s">
        <v>532</v>
      </c>
      <c r="H2517" t="str">
        <f t="shared" si="39"/>
        <v>2022-03</v>
      </c>
      <c r="I2517" t="str">
        <f>_xlfn.XLOOKUP(Table1[[#This Row],[Customer_ID]],Customers!$A$2:$A$30,Customers!$C$2:$C$30,"Not found")</f>
        <v>Mixed</v>
      </c>
    </row>
    <row r="2518" spans="1:9">
      <c r="A2518" s="9"/>
      <c r="B2518" t="s">
        <v>521</v>
      </c>
      <c r="C2518" t="s">
        <v>14</v>
      </c>
      <c r="D2518" s="4">
        <v>2000</v>
      </c>
      <c r="E2518" s="4">
        <v>294</v>
      </c>
      <c r="F2518">
        <v>126</v>
      </c>
      <c r="G2518" t="s">
        <v>533</v>
      </c>
      <c r="H2518" t="str">
        <f t="shared" si="39"/>
        <v/>
      </c>
      <c r="I2518" t="str">
        <f>_xlfn.XLOOKUP(Table1[[#This Row],[Customer_ID]],Customers!$A$2:$A$30,Customers!$C$2:$C$30,"Not found")</f>
        <v>Mixed</v>
      </c>
    </row>
    <row r="2519" spans="1:9">
      <c r="A2519" s="9">
        <v>44632</v>
      </c>
      <c r="B2519" t="s">
        <v>521</v>
      </c>
      <c r="C2519" t="s">
        <v>8</v>
      </c>
      <c r="D2519" s="4">
        <v>831</v>
      </c>
      <c r="E2519" s="4"/>
      <c r="F2519">
        <v>126</v>
      </c>
      <c r="H2519" t="str">
        <f t="shared" si="39"/>
        <v>2022-03</v>
      </c>
      <c r="I2519" t="str">
        <f>_xlfn.XLOOKUP(Table1[[#This Row],[Customer_ID]],Customers!$A$2:$A$30,Customers!$C$2:$C$30,"Not found")</f>
        <v>Mixed</v>
      </c>
    </row>
    <row r="2520" spans="1:9">
      <c r="A2520" s="9">
        <v>44640</v>
      </c>
      <c r="B2520" t="s">
        <v>521</v>
      </c>
      <c r="C2520" t="s">
        <v>8</v>
      </c>
      <c r="D2520" s="4">
        <v>818</v>
      </c>
      <c r="E2520" s="4"/>
      <c r="F2520">
        <v>126</v>
      </c>
      <c r="H2520" t="str">
        <f t="shared" si="39"/>
        <v>2022-03</v>
      </c>
      <c r="I2520" t="str">
        <f>_xlfn.XLOOKUP(Table1[[#This Row],[Customer_ID]],Customers!$A$2:$A$30,Customers!$C$2:$C$30,"Not found")</f>
        <v>Mixed</v>
      </c>
    </row>
    <row r="2521" spans="1:9">
      <c r="A2521" s="9">
        <v>44645</v>
      </c>
      <c r="B2521" t="s">
        <v>521</v>
      </c>
      <c r="C2521" t="s">
        <v>8</v>
      </c>
      <c r="D2521" s="4">
        <v>1002</v>
      </c>
      <c r="E2521" s="4">
        <v>2945</v>
      </c>
      <c r="F2521">
        <v>126</v>
      </c>
      <c r="G2521" t="s">
        <v>534</v>
      </c>
      <c r="H2521" t="str">
        <f t="shared" si="39"/>
        <v>2022-03</v>
      </c>
      <c r="I2521" t="str">
        <f>_xlfn.XLOOKUP(Table1[[#This Row],[Customer_ID]],Customers!$A$2:$A$30,Customers!$C$2:$C$30,"Not found")</f>
        <v>Mixed</v>
      </c>
    </row>
    <row r="2522" spans="1:9">
      <c r="A2522" s="9">
        <v>44645</v>
      </c>
      <c r="B2522" t="s">
        <v>521</v>
      </c>
      <c r="C2522" t="s">
        <v>8</v>
      </c>
      <c r="D2522" s="4">
        <v>20</v>
      </c>
      <c r="E2522" s="4">
        <v>2965</v>
      </c>
      <c r="F2522">
        <v>126</v>
      </c>
      <c r="G2522" t="s">
        <v>535</v>
      </c>
      <c r="H2522" t="str">
        <f t="shared" si="39"/>
        <v>2022-03</v>
      </c>
      <c r="I2522" t="str">
        <f>_xlfn.XLOOKUP(Table1[[#This Row],[Customer_ID]],Customers!$A$2:$A$30,Customers!$C$2:$C$30,"Not found")</f>
        <v>Mixed</v>
      </c>
    </row>
    <row r="2523" spans="1:9">
      <c r="A2523" s="9">
        <v>44656</v>
      </c>
      <c r="B2523" t="s">
        <v>521</v>
      </c>
      <c r="C2523" t="s">
        <v>14</v>
      </c>
      <c r="D2523" s="4">
        <v>1000</v>
      </c>
      <c r="E2523" s="4">
        <v>1965</v>
      </c>
      <c r="F2523">
        <v>126</v>
      </c>
      <c r="G2523" t="s">
        <v>536</v>
      </c>
      <c r="H2523" t="str">
        <f t="shared" si="39"/>
        <v>2022-04</v>
      </c>
      <c r="I2523" t="str">
        <f>_xlfn.XLOOKUP(Table1[[#This Row],[Customer_ID]],Customers!$A$2:$A$30,Customers!$C$2:$C$30,"Not found")</f>
        <v>Mixed</v>
      </c>
    </row>
    <row r="2524" spans="1:9">
      <c r="A2524" s="9"/>
      <c r="B2524" t="s">
        <v>521</v>
      </c>
      <c r="C2524" t="s">
        <v>14</v>
      </c>
      <c r="D2524" s="4">
        <v>1965</v>
      </c>
      <c r="E2524" s="4">
        <v>0</v>
      </c>
      <c r="F2524">
        <v>126</v>
      </c>
      <c r="G2524" t="s">
        <v>537</v>
      </c>
      <c r="H2524" t="str">
        <f t="shared" si="39"/>
        <v/>
      </c>
      <c r="I2524" t="str">
        <f>_xlfn.XLOOKUP(Table1[[#This Row],[Customer_ID]],Customers!$A$2:$A$30,Customers!$C$2:$C$30,"Not found")</f>
        <v>Mixed</v>
      </c>
    </row>
    <row r="2525" spans="1:9">
      <c r="A2525" s="9">
        <v>44663</v>
      </c>
      <c r="B2525" t="s">
        <v>521</v>
      </c>
      <c r="C2525" t="s">
        <v>8</v>
      </c>
      <c r="D2525" s="4">
        <v>1003</v>
      </c>
      <c r="E2525" s="4"/>
      <c r="F2525">
        <v>126</v>
      </c>
      <c r="H2525" t="str">
        <f t="shared" si="39"/>
        <v>2022-04</v>
      </c>
      <c r="I2525" t="str">
        <f>_xlfn.XLOOKUP(Table1[[#This Row],[Customer_ID]],Customers!$A$2:$A$30,Customers!$C$2:$C$30,"Not found")</f>
        <v>Mixed</v>
      </c>
    </row>
    <row r="2526" spans="1:9">
      <c r="A2526" s="9">
        <v>44675</v>
      </c>
      <c r="B2526" t="s">
        <v>521</v>
      </c>
      <c r="C2526" t="s">
        <v>8</v>
      </c>
      <c r="D2526" s="4">
        <v>924</v>
      </c>
      <c r="E2526" s="4"/>
      <c r="F2526">
        <v>126</v>
      </c>
      <c r="H2526" t="str">
        <f t="shared" si="39"/>
        <v>2022-04</v>
      </c>
      <c r="I2526" t="str">
        <f>_xlfn.XLOOKUP(Table1[[#This Row],[Customer_ID]],Customers!$A$2:$A$30,Customers!$C$2:$C$30,"Not found")</f>
        <v>Mixed</v>
      </c>
    </row>
    <row r="2527" spans="1:9">
      <c r="A2527" s="9">
        <v>44682</v>
      </c>
      <c r="B2527" t="s">
        <v>521</v>
      </c>
      <c r="C2527" t="s">
        <v>8</v>
      </c>
      <c r="D2527" s="4">
        <v>811</v>
      </c>
      <c r="E2527" s="4">
        <v>2738</v>
      </c>
      <c r="F2527">
        <v>126</v>
      </c>
      <c r="G2527" t="s">
        <v>538</v>
      </c>
      <c r="H2527" t="str">
        <f t="shared" si="39"/>
        <v>2022-05</v>
      </c>
      <c r="I2527" t="str">
        <f>_xlfn.XLOOKUP(Table1[[#This Row],[Customer_ID]],Customers!$A$2:$A$30,Customers!$C$2:$C$30,"Not found")</f>
        <v>Mixed</v>
      </c>
    </row>
    <row r="2528" spans="1:9">
      <c r="A2528" s="9">
        <v>44695</v>
      </c>
      <c r="B2528" t="s">
        <v>521</v>
      </c>
      <c r="C2528" t="s">
        <v>8</v>
      </c>
      <c r="D2528" s="4">
        <v>864</v>
      </c>
      <c r="E2528" s="4">
        <v>3602</v>
      </c>
      <c r="F2528">
        <v>126</v>
      </c>
      <c r="G2528" t="s">
        <v>539</v>
      </c>
      <c r="H2528" t="str">
        <f t="shared" si="39"/>
        <v>2022-05</v>
      </c>
      <c r="I2528" t="str">
        <f>_xlfn.XLOOKUP(Table1[[#This Row],[Customer_ID]],Customers!$A$2:$A$30,Customers!$C$2:$C$30,"Not found")</f>
        <v>Mixed</v>
      </c>
    </row>
    <row r="2529" spans="1:9">
      <c r="A2529" s="9"/>
      <c r="B2529" t="s">
        <v>521</v>
      </c>
      <c r="C2529" t="s">
        <v>14</v>
      </c>
      <c r="D2529" s="4">
        <v>500</v>
      </c>
      <c r="E2529" s="4">
        <v>3102</v>
      </c>
      <c r="F2529">
        <v>126</v>
      </c>
      <c r="G2529" t="s">
        <v>540</v>
      </c>
      <c r="H2529" t="str">
        <f t="shared" si="39"/>
        <v/>
      </c>
      <c r="I2529" t="str">
        <f>_xlfn.XLOOKUP(Table1[[#This Row],[Customer_ID]],Customers!$A$2:$A$30,Customers!$C$2:$C$30,"Not found")</f>
        <v>Mixed</v>
      </c>
    </row>
    <row r="2530" spans="1:9">
      <c r="A2530" s="9">
        <v>44695</v>
      </c>
      <c r="B2530" t="s">
        <v>521</v>
      </c>
      <c r="C2530" t="s">
        <v>8</v>
      </c>
      <c r="D2530" s="4">
        <v>45</v>
      </c>
      <c r="E2530" s="4"/>
      <c r="F2530">
        <v>126</v>
      </c>
      <c r="H2530" t="str">
        <f t="shared" si="39"/>
        <v>2022-05</v>
      </c>
      <c r="I2530" t="str">
        <f>_xlfn.XLOOKUP(Table1[[#This Row],[Customer_ID]],Customers!$A$2:$A$30,Customers!$C$2:$C$30,"Not found")</f>
        <v>Mixed</v>
      </c>
    </row>
    <row r="2531" spans="1:9">
      <c r="A2531" s="9">
        <v>44703</v>
      </c>
      <c r="B2531" t="s">
        <v>521</v>
      </c>
      <c r="C2531" t="s">
        <v>8</v>
      </c>
      <c r="D2531" s="4">
        <v>963</v>
      </c>
      <c r="E2531" s="4">
        <v>4110</v>
      </c>
      <c r="F2531">
        <v>126</v>
      </c>
      <c r="G2531" t="s">
        <v>541</v>
      </c>
      <c r="H2531" t="str">
        <f t="shared" si="39"/>
        <v>2022-05</v>
      </c>
      <c r="I2531" t="str">
        <f>_xlfn.XLOOKUP(Table1[[#This Row],[Customer_ID]],Customers!$A$2:$A$30,Customers!$C$2:$C$30,"Not found")</f>
        <v>Mixed</v>
      </c>
    </row>
    <row r="2532" spans="1:9">
      <c r="A2532" s="9">
        <v>44709</v>
      </c>
      <c r="B2532" t="s">
        <v>521</v>
      </c>
      <c r="C2532" t="s">
        <v>8</v>
      </c>
      <c r="D2532" s="4">
        <v>1020</v>
      </c>
      <c r="E2532" s="4">
        <v>5130</v>
      </c>
      <c r="F2532">
        <v>126</v>
      </c>
      <c r="G2532" t="s">
        <v>542</v>
      </c>
      <c r="H2532" t="str">
        <f t="shared" si="39"/>
        <v>2022-05</v>
      </c>
      <c r="I2532" t="str">
        <f>_xlfn.XLOOKUP(Table1[[#This Row],[Customer_ID]],Customers!$A$2:$A$30,Customers!$C$2:$C$30,"Not found")</f>
        <v>Mixed</v>
      </c>
    </row>
    <row r="2533" spans="1:9">
      <c r="A2533" s="9"/>
      <c r="B2533" t="s">
        <v>521</v>
      </c>
      <c r="C2533" t="s">
        <v>14</v>
      </c>
      <c r="D2533" s="4">
        <v>5000</v>
      </c>
      <c r="E2533" s="4">
        <v>130</v>
      </c>
      <c r="F2533">
        <v>126</v>
      </c>
      <c r="G2533" t="s">
        <v>543</v>
      </c>
      <c r="H2533" t="str">
        <f t="shared" si="39"/>
        <v/>
      </c>
      <c r="I2533" t="str">
        <f>_xlfn.XLOOKUP(Table1[[#This Row],[Customer_ID]],Customers!$A$2:$A$30,Customers!$C$2:$C$30,"Not found")</f>
        <v>Mixed</v>
      </c>
    </row>
    <row r="2534" spans="1:9">
      <c r="A2534" s="9">
        <v>44716</v>
      </c>
      <c r="B2534" t="s">
        <v>521</v>
      </c>
      <c r="C2534" t="s">
        <v>8</v>
      </c>
      <c r="D2534" s="4">
        <v>855</v>
      </c>
      <c r="E2534" s="4">
        <v>985</v>
      </c>
      <c r="F2534">
        <v>126</v>
      </c>
      <c r="G2534" t="s">
        <v>544</v>
      </c>
      <c r="H2534" t="str">
        <f t="shared" si="39"/>
        <v>2022-06</v>
      </c>
      <c r="I2534" t="str">
        <f>_xlfn.XLOOKUP(Table1[[#This Row],[Customer_ID]],Customers!$A$2:$A$30,Customers!$C$2:$C$30,"Not found")</f>
        <v>Mixed</v>
      </c>
    </row>
    <row r="2535" spans="1:9">
      <c r="A2535" s="9">
        <v>44826</v>
      </c>
      <c r="B2535" t="s">
        <v>545</v>
      </c>
      <c r="C2535" t="s">
        <v>28</v>
      </c>
      <c r="D2535" s="4">
        <v>2051</v>
      </c>
      <c r="E2535" s="4">
        <v>2051</v>
      </c>
      <c r="F2535">
        <v>74</v>
      </c>
      <c r="G2535" t="s">
        <v>546</v>
      </c>
      <c r="H2535" t="str">
        <f t="shared" si="39"/>
        <v>2022-09</v>
      </c>
      <c r="I2535" t="str">
        <f>_xlfn.XLOOKUP(Table1[[#This Row],[Customer_ID]],Customers!$A$2:$A$30,Customers!$C$2:$C$30,"Not found")</f>
        <v>Carries forward</v>
      </c>
    </row>
    <row r="2536" spans="1:9">
      <c r="A2536" s="9">
        <v>44826</v>
      </c>
      <c r="B2536" t="s">
        <v>545</v>
      </c>
      <c r="C2536" t="s">
        <v>8</v>
      </c>
      <c r="D2536" s="4">
        <v>700</v>
      </c>
      <c r="E2536" s="4">
        <v>2751</v>
      </c>
      <c r="F2536">
        <v>74</v>
      </c>
      <c r="G2536" t="s">
        <v>547</v>
      </c>
      <c r="H2536" t="str">
        <f t="shared" si="39"/>
        <v>2022-09</v>
      </c>
      <c r="I2536" t="str">
        <f>_xlfn.XLOOKUP(Table1[[#This Row],[Customer_ID]],Customers!$A$2:$A$30,Customers!$C$2:$C$30,"Not found")</f>
        <v>Carries forward</v>
      </c>
    </row>
    <row r="2537" spans="1:9">
      <c r="A2537" s="9">
        <v>44842</v>
      </c>
      <c r="B2537" t="s">
        <v>545</v>
      </c>
      <c r="C2537" t="s">
        <v>14</v>
      </c>
      <c r="D2537" s="4">
        <v>2000</v>
      </c>
      <c r="E2537" s="4">
        <v>751</v>
      </c>
      <c r="F2537">
        <v>74</v>
      </c>
      <c r="G2537" t="s">
        <v>548</v>
      </c>
      <c r="H2537" t="str">
        <f t="shared" si="39"/>
        <v>2022-10</v>
      </c>
      <c r="I2537" t="str">
        <f>_xlfn.XLOOKUP(Table1[[#This Row],[Customer_ID]],Customers!$A$2:$A$30,Customers!$C$2:$C$30,"Not found")</f>
        <v>Carries forward</v>
      </c>
    </row>
    <row r="2538" spans="1:9">
      <c r="A2538" s="9">
        <v>44862</v>
      </c>
      <c r="B2538" t="s">
        <v>545</v>
      </c>
      <c r="C2538" t="s">
        <v>8</v>
      </c>
      <c r="D2538" s="4">
        <v>350</v>
      </c>
      <c r="E2538" s="4"/>
      <c r="F2538">
        <v>74</v>
      </c>
      <c r="G2538" t="s">
        <v>549</v>
      </c>
      <c r="H2538" t="str">
        <f t="shared" si="39"/>
        <v>2022-10</v>
      </c>
      <c r="I2538" t="str">
        <f>_xlfn.XLOOKUP(Table1[[#This Row],[Customer_ID]],Customers!$A$2:$A$30,Customers!$C$2:$C$30,"Not found")</f>
        <v>Carries forward</v>
      </c>
    </row>
    <row r="2539" spans="1:9">
      <c r="A2539" s="9">
        <v>44868</v>
      </c>
      <c r="B2539" t="s">
        <v>545</v>
      </c>
      <c r="C2539" t="s">
        <v>8</v>
      </c>
      <c r="D2539" s="4">
        <v>700</v>
      </c>
      <c r="E2539" s="4"/>
      <c r="F2539">
        <v>74</v>
      </c>
      <c r="H2539" t="str">
        <f t="shared" si="39"/>
        <v>2022-11</v>
      </c>
      <c r="I2539" t="str">
        <f>_xlfn.XLOOKUP(Table1[[#This Row],[Customer_ID]],Customers!$A$2:$A$30,Customers!$C$2:$C$30,"Not found")</f>
        <v>Carries forward</v>
      </c>
    </row>
    <row r="2540" spans="1:9">
      <c r="A2540" s="9">
        <v>44873</v>
      </c>
      <c r="B2540" t="s">
        <v>545</v>
      </c>
      <c r="C2540" t="s">
        <v>8</v>
      </c>
      <c r="D2540" s="4">
        <v>85</v>
      </c>
      <c r="E2540" s="4"/>
      <c r="F2540">
        <v>74</v>
      </c>
      <c r="G2540" t="s">
        <v>550</v>
      </c>
      <c r="H2540" t="str">
        <f t="shared" si="39"/>
        <v>2022-11</v>
      </c>
      <c r="I2540" t="str">
        <f>_xlfn.XLOOKUP(Table1[[#This Row],[Customer_ID]],Customers!$A$2:$A$30,Customers!$C$2:$C$30,"Not found")</f>
        <v>Carries forward</v>
      </c>
    </row>
    <row r="2541" spans="1:9">
      <c r="A2541" s="9">
        <v>44882</v>
      </c>
      <c r="B2541" t="s">
        <v>545</v>
      </c>
      <c r="C2541" t="s">
        <v>8</v>
      </c>
      <c r="D2541" s="4">
        <v>700</v>
      </c>
      <c r="E2541" s="4">
        <v>2586</v>
      </c>
      <c r="F2541">
        <v>74</v>
      </c>
      <c r="G2541" t="s">
        <v>551</v>
      </c>
      <c r="H2541" t="str">
        <f t="shared" si="39"/>
        <v>2022-11</v>
      </c>
      <c r="I2541" t="str">
        <f>_xlfn.XLOOKUP(Table1[[#This Row],[Customer_ID]],Customers!$A$2:$A$30,Customers!$C$2:$C$30,"Not found")</f>
        <v>Carries forward</v>
      </c>
    </row>
    <row r="2542" spans="1:9">
      <c r="A2542" s="9">
        <v>44873</v>
      </c>
      <c r="B2542" t="s">
        <v>545</v>
      </c>
      <c r="C2542" t="s">
        <v>8</v>
      </c>
      <c r="D2542" s="4">
        <v>700</v>
      </c>
      <c r="E2542" s="4">
        <v>3286</v>
      </c>
      <c r="F2542">
        <v>74</v>
      </c>
      <c r="G2542" t="s">
        <v>552</v>
      </c>
      <c r="H2542" t="str">
        <f t="shared" si="39"/>
        <v>2022-11</v>
      </c>
      <c r="I2542" t="str">
        <f>_xlfn.XLOOKUP(Table1[[#This Row],[Customer_ID]],Customers!$A$2:$A$30,Customers!$C$2:$C$30,"Not found")</f>
        <v>Carries forward</v>
      </c>
    </row>
    <row r="2543" spans="1:9">
      <c r="A2543" s="9">
        <v>44902</v>
      </c>
      <c r="B2543" t="s">
        <v>545</v>
      </c>
      <c r="C2543" t="s">
        <v>14</v>
      </c>
      <c r="D2543" s="4">
        <v>2500</v>
      </c>
      <c r="E2543" s="4">
        <v>786</v>
      </c>
      <c r="F2543">
        <v>74</v>
      </c>
      <c r="G2543" t="s">
        <v>553</v>
      </c>
      <c r="H2543" t="str">
        <f t="shared" si="39"/>
        <v>2022-12</v>
      </c>
      <c r="I2543" t="str">
        <f>_xlfn.XLOOKUP(Table1[[#This Row],[Customer_ID]],Customers!$A$2:$A$30,Customers!$C$2:$C$30,"Not found")</f>
        <v>Carries forward</v>
      </c>
    </row>
    <row r="2544" spans="1:9">
      <c r="A2544" s="9">
        <v>44903</v>
      </c>
      <c r="B2544" t="s">
        <v>545</v>
      </c>
      <c r="C2544" t="s">
        <v>8</v>
      </c>
      <c r="D2544" s="4">
        <v>226</v>
      </c>
      <c r="E2544" s="4"/>
      <c r="F2544">
        <v>74</v>
      </c>
      <c r="H2544" t="str">
        <f t="shared" si="39"/>
        <v>2022-12</v>
      </c>
      <c r="I2544" t="str">
        <f>_xlfn.XLOOKUP(Table1[[#This Row],[Customer_ID]],Customers!$A$2:$A$30,Customers!$C$2:$C$30,"Not found")</f>
        <v>Carries forward</v>
      </c>
    </row>
    <row r="2545" spans="1:9">
      <c r="A2545" s="9">
        <v>44908</v>
      </c>
      <c r="B2545" t="s">
        <v>545</v>
      </c>
      <c r="C2545" t="s">
        <v>8</v>
      </c>
      <c r="D2545" s="4">
        <v>700</v>
      </c>
      <c r="E2545" s="4"/>
      <c r="F2545">
        <v>74</v>
      </c>
      <c r="H2545" t="str">
        <f t="shared" si="39"/>
        <v>2022-12</v>
      </c>
      <c r="I2545" t="str">
        <f>_xlfn.XLOOKUP(Table1[[#This Row],[Customer_ID]],Customers!$A$2:$A$30,Customers!$C$2:$C$30,"Not found")</f>
        <v>Carries forward</v>
      </c>
    </row>
    <row r="2546" spans="1:9">
      <c r="A2546" s="9">
        <v>44919</v>
      </c>
      <c r="B2546" t="s">
        <v>545</v>
      </c>
      <c r="C2546" t="s">
        <v>8</v>
      </c>
      <c r="D2546" s="4">
        <v>536</v>
      </c>
      <c r="E2546" s="4">
        <v>2248</v>
      </c>
      <c r="F2546">
        <v>74</v>
      </c>
      <c r="G2546" t="s">
        <v>554</v>
      </c>
      <c r="H2546" t="str">
        <f t="shared" si="39"/>
        <v>2022-12</v>
      </c>
      <c r="I2546" t="str">
        <f>_xlfn.XLOOKUP(Table1[[#This Row],[Customer_ID]],Customers!$A$2:$A$30,Customers!$C$2:$C$30,"Not found")</f>
        <v>Carries forward</v>
      </c>
    </row>
    <row r="2547" spans="1:9">
      <c r="A2547" s="9">
        <v>44929</v>
      </c>
      <c r="B2547" t="s">
        <v>545</v>
      </c>
      <c r="C2547" t="s">
        <v>8</v>
      </c>
      <c r="D2547" s="4">
        <v>804</v>
      </c>
      <c r="E2547" s="4">
        <v>3052</v>
      </c>
      <c r="F2547">
        <v>74</v>
      </c>
      <c r="G2547" t="s">
        <v>555</v>
      </c>
      <c r="H2547" t="str">
        <f t="shared" si="39"/>
        <v>2023-01</v>
      </c>
      <c r="I2547" t="str">
        <f>_xlfn.XLOOKUP(Table1[[#This Row],[Customer_ID]],Customers!$A$2:$A$30,Customers!$C$2:$C$30,"Not found")</f>
        <v>Carries forward</v>
      </c>
    </row>
    <row r="2548" spans="1:9">
      <c r="A2548" s="9">
        <v>44936</v>
      </c>
      <c r="B2548" t="s">
        <v>545</v>
      </c>
      <c r="C2548" t="s">
        <v>8</v>
      </c>
      <c r="D2548" s="4">
        <v>188</v>
      </c>
      <c r="E2548" s="4"/>
      <c r="F2548">
        <v>74</v>
      </c>
      <c r="H2548" t="str">
        <f t="shared" si="39"/>
        <v>2023-01</v>
      </c>
      <c r="I2548" t="str">
        <f>_xlfn.XLOOKUP(Table1[[#This Row],[Customer_ID]],Customers!$A$2:$A$30,Customers!$C$2:$C$30,"Not found")</f>
        <v>Carries forward</v>
      </c>
    </row>
    <row r="2549" spans="1:9">
      <c r="A2549" s="9">
        <v>44939</v>
      </c>
      <c r="B2549" t="s">
        <v>545</v>
      </c>
      <c r="C2549" t="s">
        <v>8</v>
      </c>
      <c r="D2549" s="4">
        <v>700</v>
      </c>
      <c r="E2549" s="4"/>
      <c r="F2549">
        <v>74</v>
      </c>
      <c r="H2549" t="str">
        <f t="shared" si="39"/>
        <v>2023-01</v>
      </c>
      <c r="I2549" t="str">
        <f>_xlfn.XLOOKUP(Table1[[#This Row],[Customer_ID]],Customers!$A$2:$A$30,Customers!$C$2:$C$30,"Not found")</f>
        <v>Carries forward</v>
      </c>
    </row>
    <row r="2550" spans="1:9">
      <c r="A2550" s="9">
        <v>44939</v>
      </c>
      <c r="B2550" t="s">
        <v>545</v>
      </c>
      <c r="C2550" t="s">
        <v>8</v>
      </c>
      <c r="D2550" s="4">
        <v>20</v>
      </c>
      <c r="E2550" s="4">
        <v>3960</v>
      </c>
      <c r="F2550">
        <v>74</v>
      </c>
      <c r="G2550" t="s">
        <v>556</v>
      </c>
      <c r="H2550" t="str">
        <f t="shared" si="39"/>
        <v>2023-01</v>
      </c>
      <c r="I2550" t="str">
        <f>_xlfn.XLOOKUP(Table1[[#This Row],[Customer_ID]],Customers!$A$2:$A$30,Customers!$C$2:$C$30,"Not found")</f>
        <v>Carries forward</v>
      </c>
    </row>
    <row r="2551" spans="1:9">
      <c r="A2551" s="9">
        <v>44944</v>
      </c>
      <c r="B2551" t="s">
        <v>545</v>
      </c>
      <c r="C2551" t="s">
        <v>8</v>
      </c>
      <c r="D2551" s="4">
        <v>102</v>
      </c>
      <c r="E2551" s="4"/>
      <c r="F2551">
        <v>74</v>
      </c>
      <c r="H2551" t="str">
        <f t="shared" si="39"/>
        <v>2023-01</v>
      </c>
      <c r="I2551" t="str">
        <f>_xlfn.XLOOKUP(Table1[[#This Row],[Customer_ID]],Customers!$A$2:$A$30,Customers!$C$2:$C$30,"Not found")</f>
        <v>Carries forward</v>
      </c>
    </row>
    <row r="2552" spans="1:9">
      <c r="A2552" s="9">
        <v>44948</v>
      </c>
      <c r="B2552" t="s">
        <v>545</v>
      </c>
      <c r="C2552" t="s">
        <v>8</v>
      </c>
      <c r="D2552" s="4">
        <v>35</v>
      </c>
      <c r="E2552" s="4"/>
      <c r="F2552">
        <v>74</v>
      </c>
      <c r="H2552" t="str">
        <f t="shared" si="39"/>
        <v>2023-01</v>
      </c>
      <c r="I2552" t="str">
        <f>_xlfn.XLOOKUP(Table1[[#This Row],[Customer_ID]],Customers!$A$2:$A$30,Customers!$C$2:$C$30,"Not found")</f>
        <v>Carries forward</v>
      </c>
    </row>
    <row r="2553" spans="1:9">
      <c r="A2553" s="9">
        <v>44952</v>
      </c>
      <c r="B2553" t="s">
        <v>545</v>
      </c>
      <c r="C2553" t="s">
        <v>8</v>
      </c>
      <c r="D2553" s="4">
        <v>820</v>
      </c>
      <c r="E2553" s="4">
        <v>4917</v>
      </c>
      <c r="F2553">
        <v>74</v>
      </c>
      <c r="G2553" t="s">
        <v>557</v>
      </c>
      <c r="H2553" t="str">
        <f t="shared" si="39"/>
        <v>2023-01</v>
      </c>
      <c r="I2553" t="str">
        <f>_xlfn.XLOOKUP(Table1[[#This Row],[Customer_ID]],Customers!$A$2:$A$30,Customers!$C$2:$C$30,"Not found")</f>
        <v>Carries forward</v>
      </c>
    </row>
    <row r="2554" spans="1:9">
      <c r="A2554" s="9">
        <v>44954</v>
      </c>
      <c r="B2554" t="s">
        <v>545</v>
      </c>
      <c r="C2554" t="s">
        <v>8</v>
      </c>
      <c r="D2554" s="4">
        <v>215</v>
      </c>
      <c r="E2554" s="4"/>
      <c r="F2554">
        <v>74</v>
      </c>
      <c r="H2554" t="str">
        <f t="shared" si="39"/>
        <v>2023-01</v>
      </c>
      <c r="I2554" t="str">
        <f>_xlfn.XLOOKUP(Table1[[#This Row],[Customer_ID]],Customers!$A$2:$A$30,Customers!$C$2:$C$30,"Not found")</f>
        <v>Carries forward</v>
      </c>
    </row>
    <row r="2555" spans="1:9">
      <c r="A2555" s="9">
        <v>44954</v>
      </c>
      <c r="B2555" t="s">
        <v>545</v>
      </c>
      <c r="C2555" t="s">
        <v>8</v>
      </c>
      <c r="D2555" s="4">
        <v>30</v>
      </c>
      <c r="E2555" s="4">
        <v>5162</v>
      </c>
      <c r="F2555">
        <v>74</v>
      </c>
      <c r="G2555" t="s">
        <v>558</v>
      </c>
      <c r="H2555" t="str">
        <f t="shared" si="39"/>
        <v>2023-01</v>
      </c>
      <c r="I2555" t="str">
        <f>_xlfn.XLOOKUP(Table1[[#This Row],[Customer_ID]],Customers!$A$2:$A$30,Customers!$C$2:$C$30,"Not found")</f>
        <v>Carries forward</v>
      </c>
    </row>
    <row r="2556" spans="1:9">
      <c r="A2556" s="9"/>
      <c r="B2556" t="s">
        <v>545</v>
      </c>
      <c r="C2556" t="s">
        <v>14</v>
      </c>
      <c r="D2556" s="4">
        <v>2500</v>
      </c>
      <c r="E2556" s="4">
        <v>2662</v>
      </c>
      <c r="F2556">
        <v>74</v>
      </c>
      <c r="G2556" t="s">
        <v>559</v>
      </c>
      <c r="H2556" t="str">
        <f t="shared" si="39"/>
        <v/>
      </c>
      <c r="I2556" t="str">
        <f>_xlfn.XLOOKUP(Table1[[#This Row],[Customer_ID]],Customers!$A$2:$A$30,Customers!$C$2:$C$30,"Not found")</f>
        <v>Carries forward</v>
      </c>
    </row>
    <row r="2557" spans="1:9">
      <c r="A2557" s="9">
        <v>44964</v>
      </c>
      <c r="B2557" t="s">
        <v>545</v>
      </c>
      <c r="C2557" t="s">
        <v>8</v>
      </c>
      <c r="D2557" s="4">
        <v>84</v>
      </c>
      <c r="E2557" s="4"/>
      <c r="F2557">
        <v>74</v>
      </c>
      <c r="H2557" t="str">
        <f t="shared" si="39"/>
        <v>2023-02</v>
      </c>
      <c r="I2557" t="str">
        <f>_xlfn.XLOOKUP(Table1[[#This Row],[Customer_ID]],Customers!$A$2:$A$30,Customers!$C$2:$C$30,"Not found")</f>
        <v>Carries forward</v>
      </c>
    </row>
    <row r="2558" spans="1:9">
      <c r="A2558" s="9">
        <v>44964</v>
      </c>
      <c r="B2558" t="s">
        <v>545</v>
      </c>
      <c r="C2558" t="s">
        <v>8</v>
      </c>
      <c r="D2558" s="4">
        <v>740</v>
      </c>
      <c r="E2558" s="4"/>
      <c r="F2558">
        <v>74</v>
      </c>
      <c r="H2558" t="str">
        <f t="shared" si="39"/>
        <v>2023-02</v>
      </c>
      <c r="I2558" t="str">
        <f>_xlfn.XLOOKUP(Table1[[#This Row],[Customer_ID]],Customers!$A$2:$A$30,Customers!$C$2:$C$30,"Not found")</f>
        <v>Carries forward</v>
      </c>
    </row>
    <row r="2559" spans="1:9">
      <c r="A2559" s="9">
        <v>44968</v>
      </c>
      <c r="B2559" t="s">
        <v>545</v>
      </c>
      <c r="C2559" t="s">
        <v>8</v>
      </c>
      <c r="D2559" s="4">
        <v>164</v>
      </c>
      <c r="E2559" s="4"/>
      <c r="F2559">
        <v>74</v>
      </c>
      <c r="H2559" t="str">
        <f t="shared" ref="H2559:H2622" si="40">IF(A2559="","",TEXT(A2559,"yyyy-mm"))</f>
        <v>2023-02</v>
      </c>
      <c r="I2559" t="str">
        <f>_xlfn.XLOOKUP(Table1[[#This Row],[Customer_ID]],Customers!$A$2:$A$30,Customers!$C$2:$C$30,"Not found")</f>
        <v>Carries forward</v>
      </c>
    </row>
    <row r="2560" spans="1:9">
      <c r="A2560" s="9">
        <v>44975</v>
      </c>
      <c r="B2560" t="s">
        <v>545</v>
      </c>
      <c r="C2560" t="s">
        <v>8</v>
      </c>
      <c r="D2560" s="4">
        <v>740</v>
      </c>
      <c r="E2560" s="4"/>
      <c r="F2560">
        <v>74</v>
      </c>
      <c r="H2560" t="str">
        <f t="shared" si="40"/>
        <v>2023-02</v>
      </c>
      <c r="I2560" t="str">
        <f>_xlfn.XLOOKUP(Table1[[#This Row],[Customer_ID]],Customers!$A$2:$A$30,Customers!$C$2:$C$30,"Not found")</f>
        <v>Carries forward</v>
      </c>
    </row>
    <row r="2561" spans="1:9">
      <c r="A2561" s="9">
        <v>44977</v>
      </c>
      <c r="B2561" t="s">
        <v>545</v>
      </c>
      <c r="C2561" t="s">
        <v>8</v>
      </c>
      <c r="D2561" s="4">
        <v>62</v>
      </c>
      <c r="E2561" s="4"/>
      <c r="F2561">
        <v>74</v>
      </c>
      <c r="H2561" t="str">
        <f t="shared" si="40"/>
        <v>2023-02</v>
      </c>
      <c r="I2561" t="str">
        <f>_xlfn.XLOOKUP(Table1[[#This Row],[Customer_ID]],Customers!$A$2:$A$30,Customers!$C$2:$C$30,"Not found")</f>
        <v>Carries forward</v>
      </c>
    </row>
    <row r="2562" spans="1:9">
      <c r="A2562" s="9">
        <v>44981</v>
      </c>
      <c r="B2562" t="s">
        <v>545</v>
      </c>
      <c r="C2562" t="s">
        <v>8</v>
      </c>
      <c r="D2562" s="4">
        <v>84</v>
      </c>
      <c r="E2562" s="4"/>
      <c r="F2562">
        <v>74</v>
      </c>
      <c r="H2562" t="str">
        <f t="shared" si="40"/>
        <v>2023-02</v>
      </c>
      <c r="I2562" t="str">
        <f>_xlfn.XLOOKUP(Table1[[#This Row],[Customer_ID]],Customers!$A$2:$A$30,Customers!$C$2:$C$30,"Not found")</f>
        <v>Carries forward</v>
      </c>
    </row>
    <row r="2563" spans="1:9">
      <c r="A2563" s="9">
        <v>44985</v>
      </c>
      <c r="B2563" t="s">
        <v>545</v>
      </c>
      <c r="C2563" t="s">
        <v>8</v>
      </c>
      <c r="D2563" s="4">
        <v>120</v>
      </c>
      <c r="E2563" s="4"/>
      <c r="F2563">
        <v>74</v>
      </c>
      <c r="H2563" t="str">
        <f t="shared" si="40"/>
        <v>2023-02</v>
      </c>
      <c r="I2563" t="str">
        <f>_xlfn.XLOOKUP(Table1[[#This Row],[Customer_ID]],Customers!$A$2:$A$30,Customers!$C$2:$C$30,"Not found")</f>
        <v>Carries forward</v>
      </c>
    </row>
    <row r="2564" spans="1:9">
      <c r="A2564" s="9">
        <v>44987</v>
      </c>
      <c r="B2564" t="s">
        <v>545</v>
      </c>
      <c r="C2564" t="s">
        <v>8</v>
      </c>
      <c r="D2564" s="4">
        <v>350</v>
      </c>
      <c r="E2564" s="4">
        <v>5006</v>
      </c>
      <c r="F2564">
        <v>74</v>
      </c>
      <c r="G2564" t="s">
        <v>560</v>
      </c>
      <c r="H2564" t="str">
        <f t="shared" si="40"/>
        <v>2023-03</v>
      </c>
      <c r="I2564" t="str">
        <f>_xlfn.XLOOKUP(Table1[[#This Row],[Customer_ID]],Customers!$A$2:$A$30,Customers!$C$2:$C$30,"Not found")</f>
        <v>Carries forward</v>
      </c>
    </row>
    <row r="2565" spans="1:9">
      <c r="A2565" s="9">
        <v>44987</v>
      </c>
      <c r="B2565" t="s">
        <v>545</v>
      </c>
      <c r="C2565" t="s">
        <v>8</v>
      </c>
      <c r="D2565" s="4">
        <v>41</v>
      </c>
      <c r="E2565" s="4"/>
      <c r="F2565">
        <v>74</v>
      </c>
      <c r="H2565" t="str">
        <f t="shared" si="40"/>
        <v>2023-03</v>
      </c>
      <c r="I2565" t="str">
        <f>_xlfn.XLOOKUP(Table1[[#This Row],[Customer_ID]],Customers!$A$2:$A$30,Customers!$C$2:$C$30,"Not found")</f>
        <v>Carries forward</v>
      </c>
    </row>
    <row r="2566" spans="1:9">
      <c r="A2566" s="9">
        <v>44991</v>
      </c>
      <c r="B2566" t="s">
        <v>545</v>
      </c>
      <c r="C2566" t="s">
        <v>8</v>
      </c>
      <c r="D2566" s="4">
        <v>181</v>
      </c>
      <c r="E2566" s="4"/>
      <c r="F2566">
        <v>74</v>
      </c>
      <c r="H2566" t="str">
        <f t="shared" si="40"/>
        <v>2023-03</v>
      </c>
      <c r="I2566" t="str">
        <f>_xlfn.XLOOKUP(Table1[[#This Row],[Customer_ID]],Customers!$A$2:$A$30,Customers!$C$2:$C$30,"Not found")</f>
        <v>Carries forward</v>
      </c>
    </row>
    <row r="2567" spans="1:9">
      <c r="A2567" s="9">
        <v>44991</v>
      </c>
      <c r="B2567" t="s">
        <v>545</v>
      </c>
      <c r="C2567" t="s">
        <v>8</v>
      </c>
      <c r="D2567" s="4">
        <v>120</v>
      </c>
      <c r="E2567" s="4"/>
      <c r="F2567">
        <v>74</v>
      </c>
      <c r="H2567" t="str">
        <f t="shared" si="40"/>
        <v>2023-03</v>
      </c>
      <c r="I2567" t="str">
        <f>_xlfn.XLOOKUP(Table1[[#This Row],[Customer_ID]],Customers!$A$2:$A$30,Customers!$C$2:$C$30,"Not found")</f>
        <v>Carries forward</v>
      </c>
    </row>
    <row r="2568" spans="1:9">
      <c r="A2568" s="9">
        <v>44997</v>
      </c>
      <c r="B2568" t="s">
        <v>545</v>
      </c>
      <c r="C2568" t="s">
        <v>8</v>
      </c>
      <c r="D2568" s="4">
        <v>320</v>
      </c>
      <c r="E2568" s="4">
        <v>5668</v>
      </c>
      <c r="F2568">
        <v>74</v>
      </c>
      <c r="G2568" t="s">
        <v>561</v>
      </c>
      <c r="H2568" t="str">
        <f t="shared" si="40"/>
        <v>2023-03</v>
      </c>
      <c r="I2568" t="str">
        <f>_xlfn.XLOOKUP(Table1[[#This Row],[Customer_ID]],Customers!$A$2:$A$30,Customers!$C$2:$C$30,"Not found")</f>
        <v>Carries forward</v>
      </c>
    </row>
    <row r="2569" spans="1:9">
      <c r="A2569" s="9">
        <v>45010</v>
      </c>
      <c r="B2569" t="s">
        <v>545</v>
      </c>
      <c r="C2569" t="s">
        <v>8</v>
      </c>
      <c r="D2569" s="4">
        <v>411</v>
      </c>
      <c r="E2569" s="4"/>
      <c r="F2569">
        <v>74</v>
      </c>
      <c r="H2569" t="str">
        <f t="shared" si="40"/>
        <v>2023-03</v>
      </c>
      <c r="I2569" t="str">
        <f>_xlfn.XLOOKUP(Table1[[#This Row],[Customer_ID]],Customers!$A$2:$A$30,Customers!$C$2:$C$30,"Not found")</f>
        <v>Carries forward</v>
      </c>
    </row>
    <row r="2570" spans="1:9">
      <c r="A2570" s="9">
        <v>45013</v>
      </c>
      <c r="B2570" t="s">
        <v>545</v>
      </c>
      <c r="C2570" t="s">
        <v>8</v>
      </c>
      <c r="D2570" s="4">
        <v>720</v>
      </c>
      <c r="E2570" s="4">
        <v>6799</v>
      </c>
      <c r="F2570">
        <v>74</v>
      </c>
      <c r="G2570" t="s">
        <v>562</v>
      </c>
      <c r="H2570" t="str">
        <f t="shared" si="40"/>
        <v>2023-03</v>
      </c>
      <c r="I2570" t="str">
        <f>_xlfn.XLOOKUP(Table1[[#This Row],[Customer_ID]],Customers!$A$2:$A$30,Customers!$C$2:$C$30,"Not found")</f>
        <v>Carries forward</v>
      </c>
    </row>
    <row r="2571" spans="1:9">
      <c r="A2571" s="9">
        <v>45022</v>
      </c>
      <c r="B2571" t="s">
        <v>545</v>
      </c>
      <c r="C2571" t="s">
        <v>8</v>
      </c>
      <c r="D2571" s="4">
        <v>31</v>
      </c>
      <c r="E2571" s="4">
        <v>6830</v>
      </c>
      <c r="F2571">
        <v>74</v>
      </c>
      <c r="G2571" t="s">
        <v>563</v>
      </c>
      <c r="H2571" t="str">
        <f t="shared" si="40"/>
        <v>2023-04</v>
      </c>
      <c r="I2571" t="str">
        <f>_xlfn.XLOOKUP(Table1[[#This Row],[Customer_ID]],Customers!$A$2:$A$30,Customers!$C$2:$C$30,"Not found")</f>
        <v>Carries forward</v>
      </c>
    </row>
    <row r="2572" spans="1:9">
      <c r="A2572" s="9">
        <v>44812</v>
      </c>
      <c r="B2572" t="s">
        <v>564</v>
      </c>
      <c r="C2572" t="s">
        <v>28</v>
      </c>
      <c r="D2572" s="4">
        <v>4427</v>
      </c>
      <c r="E2572" s="4">
        <v>4427</v>
      </c>
      <c r="F2572">
        <v>140</v>
      </c>
      <c r="G2572" t="s">
        <v>565</v>
      </c>
      <c r="H2572" t="str">
        <f t="shared" si="40"/>
        <v>2022-09</v>
      </c>
      <c r="I2572" t="str">
        <f>_xlfn.XLOOKUP(Table1[[#This Row],[Customer_ID]],Customers!$A$2:$A$30,Customers!$C$2:$C$30,"Not found")</f>
        <v>Mixed</v>
      </c>
    </row>
    <row r="2573" spans="1:9">
      <c r="A2573" s="9">
        <v>44812</v>
      </c>
      <c r="B2573" t="s">
        <v>564</v>
      </c>
      <c r="C2573" t="s">
        <v>14</v>
      </c>
      <c r="D2573" s="4">
        <v>4427</v>
      </c>
      <c r="E2573" s="4">
        <v>0</v>
      </c>
      <c r="F2573">
        <v>140</v>
      </c>
      <c r="G2573" t="s">
        <v>566</v>
      </c>
      <c r="H2573" t="str">
        <f t="shared" si="40"/>
        <v>2022-09</v>
      </c>
      <c r="I2573" t="str">
        <f>_xlfn.XLOOKUP(Table1[[#This Row],[Customer_ID]],Customers!$A$2:$A$30,Customers!$C$2:$C$30,"Not found")</f>
        <v>Mixed</v>
      </c>
    </row>
    <row r="2574" spans="1:9">
      <c r="A2574" s="9">
        <v>44815</v>
      </c>
      <c r="B2574" t="s">
        <v>564</v>
      </c>
      <c r="C2574" t="s">
        <v>8</v>
      </c>
      <c r="D2574" s="4">
        <v>771</v>
      </c>
      <c r="E2574" s="4"/>
      <c r="F2574">
        <v>140</v>
      </c>
      <c r="H2574" t="str">
        <f t="shared" si="40"/>
        <v>2022-09</v>
      </c>
      <c r="I2574" t="str">
        <f>_xlfn.XLOOKUP(Table1[[#This Row],[Customer_ID]],Customers!$A$2:$A$30,Customers!$C$2:$C$30,"Not found")</f>
        <v>Mixed</v>
      </c>
    </row>
    <row r="2575" spans="1:9">
      <c r="A2575" s="9">
        <v>44819</v>
      </c>
      <c r="B2575" t="s">
        <v>564</v>
      </c>
      <c r="C2575" t="s">
        <v>8</v>
      </c>
      <c r="D2575" s="4">
        <v>1391</v>
      </c>
      <c r="E2575" s="4"/>
      <c r="F2575">
        <v>140</v>
      </c>
      <c r="H2575" t="str">
        <f t="shared" si="40"/>
        <v>2022-09</v>
      </c>
      <c r="I2575" t="str">
        <f>_xlfn.XLOOKUP(Table1[[#This Row],[Customer_ID]],Customers!$A$2:$A$30,Customers!$C$2:$C$30,"Not found")</f>
        <v>Mixed</v>
      </c>
    </row>
    <row r="2576" spans="1:9">
      <c r="A2576" s="9">
        <v>44828</v>
      </c>
      <c r="B2576" t="s">
        <v>564</v>
      </c>
      <c r="C2576" t="s">
        <v>8</v>
      </c>
      <c r="D2576" s="4">
        <v>569</v>
      </c>
      <c r="E2576" s="4">
        <v>2731</v>
      </c>
      <c r="F2576">
        <v>140</v>
      </c>
      <c r="G2576" t="s">
        <v>567</v>
      </c>
      <c r="H2576" t="str">
        <f t="shared" si="40"/>
        <v>2022-09</v>
      </c>
      <c r="I2576" t="str">
        <f>_xlfn.XLOOKUP(Table1[[#This Row],[Customer_ID]],Customers!$A$2:$A$30,Customers!$C$2:$C$30,"Not found")</f>
        <v>Mixed</v>
      </c>
    </row>
    <row r="2577" spans="1:9">
      <c r="A2577" s="9">
        <v>44837</v>
      </c>
      <c r="B2577" t="s">
        <v>564</v>
      </c>
      <c r="C2577" t="s">
        <v>8</v>
      </c>
      <c r="D2577" s="4">
        <v>872</v>
      </c>
      <c r="E2577" s="4">
        <v>3603</v>
      </c>
      <c r="F2577">
        <v>140</v>
      </c>
      <c r="G2577" t="s">
        <v>568</v>
      </c>
      <c r="H2577" t="str">
        <f t="shared" si="40"/>
        <v>2022-10</v>
      </c>
      <c r="I2577" t="str">
        <f>_xlfn.XLOOKUP(Table1[[#This Row],[Customer_ID]],Customers!$A$2:$A$30,Customers!$C$2:$C$30,"Not found")</f>
        <v>Mixed</v>
      </c>
    </row>
    <row r="2578" spans="1:9">
      <c r="A2578" s="9">
        <v>44843</v>
      </c>
      <c r="B2578" t="s">
        <v>564</v>
      </c>
      <c r="C2578" t="s">
        <v>14</v>
      </c>
      <c r="D2578" s="4">
        <v>3000</v>
      </c>
      <c r="E2578" s="4">
        <v>603</v>
      </c>
      <c r="F2578">
        <v>140</v>
      </c>
      <c r="G2578" t="s">
        <v>569</v>
      </c>
      <c r="H2578" t="str">
        <f t="shared" si="40"/>
        <v>2022-10</v>
      </c>
      <c r="I2578" t="str">
        <f>_xlfn.XLOOKUP(Table1[[#This Row],[Customer_ID]],Customers!$A$2:$A$30,Customers!$C$2:$C$30,"Not found")</f>
        <v>Mixed</v>
      </c>
    </row>
    <row r="2579" spans="1:9">
      <c r="A2579" s="9">
        <v>44844</v>
      </c>
      <c r="B2579" t="s">
        <v>564</v>
      </c>
      <c r="C2579" t="s">
        <v>8</v>
      </c>
      <c r="D2579" s="4">
        <v>1971</v>
      </c>
      <c r="E2579" s="4"/>
      <c r="F2579">
        <v>140</v>
      </c>
      <c r="H2579" t="str">
        <f t="shared" si="40"/>
        <v>2022-10</v>
      </c>
      <c r="I2579" t="str">
        <f>_xlfn.XLOOKUP(Table1[[#This Row],[Customer_ID]],Customers!$A$2:$A$30,Customers!$C$2:$C$30,"Not found")</f>
        <v>Mixed</v>
      </c>
    </row>
    <row r="2580" spans="1:9">
      <c r="A2580" s="9">
        <v>44852</v>
      </c>
      <c r="B2580" t="s">
        <v>564</v>
      </c>
      <c r="C2580" t="s">
        <v>8</v>
      </c>
      <c r="D2580" s="4">
        <v>217</v>
      </c>
      <c r="E2580" s="4"/>
      <c r="F2580">
        <v>140</v>
      </c>
      <c r="H2580" t="str">
        <f t="shared" si="40"/>
        <v>2022-10</v>
      </c>
      <c r="I2580" t="str">
        <f>_xlfn.XLOOKUP(Table1[[#This Row],[Customer_ID]],Customers!$A$2:$A$30,Customers!$C$2:$C$30,"Not found")</f>
        <v>Mixed</v>
      </c>
    </row>
    <row r="2581" spans="1:9">
      <c r="A2581" s="9">
        <v>44853</v>
      </c>
      <c r="B2581" t="s">
        <v>564</v>
      </c>
      <c r="C2581" t="s">
        <v>8</v>
      </c>
      <c r="D2581" s="4">
        <v>5</v>
      </c>
      <c r="E2581" s="4"/>
      <c r="F2581">
        <v>140</v>
      </c>
      <c r="H2581" t="str">
        <f t="shared" si="40"/>
        <v>2022-10</v>
      </c>
      <c r="I2581" t="str">
        <f>_xlfn.XLOOKUP(Table1[[#This Row],[Customer_ID]],Customers!$A$2:$A$30,Customers!$C$2:$C$30,"Not found")</f>
        <v>Mixed</v>
      </c>
    </row>
    <row r="2582" spans="1:9">
      <c r="A2582" s="9">
        <v>44853</v>
      </c>
      <c r="B2582" t="s">
        <v>564</v>
      </c>
      <c r="C2582" t="s">
        <v>8</v>
      </c>
      <c r="D2582" s="4">
        <v>200</v>
      </c>
      <c r="E2582" s="4"/>
      <c r="F2582">
        <v>140</v>
      </c>
      <c r="H2582" t="str">
        <f t="shared" si="40"/>
        <v>2022-10</v>
      </c>
      <c r="I2582" t="str">
        <f>_xlfn.XLOOKUP(Table1[[#This Row],[Customer_ID]],Customers!$A$2:$A$30,Customers!$C$2:$C$30,"Not found")</f>
        <v>Mixed</v>
      </c>
    </row>
    <row r="2583" spans="1:9">
      <c r="A2583" s="9">
        <v>44853</v>
      </c>
      <c r="B2583" t="s">
        <v>564</v>
      </c>
      <c r="C2583" t="s">
        <v>8</v>
      </c>
      <c r="D2583" s="4">
        <v>100</v>
      </c>
      <c r="E2583" s="4"/>
      <c r="F2583">
        <v>140</v>
      </c>
      <c r="H2583" t="str">
        <f t="shared" si="40"/>
        <v>2022-10</v>
      </c>
      <c r="I2583" t="str">
        <f>_xlfn.XLOOKUP(Table1[[#This Row],[Customer_ID]],Customers!$A$2:$A$30,Customers!$C$2:$C$30,"Not found")</f>
        <v>Mixed</v>
      </c>
    </row>
    <row r="2584" spans="1:9">
      <c r="A2584" s="9">
        <v>44857</v>
      </c>
      <c r="B2584" t="s">
        <v>564</v>
      </c>
      <c r="C2584" t="s">
        <v>8</v>
      </c>
      <c r="D2584" s="4">
        <v>868</v>
      </c>
      <c r="E2584" s="4"/>
      <c r="F2584">
        <v>140</v>
      </c>
      <c r="H2584" t="str">
        <f t="shared" si="40"/>
        <v>2022-10</v>
      </c>
      <c r="I2584" t="str">
        <f>_xlfn.XLOOKUP(Table1[[#This Row],[Customer_ID]],Customers!$A$2:$A$30,Customers!$C$2:$C$30,"Not found")</f>
        <v>Mixed</v>
      </c>
    </row>
    <row r="2585" spans="1:9">
      <c r="A2585" s="9">
        <v>44859</v>
      </c>
      <c r="B2585" t="s">
        <v>564</v>
      </c>
      <c r="C2585" t="s">
        <v>8</v>
      </c>
      <c r="D2585" s="4">
        <v>363</v>
      </c>
      <c r="E2585" s="4"/>
      <c r="F2585">
        <v>140</v>
      </c>
      <c r="H2585" t="str">
        <f t="shared" si="40"/>
        <v>2022-10</v>
      </c>
      <c r="I2585" t="str">
        <f>_xlfn.XLOOKUP(Table1[[#This Row],[Customer_ID]],Customers!$A$2:$A$30,Customers!$C$2:$C$30,"Not found")</f>
        <v>Mixed</v>
      </c>
    </row>
    <row r="2586" spans="1:9">
      <c r="A2586" s="9">
        <v>44861</v>
      </c>
      <c r="B2586" t="s">
        <v>564</v>
      </c>
      <c r="C2586" t="s">
        <v>8</v>
      </c>
      <c r="D2586" s="4">
        <v>60</v>
      </c>
      <c r="E2586" s="4"/>
      <c r="F2586">
        <v>140</v>
      </c>
      <c r="H2586" t="str">
        <f t="shared" si="40"/>
        <v>2022-10</v>
      </c>
      <c r="I2586" t="str">
        <f>_xlfn.XLOOKUP(Table1[[#This Row],[Customer_ID]],Customers!$A$2:$A$30,Customers!$C$2:$C$30,"Not found")</f>
        <v>Mixed</v>
      </c>
    </row>
    <row r="2587" spans="1:9">
      <c r="A2587" s="9">
        <v>44862</v>
      </c>
      <c r="B2587" t="s">
        <v>564</v>
      </c>
      <c r="C2587" t="s">
        <v>8</v>
      </c>
      <c r="D2587" s="4">
        <v>520</v>
      </c>
      <c r="E2587" s="4"/>
      <c r="F2587">
        <v>140</v>
      </c>
      <c r="H2587" t="str">
        <f t="shared" si="40"/>
        <v>2022-10</v>
      </c>
      <c r="I2587" t="str">
        <f>_xlfn.XLOOKUP(Table1[[#This Row],[Customer_ID]],Customers!$A$2:$A$30,Customers!$C$2:$C$30,"Not found")</f>
        <v>Mixed</v>
      </c>
    </row>
    <row r="2588" spans="1:9">
      <c r="A2588" s="9">
        <v>44864</v>
      </c>
      <c r="B2588" t="s">
        <v>564</v>
      </c>
      <c r="C2588" t="s">
        <v>8</v>
      </c>
      <c r="D2588" s="4">
        <v>882</v>
      </c>
      <c r="E2588" s="4"/>
      <c r="F2588">
        <v>140</v>
      </c>
      <c r="H2588" t="str">
        <f t="shared" si="40"/>
        <v>2022-10</v>
      </c>
      <c r="I2588" t="str">
        <f>_xlfn.XLOOKUP(Table1[[#This Row],[Customer_ID]],Customers!$A$2:$A$30,Customers!$C$2:$C$30,"Not found")</f>
        <v>Mixed</v>
      </c>
    </row>
    <row r="2589" spans="1:9">
      <c r="A2589" s="9">
        <v>44864</v>
      </c>
      <c r="B2589" t="s">
        <v>564</v>
      </c>
      <c r="C2589" t="s">
        <v>8</v>
      </c>
      <c r="D2589" s="4">
        <v>45</v>
      </c>
      <c r="E2589" s="4"/>
      <c r="F2589">
        <v>140</v>
      </c>
      <c r="H2589" t="str">
        <f t="shared" si="40"/>
        <v>2022-10</v>
      </c>
      <c r="I2589" t="str">
        <f>_xlfn.XLOOKUP(Table1[[#This Row],[Customer_ID]],Customers!$A$2:$A$30,Customers!$C$2:$C$30,"Not found")</f>
        <v>Mixed</v>
      </c>
    </row>
    <row r="2590" spans="1:9">
      <c r="A2590" s="9">
        <v>44866</v>
      </c>
      <c r="B2590" t="s">
        <v>564</v>
      </c>
      <c r="C2590" t="s">
        <v>8</v>
      </c>
      <c r="D2590" s="4">
        <v>315</v>
      </c>
      <c r="E2590" s="4"/>
      <c r="F2590">
        <v>140</v>
      </c>
      <c r="H2590" t="str">
        <f t="shared" si="40"/>
        <v>2022-11</v>
      </c>
      <c r="I2590" t="str">
        <f>_xlfn.XLOOKUP(Table1[[#This Row],[Customer_ID]],Customers!$A$2:$A$30,Customers!$C$2:$C$30,"Not found")</f>
        <v>Mixed</v>
      </c>
    </row>
    <row r="2591" spans="1:9">
      <c r="A2591" s="9">
        <v>44866</v>
      </c>
      <c r="B2591" t="s">
        <v>564</v>
      </c>
      <c r="C2591" t="s">
        <v>22</v>
      </c>
      <c r="D2591" s="4">
        <v>-1</v>
      </c>
      <c r="E2591" s="4">
        <v>6148</v>
      </c>
      <c r="F2591">
        <v>140</v>
      </c>
      <c r="G2591" t="s">
        <v>570</v>
      </c>
      <c r="H2591" t="str">
        <f t="shared" si="40"/>
        <v>2022-11</v>
      </c>
      <c r="I2591" t="str">
        <f>_xlfn.XLOOKUP(Table1[[#This Row],[Customer_ID]],Customers!$A$2:$A$30,Customers!$C$2:$C$30,"Not found")</f>
        <v>Mixed</v>
      </c>
    </row>
    <row r="2592" spans="1:9">
      <c r="A2592" s="9">
        <v>44871</v>
      </c>
      <c r="B2592" t="s">
        <v>564</v>
      </c>
      <c r="C2592" t="s">
        <v>14</v>
      </c>
      <c r="D2592" s="4">
        <v>6000</v>
      </c>
      <c r="E2592" s="4">
        <v>148</v>
      </c>
      <c r="F2592">
        <v>140</v>
      </c>
      <c r="G2592" t="s">
        <v>571</v>
      </c>
      <c r="H2592" t="str">
        <f t="shared" si="40"/>
        <v>2022-11</v>
      </c>
      <c r="I2592" t="str">
        <f>_xlfn.XLOOKUP(Table1[[#This Row],[Customer_ID]],Customers!$A$2:$A$30,Customers!$C$2:$C$30,"Not found")</f>
        <v>Mixed</v>
      </c>
    </row>
    <row r="2593" spans="1:9">
      <c r="A2593" s="9">
        <v>44873</v>
      </c>
      <c r="B2593" t="s">
        <v>564</v>
      </c>
      <c r="C2593" t="s">
        <v>8</v>
      </c>
      <c r="D2593" s="4">
        <v>3163</v>
      </c>
      <c r="E2593" s="4"/>
      <c r="F2593">
        <v>140</v>
      </c>
      <c r="H2593" t="str">
        <f t="shared" si="40"/>
        <v>2022-11</v>
      </c>
      <c r="I2593" t="str">
        <f>_xlfn.XLOOKUP(Table1[[#This Row],[Customer_ID]],Customers!$A$2:$A$30,Customers!$C$2:$C$30,"Not found")</f>
        <v>Mixed</v>
      </c>
    </row>
    <row r="2594" spans="1:9">
      <c r="A2594" s="9">
        <v>44874</v>
      </c>
      <c r="B2594" t="s">
        <v>564</v>
      </c>
      <c r="C2594" t="s">
        <v>8</v>
      </c>
      <c r="D2594" s="4">
        <v>570</v>
      </c>
      <c r="E2594" s="4"/>
      <c r="F2594">
        <v>140</v>
      </c>
      <c r="H2594" t="str">
        <f t="shared" si="40"/>
        <v>2022-11</v>
      </c>
      <c r="I2594" t="str">
        <f>_xlfn.XLOOKUP(Table1[[#This Row],[Customer_ID]],Customers!$A$2:$A$30,Customers!$C$2:$C$30,"Not found")</f>
        <v>Mixed</v>
      </c>
    </row>
    <row r="2595" spans="1:9">
      <c r="A2595" s="9">
        <v>44881</v>
      </c>
      <c r="B2595" t="s">
        <v>564</v>
      </c>
      <c r="C2595" t="s">
        <v>8</v>
      </c>
      <c r="D2595" s="4">
        <v>725</v>
      </c>
      <c r="E2595" s="4"/>
      <c r="F2595">
        <v>140</v>
      </c>
      <c r="H2595" t="str">
        <f t="shared" si="40"/>
        <v>2022-11</v>
      </c>
      <c r="I2595" t="str">
        <f>_xlfn.XLOOKUP(Table1[[#This Row],[Customer_ID]],Customers!$A$2:$A$30,Customers!$C$2:$C$30,"Not found")</f>
        <v>Mixed</v>
      </c>
    </row>
    <row r="2596" spans="1:9">
      <c r="A2596" s="9">
        <v>44885</v>
      </c>
      <c r="B2596" t="s">
        <v>564</v>
      </c>
      <c r="C2596" t="s">
        <v>8</v>
      </c>
      <c r="D2596" s="4">
        <v>220</v>
      </c>
      <c r="E2596" s="4"/>
      <c r="F2596">
        <v>140</v>
      </c>
      <c r="H2596" t="str">
        <f t="shared" si="40"/>
        <v>2022-11</v>
      </c>
      <c r="I2596" t="str">
        <f>_xlfn.XLOOKUP(Table1[[#This Row],[Customer_ID]],Customers!$A$2:$A$30,Customers!$C$2:$C$30,"Not found")</f>
        <v>Mixed</v>
      </c>
    </row>
    <row r="2597" spans="1:9">
      <c r="A2597" s="9">
        <v>44885</v>
      </c>
      <c r="B2597" t="s">
        <v>564</v>
      </c>
      <c r="C2597" t="s">
        <v>8</v>
      </c>
      <c r="D2597" s="4">
        <v>176</v>
      </c>
      <c r="E2597" s="4"/>
      <c r="F2597">
        <v>140</v>
      </c>
      <c r="H2597" t="str">
        <f t="shared" si="40"/>
        <v>2022-11</v>
      </c>
      <c r="I2597" t="str">
        <f>_xlfn.XLOOKUP(Table1[[#This Row],[Customer_ID]],Customers!$A$2:$A$30,Customers!$C$2:$C$30,"Not found")</f>
        <v>Mixed</v>
      </c>
    </row>
    <row r="2598" spans="1:9">
      <c r="A2598" s="9">
        <v>44892</v>
      </c>
      <c r="B2598" t="s">
        <v>564</v>
      </c>
      <c r="C2598" t="s">
        <v>8</v>
      </c>
      <c r="D2598" s="4">
        <v>1593</v>
      </c>
      <c r="E2598" s="4">
        <v>6595</v>
      </c>
      <c r="F2598">
        <v>140</v>
      </c>
      <c r="G2598" t="s">
        <v>572</v>
      </c>
      <c r="H2598" t="str">
        <f t="shared" si="40"/>
        <v>2022-11</v>
      </c>
      <c r="I2598" t="str">
        <f>_xlfn.XLOOKUP(Table1[[#This Row],[Customer_ID]],Customers!$A$2:$A$30,Customers!$C$2:$C$30,"Not found")</f>
        <v>Mixed</v>
      </c>
    </row>
    <row r="2599" spans="1:9">
      <c r="A2599" s="9"/>
      <c r="B2599" t="s">
        <v>564</v>
      </c>
      <c r="C2599" t="s">
        <v>14</v>
      </c>
      <c r="D2599" s="4">
        <v>6500</v>
      </c>
      <c r="E2599" s="4">
        <v>95</v>
      </c>
      <c r="F2599">
        <v>140</v>
      </c>
      <c r="G2599" t="s">
        <v>573</v>
      </c>
      <c r="H2599" t="str">
        <f t="shared" si="40"/>
        <v/>
      </c>
      <c r="I2599" t="str">
        <f>_xlfn.XLOOKUP(Table1[[#This Row],[Customer_ID]],Customers!$A$2:$A$30,Customers!$C$2:$C$30,"Not found")</f>
        <v>Mixed</v>
      </c>
    </row>
    <row r="2600" spans="1:9">
      <c r="A2600" s="9">
        <v>44902</v>
      </c>
      <c r="B2600" t="s">
        <v>564</v>
      </c>
      <c r="C2600" t="s">
        <v>8</v>
      </c>
      <c r="D2600" s="4">
        <v>1286</v>
      </c>
      <c r="E2600" s="4"/>
      <c r="F2600">
        <v>140</v>
      </c>
      <c r="G2600" t="s">
        <v>574</v>
      </c>
      <c r="H2600" t="str">
        <f t="shared" si="40"/>
        <v>2022-12</v>
      </c>
      <c r="I2600" t="str">
        <f>_xlfn.XLOOKUP(Table1[[#This Row],[Customer_ID]],Customers!$A$2:$A$30,Customers!$C$2:$C$30,"Not found")</f>
        <v>Mixed</v>
      </c>
    </row>
    <row r="2601" spans="1:9">
      <c r="A2601" s="9">
        <v>44909</v>
      </c>
      <c r="B2601" t="s">
        <v>564</v>
      </c>
      <c r="C2601" t="s">
        <v>8</v>
      </c>
      <c r="D2601" s="4">
        <v>1973</v>
      </c>
      <c r="E2601" s="4"/>
      <c r="F2601">
        <v>140</v>
      </c>
      <c r="H2601" t="str">
        <f t="shared" si="40"/>
        <v>2022-12</v>
      </c>
      <c r="I2601" t="str">
        <f>_xlfn.XLOOKUP(Table1[[#This Row],[Customer_ID]],Customers!$A$2:$A$30,Customers!$C$2:$C$30,"Not found")</f>
        <v>Mixed</v>
      </c>
    </row>
    <row r="2602" spans="1:9">
      <c r="A2602" s="9">
        <v>44913</v>
      </c>
      <c r="B2602" t="s">
        <v>564</v>
      </c>
      <c r="C2602" t="s">
        <v>8</v>
      </c>
      <c r="D2602" s="4">
        <v>562</v>
      </c>
      <c r="E2602" s="4"/>
      <c r="F2602">
        <v>140</v>
      </c>
      <c r="H2602" t="str">
        <f t="shared" si="40"/>
        <v>2022-12</v>
      </c>
      <c r="I2602" t="str">
        <f>_xlfn.XLOOKUP(Table1[[#This Row],[Customer_ID]],Customers!$A$2:$A$30,Customers!$C$2:$C$30,"Not found")</f>
        <v>Mixed</v>
      </c>
    </row>
    <row r="2603" spans="1:9">
      <c r="A2603" s="9">
        <v>44917</v>
      </c>
      <c r="B2603" t="s">
        <v>564</v>
      </c>
      <c r="C2603" t="s">
        <v>8</v>
      </c>
      <c r="D2603" s="4">
        <v>276</v>
      </c>
      <c r="E2603" s="4"/>
      <c r="F2603">
        <v>140</v>
      </c>
      <c r="H2603" t="str">
        <f t="shared" si="40"/>
        <v>2022-12</v>
      </c>
      <c r="I2603" t="str">
        <f>_xlfn.XLOOKUP(Table1[[#This Row],[Customer_ID]],Customers!$A$2:$A$30,Customers!$C$2:$C$30,"Not found")</f>
        <v>Mixed</v>
      </c>
    </row>
    <row r="2604" spans="1:9">
      <c r="A2604" s="9">
        <v>44922</v>
      </c>
      <c r="B2604" t="s">
        <v>564</v>
      </c>
      <c r="C2604" t="s">
        <v>8</v>
      </c>
      <c r="D2604" s="4">
        <v>392</v>
      </c>
      <c r="E2604" s="4"/>
      <c r="F2604">
        <v>140</v>
      </c>
      <c r="H2604" t="str">
        <f t="shared" si="40"/>
        <v>2022-12</v>
      </c>
      <c r="I2604" t="str">
        <f>_xlfn.XLOOKUP(Table1[[#This Row],[Customer_ID]],Customers!$A$2:$A$30,Customers!$C$2:$C$30,"Not found")</f>
        <v>Mixed</v>
      </c>
    </row>
    <row r="2605" spans="1:9">
      <c r="A2605" s="9">
        <v>44927</v>
      </c>
      <c r="B2605" t="s">
        <v>564</v>
      </c>
      <c r="C2605" t="s">
        <v>8</v>
      </c>
      <c r="D2605" s="4">
        <v>2096</v>
      </c>
      <c r="E2605" s="4">
        <v>6680</v>
      </c>
      <c r="F2605">
        <v>140</v>
      </c>
      <c r="G2605" t="s">
        <v>575</v>
      </c>
      <c r="H2605" t="str">
        <f t="shared" si="40"/>
        <v>2023-01</v>
      </c>
      <c r="I2605" t="str">
        <f>_xlfn.XLOOKUP(Table1[[#This Row],[Customer_ID]],Customers!$A$2:$A$30,Customers!$C$2:$C$30,"Not found")</f>
        <v>Mixed</v>
      </c>
    </row>
    <row r="2606" spans="1:9">
      <c r="A2606" s="9">
        <v>44931</v>
      </c>
      <c r="B2606" t="s">
        <v>564</v>
      </c>
      <c r="C2606" t="s">
        <v>14</v>
      </c>
      <c r="D2606" s="4">
        <v>3000</v>
      </c>
      <c r="E2606" s="4">
        <v>3680</v>
      </c>
      <c r="F2606">
        <v>140</v>
      </c>
      <c r="G2606" t="s">
        <v>576</v>
      </c>
      <c r="H2606" t="str">
        <f t="shared" si="40"/>
        <v>2023-01</v>
      </c>
      <c r="I2606" t="str">
        <f>_xlfn.XLOOKUP(Table1[[#This Row],[Customer_ID]],Customers!$A$2:$A$30,Customers!$C$2:$C$30,"Not found")</f>
        <v>Mixed</v>
      </c>
    </row>
    <row r="2607" spans="1:9">
      <c r="A2607" s="9">
        <v>44931</v>
      </c>
      <c r="B2607" t="s">
        <v>564</v>
      </c>
      <c r="C2607" t="s">
        <v>14</v>
      </c>
      <c r="D2607" s="4">
        <v>500</v>
      </c>
      <c r="E2607" s="4">
        <v>3180</v>
      </c>
      <c r="F2607">
        <v>140</v>
      </c>
      <c r="G2607" t="s">
        <v>577</v>
      </c>
      <c r="H2607" t="str">
        <f t="shared" si="40"/>
        <v>2023-01</v>
      </c>
      <c r="I2607" t="str">
        <f>_xlfn.XLOOKUP(Table1[[#This Row],[Customer_ID]],Customers!$A$2:$A$30,Customers!$C$2:$C$30,"Not found")</f>
        <v>Mixed</v>
      </c>
    </row>
    <row r="2608" spans="1:9">
      <c r="A2608" s="9">
        <v>44931</v>
      </c>
      <c r="B2608" t="s">
        <v>564</v>
      </c>
      <c r="C2608" t="s">
        <v>8</v>
      </c>
      <c r="D2608" s="4">
        <v>117</v>
      </c>
      <c r="E2608" s="4"/>
      <c r="F2608">
        <v>140</v>
      </c>
      <c r="H2608" t="str">
        <f t="shared" si="40"/>
        <v>2023-01</v>
      </c>
      <c r="I2608" t="str">
        <f>_xlfn.XLOOKUP(Table1[[#This Row],[Customer_ID]],Customers!$A$2:$A$30,Customers!$C$2:$C$30,"Not found")</f>
        <v>Mixed</v>
      </c>
    </row>
    <row r="2609" spans="1:9">
      <c r="A2609" s="9">
        <v>44940</v>
      </c>
      <c r="B2609" t="s">
        <v>564</v>
      </c>
      <c r="C2609" t="s">
        <v>8</v>
      </c>
      <c r="D2609" s="4">
        <v>606</v>
      </c>
      <c r="E2609" s="4"/>
      <c r="F2609">
        <v>140</v>
      </c>
      <c r="H2609" t="str">
        <f t="shared" si="40"/>
        <v>2023-01</v>
      </c>
      <c r="I2609" t="str">
        <f>_xlfn.XLOOKUP(Table1[[#This Row],[Customer_ID]],Customers!$A$2:$A$30,Customers!$C$2:$C$30,"Not found")</f>
        <v>Mixed</v>
      </c>
    </row>
    <row r="2610" spans="1:9">
      <c r="A2610" s="9">
        <v>44942</v>
      </c>
      <c r="B2610" t="s">
        <v>564</v>
      </c>
      <c r="C2610" t="s">
        <v>8</v>
      </c>
      <c r="D2610" s="4">
        <v>90</v>
      </c>
      <c r="E2610" s="4"/>
      <c r="F2610">
        <v>140</v>
      </c>
      <c r="H2610" t="str">
        <f t="shared" si="40"/>
        <v>2023-01</v>
      </c>
      <c r="I2610" t="str">
        <f>_xlfn.XLOOKUP(Table1[[#This Row],[Customer_ID]],Customers!$A$2:$A$30,Customers!$C$2:$C$30,"Not found")</f>
        <v>Mixed</v>
      </c>
    </row>
    <row r="2611" spans="1:9">
      <c r="A2611" s="9">
        <v>44944</v>
      </c>
      <c r="B2611" t="s">
        <v>564</v>
      </c>
      <c r="C2611" t="s">
        <v>8</v>
      </c>
      <c r="D2611" s="4">
        <v>967</v>
      </c>
      <c r="E2611" s="4"/>
      <c r="F2611">
        <v>140</v>
      </c>
      <c r="H2611" t="str">
        <f t="shared" si="40"/>
        <v>2023-01</v>
      </c>
      <c r="I2611" t="str">
        <f>_xlfn.XLOOKUP(Table1[[#This Row],[Customer_ID]],Customers!$A$2:$A$30,Customers!$C$2:$C$30,"Not found")</f>
        <v>Mixed</v>
      </c>
    </row>
    <row r="2612" spans="1:9">
      <c r="A2612" s="9">
        <v>44947</v>
      </c>
      <c r="B2612" t="s">
        <v>564</v>
      </c>
      <c r="C2612" t="s">
        <v>8</v>
      </c>
      <c r="D2612" s="4">
        <v>439</v>
      </c>
      <c r="E2612" s="4"/>
      <c r="F2612">
        <v>140</v>
      </c>
      <c r="H2612" t="str">
        <f t="shared" si="40"/>
        <v>2023-01</v>
      </c>
      <c r="I2612" t="str">
        <f>_xlfn.XLOOKUP(Table1[[#This Row],[Customer_ID]],Customers!$A$2:$A$30,Customers!$C$2:$C$30,"Not found")</f>
        <v>Mixed</v>
      </c>
    </row>
    <row r="2613" spans="1:9">
      <c r="A2613" s="9">
        <v>44946</v>
      </c>
      <c r="B2613" t="s">
        <v>564</v>
      </c>
      <c r="C2613" t="s">
        <v>8</v>
      </c>
      <c r="D2613" s="4">
        <v>75</v>
      </c>
      <c r="E2613" s="4"/>
      <c r="F2613">
        <v>140</v>
      </c>
      <c r="H2613" t="str">
        <f t="shared" si="40"/>
        <v>2023-01</v>
      </c>
      <c r="I2613" t="str">
        <f>_xlfn.XLOOKUP(Table1[[#This Row],[Customer_ID]],Customers!$A$2:$A$30,Customers!$C$2:$C$30,"Not found")</f>
        <v>Mixed</v>
      </c>
    </row>
    <row r="2614" spans="1:9">
      <c r="A2614" s="9">
        <v>44950</v>
      </c>
      <c r="B2614" t="s">
        <v>564</v>
      </c>
      <c r="C2614" t="s">
        <v>8</v>
      </c>
      <c r="D2614" s="4">
        <v>141</v>
      </c>
      <c r="E2614" s="4"/>
      <c r="F2614">
        <v>140</v>
      </c>
      <c r="H2614" t="str">
        <f t="shared" si="40"/>
        <v>2023-01</v>
      </c>
      <c r="I2614" t="str">
        <f>_xlfn.XLOOKUP(Table1[[#This Row],[Customer_ID]],Customers!$A$2:$A$30,Customers!$C$2:$C$30,"Not found")</f>
        <v>Mixed</v>
      </c>
    </row>
    <row r="2615" spans="1:9">
      <c r="A2615" s="9">
        <v>44951</v>
      </c>
      <c r="B2615" t="s">
        <v>564</v>
      </c>
      <c r="C2615" t="s">
        <v>8</v>
      </c>
      <c r="D2615" s="4">
        <v>485</v>
      </c>
      <c r="E2615" s="4"/>
      <c r="F2615">
        <v>140</v>
      </c>
      <c r="H2615" t="str">
        <f t="shared" si="40"/>
        <v>2023-01</v>
      </c>
      <c r="I2615" t="str">
        <f>_xlfn.XLOOKUP(Table1[[#This Row],[Customer_ID]],Customers!$A$2:$A$30,Customers!$C$2:$C$30,"Not found")</f>
        <v>Mixed</v>
      </c>
    </row>
    <row r="2616" spans="1:9">
      <c r="A2616" s="9">
        <v>44952</v>
      </c>
      <c r="B2616" t="s">
        <v>564</v>
      </c>
      <c r="C2616" t="s">
        <v>8</v>
      </c>
      <c r="D2616" s="4">
        <v>300</v>
      </c>
      <c r="E2616" s="4"/>
      <c r="F2616">
        <v>140</v>
      </c>
      <c r="H2616" t="str">
        <f t="shared" si="40"/>
        <v>2023-01</v>
      </c>
      <c r="I2616" t="str">
        <f>_xlfn.XLOOKUP(Table1[[#This Row],[Customer_ID]],Customers!$A$2:$A$30,Customers!$C$2:$C$30,"Not found")</f>
        <v>Mixed</v>
      </c>
    </row>
    <row r="2617" spans="1:9">
      <c r="A2617" s="9">
        <v>44952</v>
      </c>
      <c r="B2617" t="s">
        <v>564</v>
      </c>
      <c r="C2617" t="s">
        <v>8</v>
      </c>
      <c r="D2617" s="4">
        <v>200</v>
      </c>
      <c r="E2617" s="4"/>
      <c r="F2617">
        <v>140</v>
      </c>
      <c r="G2617" t="s">
        <v>578</v>
      </c>
      <c r="H2617" t="str">
        <f t="shared" si="40"/>
        <v>2023-01</v>
      </c>
      <c r="I2617" t="str">
        <f>_xlfn.XLOOKUP(Table1[[#This Row],[Customer_ID]],Customers!$A$2:$A$30,Customers!$C$2:$C$30,"Not found")</f>
        <v>Mixed</v>
      </c>
    </row>
    <row r="2618" spans="1:9">
      <c r="A2618" s="9">
        <v>44954</v>
      </c>
      <c r="B2618" t="s">
        <v>564</v>
      </c>
      <c r="C2618" t="s">
        <v>8</v>
      </c>
      <c r="D2618" s="4">
        <v>45</v>
      </c>
      <c r="E2618" s="4"/>
      <c r="F2618">
        <v>140</v>
      </c>
      <c r="H2618" t="str">
        <f t="shared" si="40"/>
        <v>2023-01</v>
      </c>
      <c r="I2618" t="str">
        <f>_xlfn.XLOOKUP(Table1[[#This Row],[Customer_ID]],Customers!$A$2:$A$30,Customers!$C$2:$C$30,"Not found")</f>
        <v>Mixed</v>
      </c>
    </row>
    <row r="2619" spans="1:9">
      <c r="A2619" s="9">
        <v>44955</v>
      </c>
      <c r="B2619" t="s">
        <v>564</v>
      </c>
      <c r="C2619" t="s">
        <v>8</v>
      </c>
      <c r="D2619" s="4">
        <v>50</v>
      </c>
      <c r="E2619" s="4"/>
      <c r="F2619">
        <v>140</v>
      </c>
      <c r="H2619" t="str">
        <f t="shared" si="40"/>
        <v>2023-01</v>
      </c>
      <c r="I2619" t="str">
        <f>_xlfn.XLOOKUP(Table1[[#This Row],[Customer_ID]],Customers!$A$2:$A$30,Customers!$C$2:$C$30,"Not found")</f>
        <v>Mixed</v>
      </c>
    </row>
    <row r="2620" spans="1:9">
      <c r="A2620" s="9">
        <v>44957</v>
      </c>
      <c r="B2620" t="s">
        <v>564</v>
      </c>
      <c r="C2620" t="s">
        <v>8</v>
      </c>
      <c r="D2620" s="4">
        <v>297</v>
      </c>
      <c r="E2620" s="4"/>
      <c r="F2620">
        <v>140</v>
      </c>
      <c r="H2620" t="str">
        <f t="shared" si="40"/>
        <v>2023-01</v>
      </c>
      <c r="I2620" t="str">
        <f>_xlfn.XLOOKUP(Table1[[#This Row],[Customer_ID]],Customers!$A$2:$A$30,Customers!$C$2:$C$30,"Not found")</f>
        <v>Mixed</v>
      </c>
    </row>
    <row r="2621" spans="1:9">
      <c r="A2621" s="9">
        <v>44957</v>
      </c>
      <c r="B2621" t="s">
        <v>564</v>
      </c>
      <c r="C2621" t="s">
        <v>22</v>
      </c>
      <c r="D2621" s="4">
        <v>11</v>
      </c>
      <c r="E2621" s="4">
        <v>7003</v>
      </c>
      <c r="F2621">
        <v>140</v>
      </c>
      <c r="G2621" t="s">
        <v>579</v>
      </c>
      <c r="H2621" t="str">
        <f t="shared" si="40"/>
        <v>2023-01</v>
      </c>
      <c r="I2621" t="str">
        <f>_xlfn.XLOOKUP(Table1[[#This Row],[Customer_ID]],Customers!$A$2:$A$30,Customers!$C$2:$C$30,"Not found")</f>
        <v>Mixed</v>
      </c>
    </row>
    <row r="2622" spans="1:9">
      <c r="A2622" s="9"/>
      <c r="B2622" t="s">
        <v>564</v>
      </c>
      <c r="C2622" t="s">
        <v>14</v>
      </c>
      <c r="D2622" s="4">
        <v>5000</v>
      </c>
      <c r="E2622" s="4">
        <v>2003</v>
      </c>
      <c r="F2622">
        <v>140</v>
      </c>
      <c r="G2622" t="s">
        <v>580</v>
      </c>
      <c r="H2622" t="str">
        <f t="shared" si="40"/>
        <v/>
      </c>
      <c r="I2622" t="str">
        <f>_xlfn.XLOOKUP(Table1[[#This Row],[Customer_ID]],Customers!$A$2:$A$30,Customers!$C$2:$C$30,"Not found")</f>
        <v>Mixed</v>
      </c>
    </row>
    <row r="2623" spans="1:9">
      <c r="A2623" s="9">
        <v>44969</v>
      </c>
      <c r="B2623" t="s">
        <v>564</v>
      </c>
      <c r="C2623" t="s">
        <v>8</v>
      </c>
      <c r="D2623" s="4">
        <v>1473</v>
      </c>
      <c r="E2623" s="4"/>
      <c r="F2623">
        <v>140</v>
      </c>
      <c r="H2623" t="str">
        <f t="shared" ref="H2623:H2686" si="41">IF(A2623="","",TEXT(A2623,"yyyy-mm"))</f>
        <v>2023-02</v>
      </c>
      <c r="I2623" t="str">
        <f>_xlfn.XLOOKUP(Table1[[#This Row],[Customer_ID]],Customers!$A$2:$A$30,Customers!$C$2:$C$30,"Not found")</f>
        <v>Mixed</v>
      </c>
    </row>
    <row r="2624" spans="1:9">
      <c r="A2624" s="9">
        <v>44970</v>
      </c>
      <c r="B2624" t="s">
        <v>564</v>
      </c>
      <c r="C2624" t="s">
        <v>8</v>
      </c>
      <c r="D2624" s="4">
        <v>120</v>
      </c>
      <c r="E2624" s="4"/>
      <c r="F2624">
        <v>140</v>
      </c>
      <c r="H2624" t="str">
        <f t="shared" si="41"/>
        <v>2023-02</v>
      </c>
      <c r="I2624" t="str">
        <f>_xlfn.XLOOKUP(Table1[[#This Row],[Customer_ID]],Customers!$A$2:$A$30,Customers!$C$2:$C$30,"Not found")</f>
        <v>Mixed</v>
      </c>
    </row>
    <row r="2625" spans="1:9">
      <c r="A2625" s="9">
        <v>44970</v>
      </c>
      <c r="B2625" t="s">
        <v>564</v>
      </c>
      <c r="C2625" t="s">
        <v>8</v>
      </c>
      <c r="D2625" s="4">
        <v>182</v>
      </c>
      <c r="E2625" s="4"/>
      <c r="F2625">
        <v>140</v>
      </c>
      <c r="H2625" t="str">
        <f t="shared" si="41"/>
        <v>2023-02</v>
      </c>
      <c r="I2625" t="str">
        <f>_xlfn.XLOOKUP(Table1[[#This Row],[Customer_ID]],Customers!$A$2:$A$30,Customers!$C$2:$C$30,"Not found")</f>
        <v>Mixed</v>
      </c>
    </row>
    <row r="2626" spans="1:9">
      <c r="A2626" s="9">
        <v>44975</v>
      </c>
      <c r="B2626" t="s">
        <v>564</v>
      </c>
      <c r="C2626" t="s">
        <v>8</v>
      </c>
      <c r="D2626" s="4">
        <v>417</v>
      </c>
      <c r="E2626" s="4"/>
      <c r="F2626">
        <v>140</v>
      </c>
      <c r="H2626" t="str">
        <f t="shared" si="41"/>
        <v>2023-02</v>
      </c>
      <c r="I2626" t="str">
        <f>_xlfn.XLOOKUP(Table1[[#This Row],[Customer_ID]],Customers!$A$2:$A$30,Customers!$C$2:$C$30,"Not found")</f>
        <v>Mixed</v>
      </c>
    </row>
    <row r="2627" spans="1:9">
      <c r="A2627" s="9">
        <v>44977</v>
      </c>
      <c r="B2627" t="s">
        <v>564</v>
      </c>
      <c r="C2627" t="s">
        <v>8</v>
      </c>
      <c r="D2627" s="4">
        <v>870</v>
      </c>
      <c r="E2627" s="4"/>
      <c r="F2627">
        <v>140</v>
      </c>
      <c r="H2627" t="str">
        <f t="shared" si="41"/>
        <v>2023-02</v>
      </c>
      <c r="I2627" t="str">
        <f>_xlfn.XLOOKUP(Table1[[#This Row],[Customer_ID]],Customers!$A$2:$A$30,Customers!$C$2:$C$30,"Not found")</f>
        <v>Mixed</v>
      </c>
    </row>
    <row r="2628" spans="1:9">
      <c r="A2628" s="9">
        <v>44979</v>
      </c>
      <c r="B2628" t="s">
        <v>564</v>
      </c>
      <c r="C2628" t="s">
        <v>8</v>
      </c>
      <c r="D2628" s="4">
        <v>178</v>
      </c>
      <c r="E2628" s="4"/>
      <c r="F2628">
        <v>140</v>
      </c>
      <c r="H2628" t="str">
        <f t="shared" si="41"/>
        <v>2023-02</v>
      </c>
      <c r="I2628" t="str">
        <f>_xlfn.XLOOKUP(Table1[[#This Row],[Customer_ID]],Customers!$A$2:$A$30,Customers!$C$2:$C$30,"Not found")</f>
        <v>Mixed</v>
      </c>
    </row>
    <row r="2629" spans="1:9">
      <c r="A2629" s="9">
        <v>44980</v>
      </c>
      <c r="B2629" t="s">
        <v>564</v>
      </c>
      <c r="C2629" t="s">
        <v>8</v>
      </c>
      <c r="D2629" s="4">
        <v>40</v>
      </c>
      <c r="E2629" s="4"/>
      <c r="F2629">
        <v>140</v>
      </c>
      <c r="H2629" t="str">
        <f t="shared" si="41"/>
        <v>2023-02</v>
      </c>
      <c r="I2629" t="str">
        <f>_xlfn.XLOOKUP(Table1[[#This Row],[Customer_ID]],Customers!$A$2:$A$30,Customers!$C$2:$C$30,"Not found")</f>
        <v>Mixed</v>
      </c>
    </row>
    <row r="2630" spans="1:9">
      <c r="A2630" s="9">
        <v>44982</v>
      </c>
      <c r="B2630" t="s">
        <v>564</v>
      </c>
      <c r="C2630" t="s">
        <v>8</v>
      </c>
      <c r="D2630" s="4">
        <v>990</v>
      </c>
      <c r="E2630" s="4"/>
      <c r="F2630">
        <v>140</v>
      </c>
      <c r="H2630" t="str">
        <f t="shared" si="41"/>
        <v>2023-02</v>
      </c>
      <c r="I2630" t="str">
        <f>_xlfn.XLOOKUP(Table1[[#This Row],[Customer_ID]],Customers!$A$2:$A$30,Customers!$C$2:$C$30,"Not found")</f>
        <v>Mixed</v>
      </c>
    </row>
    <row r="2631" spans="1:9">
      <c r="A2631" s="9">
        <v>44983</v>
      </c>
      <c r="B2631" t="s">
        <v>564</v>
      </c>
      <c r="C2631" t="s">
        <v>8</v>
      </c>
      <c r="D2631" s="4">
        <v>214</v>
      </c>
      <c r="E2631" s="4"/>
      <c r="F2631">
        <v>140</v>
      </c>
      <c r="H2631" t="str">
        <f t="shared" si="41"/>
        <v>2023-02</v>
      </c>
      <c r="I2631" t="str">
        <f>_xlfn.XLOOKUP(Table1[[#This Row],[Customer_ID]],Customers!$A$2:$A$30,Customers!$C$2:$C$30,"Not found")</f>
        <v>Mixed</v>
      </c>
    </row>
    <row r="2632" spans="1:9">
      <c r="A2632" s="9">
        <v>44984</v>
      </c>
      <c r="B2632" t="s">
        <v>564</v>
      </c>
      <c r="C2632" t="s">
        <v>8</v>
      </c>
      <c r="D2632" s="4">
        <v>80</v>
      </c>
      <c r="E2632" s="4"/>
      <c r="F2632">
        <v>140</v>
      </c>
      <c r="H2632" t="str">
        <f t="shared" si="41"/>
        <v>2023-02</v>
      </c>
      <c r="I2632" t="str">
        <f>_xlfn.XLOOKUP(Table1[[#This Row],[Customer_ID]],Customers!$A$2:$A$30,Customers!$C$2:$C$30,"Not found")</f>
        <v>Mixed</v>
      </c>
    </row>
    <row r="2633" spans="1:9">
      <c r="A2633" s="9">
        <v>44990</v>
      </c>
      <c r="B2633" t="s">
        <v>564</v>
      </c>
      <c r="C2633" t="s">
        <v>8</v>
      </c>
      <c r="D2633" s="4">
        <v>912</v>
      </c>
      <c r="E2633" s="4"/>
      <c r="F2633">
        <v>140</v>
      </c>
      <c r="H2633" t="str">
        <f t="shared" si="41"/>
        <v>2023-03</v>
      </c>
      <c r="I2633" t="str">
        <f>_xlfn.XLOOKUP(Table1[[#This Row],[Customer_ID]],Customers!$A$2:$A$30,Customers!$C$2:$C$30,"Not found")</f>
        <v>Mixed</v>
      </c>
    </row>
    <row r="2634" spans="1:9">
      <c r="A2634" s="10">
        <v>44990</v>
      </c>
      <c r="B2634" s="7" t="s">
        <v>564</v>
      </c>
      <c r="C2634" s="7" t="s">
        <v>22</v>
      </c>
      <c r="D2634" s="8">
        <v>-158</v>
      </c>
      <c r="E2634" s="8">
        <v>7321</v>
      </c>
      <c r="F2634" s="7">
        <v>140</v>
      </c>
      <c r="G2634" s="7" t="s">
        <v>581</v>
      </c>
      <c r="H2634" t="str">
        <f t="shared" si="41"/>
        <v>2023-03</v>
      </c>
      <c r="I2634" t="str">
        <f>_xlfn.XLOOKUP(Table1[[#This Row],[Customer_ID]],Customers!$A$2:$A$30,Customers!$C$2:$C$30,"Not found")</f>
        <v>Mixed</v>
      </c>
    </row>
    <row r="2635" spans="1:9">
      <c r="A2635" s="9">
        <v>44992</v>
      </c>
      <c r="B2635" t="s">
        <v>564</v>
      </c>
      <c r="C2635" t="s">
        <v>14</v>
      </c>
      <c r="D2635" s="4">
        <v>5000</v>
      </c>
      <c r="E2635" s="4">
        <v>2321</v>
      </c>
      <c r="F2635">
        <v>140</v>
      </c>
      <c r="G2635" t="s">
        <v>582</v>
      </c>
      <c r="H2635" t="str">
        <f t="shared" si="41"/>
        <v>2023-03</v>
      </c>
      <c r="I2635" t="str">
        <f>_xlfn.XLOOKUP(Table1[[#This Row],[Customer_ID]],Customers!$A$2:$A$30,Customers!$C$2:$C$30,"Not found")</f>
        <v>Mixed</v>
      </c>
    </row>
    <row r="2636" spans="1:9">
      <c r="A2636" s="9">
        <v>45005</v>
      </c>
      <c r="B2636" t="s">
        <v>564</v>
      </c>
      <c r="C2636" t="s">
        <v>8</v>
      </c>
      <c r="D2636" s="4">
        <v>1668</v>
      </c>
      <c r="E2636" s="4"/>
      <c r="F2636">
        <v>140</v>
      </c>
      <c r="H2636" t="str">
        <f t="shared" si="41"/>
        <v>2023-03</v>
      </c>
      <c r="I2636" t="str">
        <f>_xlfn.XLOOKUP(Table1[[#This Row],[Customer_ID]],Customers!$A$2:$A$30,Customers!$C$2:$C$30,"Not found")</f>
        <v>Mixed</v>
      </c>
    </row>
    <row r="2637" spans="1:9">
      <c r="A2637" s="9">
        <v>45006</v>
      </c>
      <c r="B2637" t="s">
        <v>564</v>
      </c>
      <c r="C2637" t="s">
        <v>8</v>
      </c>
      <c r="D2637" s="4">
        <v>85</v>
      </c>
      <c r="E2637" s="4"/>
      <c r="F2637">
        <v>140</v>
      </c>
      <c r="H2637" t="str">
        <f t="shared" si="41"/>
        <v>2023-03</v>
      </c>
      <c r="I2637" t="str">
        <f>_xlfn.XLOOKUP(Table1[[#This Row],[Customer_ID]],Customers!$A$2:$A$30,Customers!$C$2:$C$30,"Not found")</f>
        <v>Mixed</v>
      </c>
    </row>
    <row r="2638" spans="1:9">
      <c r="A2638" s="9">
        <v>45008</v>
      </c>
      <c r="B2638" t="s">
        <v>564</v>
      </c>
      <c r="C2638" t="s">
        <v>8</v>
      </c>
      <c r="D2638" s="4">
        <v>100</v>
      </c>
      <c r="E2638" s="4"/>
      <c r="F2638">
        <v>140</v>
      </c>
      <c r="H2638" t="str">
        <f t="shared" si="41"/>
        <v>2023-03</v>
      </c>
      <c r="I2638" t="str">
        <f>_xlfn.XLOOKUP(Table1[[#This Row],[Customer_ID]],Customers!$A$2:$A$30,Customers!$C$2:$C$30,"Not found")</f>
        <v>Mixed</v>
      </c>
    </row>
    <row r="2639" spans="1:9">
      <c r="A2639" s="9">
        <v>45010</v>
      </c>
      <c r="B2639" t="s">
        <v>564</v>
      </c>
      <c r="C2639" t="s">
        <v>8</v>
      </c>
      <c r="D2639" s="4">
        <v>70</v>
      </c>
      <c r="E2639" s="4"/>
      <c r="F2639">
        <v>140</v>
      </c>
      <c r="H2639" t="str">
        <f t="shared" si="41"/>
        <v>2023-03</v>
      </c>
      <c r="I2639" t="str">
        <f>_xlfn.XLOOKUP(Table1[[#This Row],[Customer_ID]],Customers!$A$2:$A$30,Customers!$C$2:$C$30,"Not found")</f>
        <v>Mixed</v>
      </c>
    </row>
    <row r="2640" spans="1:9">
      <c r="A2640" s="9">
        <v>45011</v>
      </c>
      <c r="B2640" t="s">
        <v>564</v>
      </c>
      <c r="C2640" t="s">
        <v>8</v>
      </c>
      <c r="D2640" s="4">
        <v>270</v>
      </c>
      <c r="E2640" s="4">
        <v>4514</v>
      </c>
      <c r="F2640">
        <v>140</v>
      </c>
      <c r="G2640" t="s">
        <v>583</v>
      </c>
      <c r="H2640" t="str">
        <f t="shared" si="41"/>
        <v>2023-03</v>
      </c>
      <c r="I2640" t="str">
        <f>_xlfn.XLOOKUP(Table1[[#This Row],[Customer_ID]],Customers!$A$2:$A$30,Customers!$C$2:$C$30,"Not found")</f>
        <v>Mixed</v>
      </c>
    </row>
    <row r="2641" spans="1:9">
      <c r="A2641" s="9">
        <v>45024</v>
      </c>
      <c r="B2641" t="s">
        <v>564</v>
      </c>
      <c r="C2641" t="s">
        <v>8</v>
      </c>
      <c r="D2641" s="4">
        <v>780</v>
      </c>
      <c r="E2641" s="4">
        <v>5294</v>
      </c>
      <c r="F2641">
        <v>140</v>
      </c>
      <c r="G2641" t="s">
        <v>584</v>
      </c>
      <c r="H2641" t="str">
        <f t="shared" si="41"/>
        <v>2023-04</v>
      </c>
      <c r="I2641" t="str">
        <f>_xlfn.XLOOKUP(Table1[[#This Row],[Customer_ID]],Customers!$A$2:$A$30,Customers!$C$2:$C$30,"Not found")</f>
        <v>Mixed</v>
      </c>
    </row>
    <row r="2642" spans="1:9">
      <c r="A2642" s="9"/>
      <c r="B2642" t="s">
        <v>564</v>
      </c>
      <c r="C2642" t="s">
        <v>14</v>
      </c>
      <c r="D2642" s="4">
        <v>5000</v>
      </c>
      <c r="E2642" s="4">
        <v>294</v>
      </c>
      <c r="F2642">
        <v>140</v>
      </c>
      <c r="G2642" t="s">
        <v>585</v>
      </c>
      <c r="H2642" t="str">
        <f t="shared" si="41"/>
        <v/>
      </c>
      <c r="I2642" t="str">
        <f>_xlfn.XLOOKUP(Table1[[#This Row],[Customer_ID]],Customers!$A$2:$A$30,Customers!$C$2:$C$30,"Not found")</f>
        <v>Mixed</v>
      </c>
    </row>
    <row r="2643" spans="1:9">
      <c r="A2643" s="9">
        <v>45025</v>
      </c>
      <c r="B2643" t="s">
        <v>564</v>
      </c>
      <c r="C2643" t="s">
        <v>8</v>
      </c>
      <c r="D2643" s="4">
        <v>870</v>
      </c>
      <c r="E2643" s="4"/>
      <c r="F2643">
        <v>140</v>
      </c>
      <c r="H2643" t="str">
        <f t="shared" si="41"/>
        <v>2023-04</v>
      </c>
      <c r="I2643" t="str">
        <f>_xlfn.XLOOKUP(Table1[[#This Row],[Customer_ID]],Customers!$A$2:$A$30,Customers!$C$2:$C$30,"Not found")</f>
        <v>Mixed</v>
      </c>
    </row>
    <row r="2644" spans="1:9">
      <c r="A2644" s="9">
        <v>45032</v>
      </c>
      <c r="B2644" t="s">
        <v>564</v>
      </c>
      <c r="C2644" t="s">
        <v>8</v>
      </c>
      <c r="D2644" s="4">
        <v>1132</v>
      </c>
      <c r="E2644" s="4"/>
      <c r="F2644">
        <v>140</v>
      </c>
      <c r="H2644" t="str">
        <f t="shared" si="41"/>
        <v>2023-04</v>
      </c>
      <c r="I2644" t="str">
        <f>_xlfn.XLOOKUP(Table1[[#This Row],[Customer_ID]],Customers!$A$2:$A$30,Customers!$C$2:$C$30,"Not found")</f>
        <v>Mixed</v>
      </c>
    </row>
    <row r="2645" spans="1:9">
      <c r="A2645" s="9">
        <v>45033</v>
      </c>
      <c r="B2645" t="s">
        <v>564</v>
      </c>
      <c r="C2645" t="s">
        <v>8</v>
      </c>
      <c r="D2645" s="4">
        <v>225</v>
      </c>
      <c r="E2645" s="4"/>
      <c r="F2645">
        <v>140</v>
      </c>
      <c r="H2645" t="str">
        <f t="shared" si="41"/>
        <v>2023-04</v>
      </c>
      <c r="I2645" t="str">
        <f>_xlfn.XLOOKUP(Table1[[#This Row],[Customer_ID]],Customers!$A$2:$A$30,Customers!$C$2:$C$30,"Not found")</f>
        <v>Mixed</v>
      </c>
    </row>
    <row r="2646" spans="1:9">
      <c r="A2646" s="9">
        <v>45040</v>
      </c>
      <c r="B2646" t="s">
        <v>564</v>
      </c>
      <c r="C2646" t="s">
        <v>8</v>
      </c>
      <c r="D2646" s="4">
        <v>50</v>
      </c>
      <c r="E2646" s="4"/>
      <c r="F2646">
        <v>140</v>
      </c>
      <c r="H2646" t="str">
        <f t="shared" si="41"/>
        <v>2023-04</v>
      </c>
      <c r="I2646" t="str">
        <f>_xlfn.XLOOKUP(Table1[[#This Row],[Customer_ID]],Customers!$A$2:$A$30,Customers!$C$2:$C$30,"Not found")</f>
        <v>Mixed</v>
      </c>
    </row>
    <row r="2647" spans="1:9">
      <c r="A2647" s="9">
        <v>45040</v>
      </c>
      <c r="B2647" t="s">
        <v>564</v>
      </c>
      <c r="C2647" t="s">
        <v>8</v>
      </c>
      <c r="D2647" s="4">
        <v>766</v>
      </c>
      <c r="E2647" s="4"/>
      <c r="F2647">
        <v>140</v>
      </c>
      <c r="G2647" t="s">
        <v>586</v>
      </c>
      <c r="H2647" t="str">
        <f t="shared" si="41"/>
        <v>2023-04</v>
      </c>
      <c r="I2647" t="str">
        <f>_xlfn.XLOOKUP(Table1[[#This Row],[Customer_ID]],Customers!$A$2:$A$30,Customers!$C$2:$C$30,"Not found")</f>
        <v>Mixed</v>
      </c>
    </row>
    <row r="2648" spans="1:9">
      <c r="A2648" s="9">
        <v>45044</v>
      </c>
      <c r="B2648" t="s">
        <v>564</v>
      </c>
      <c r="C2648" t="s">
        <v>8</v>
      </c>
      <c r="D2648" s="4">
        <v>280</v>
      </c>
      <c r="E2648" s="4"/>
      <c r="F2648">
        <v>140</v>
      </c>
      <c r="H2648" t="str">
        <f t="shared" si="41"/>
        <v>2023-04</v>
      </c>
      <c r="I2648" t="str">
        <f>_xlfn.XLOOKUP(Table1[[#This Row],[Customer_ID]],Customers!$A$2:$A$30,Customers!$C$2:$C$30,"Not found")</f>
        <v>Mixed</v>
      </c>
    </row>
    <row r="2649" spans="1:9">
      <c r="A2649" s="9">
        <v>45047</v>
      </c>
      <c r="B2649" t="s">
        <v>564</v>
      </c>
      <c r="C2649" t="s">
        <v>8</v>
      </c>
      <c r="D2649" s="4">
        <v>33</v>
      </c>
      <c r="E2649" s="4"/>
      <c r="F2649">
        <v>140</v>
      </c>
      <c r="H2649" t="str">
        <f t="shared" si="41"/>
        <v>2023-05</v>
      </c>
      <c r="I2649" t="str">
        <f>_xlfn.XLOOKUP(Table1[[#This Row],[Customer_ID]],Customers!$A$2:$A$30,Customers!$C$2:$C$30,"Not found")</f>
        <v>Mixed</v>
      </c>
    </row>
    <row r="2650" spans="1:9">
      <c r="A2650" s="9">
        <v>45047</v>
      </c>
      <c r="B2650" t="s">
        <v>564</v>
      </c>
      <c r="C2650" t="s">
        <v>22</v>
      </c>
      <c r="D2650" s="4">
        <v>30</v>
      </c>
      <c r="E2650" s="4">
        <v>3680</v>
      </c>
      <c r="F2650">
        <v>140</v>
      </c>
      <c r="G2650" t="s">
        <v>587</v>
      </c>
      <c r="H2650" t="str">
        <f t="shared" si="41"/>
        <v>2023-05</v>
      </c>
      <c r="I2650" t="str">
        <f>_xlfn.XLOOKUP(Table1[[#This Row],[Customer_ID]],Customers!$A$2:$A$30,Customers!$C$2:$C$30,"Not found")</f>
        <v>Mixed</v>
      </c>
    </row>
    <row r="2651" spans="1:9">
      <c r="A2651" s="9"/>
      <c r="B2651" t="s">
        <v>564</v>
      </c>
      <c r="C2651" t="s">
        <v>14</v>
      </c>
      <c r="D2651" s="4">
        <v>3600</v>
      </c>
      <c r="E2651" s="4">
        <v>80</v>
      </c>
      <c r="F2651">
        <v>140</v>
      </c>
      <c r="G2651" t="s">
        <v>588</v>
      </c>
      <c r="H2651" t="str">
        <f t="shared" si="41"/>
        <v/>
      </c>
      <c r="I2651" t="str">
        <f>_xlfn.XLOOKUP(Table1[[#This Row],[Customer_ID]],Customers!$A$2:$A$30,Customers!$C$2:$C$30,"Not found")</f>
        <v>Mixed</v>
      </c>
    </row>
    <row r="2652" spans="1:9">
      <c r="A2652" s="9">
        <v>45052</v>
      </c>
      <c r="B2652" t="s">
        <v>564</v>
      </c>
      <c r="C2652" t="s">
        <v>8</v>
      </c>
      <c r="D2652" s="4">
        <v>210</v>
      </c>
      <c r="E2652" s="4"/>
      <c r="F2652">
        <v>140</v>
      </c>
      <c r="H2652" t="str">
        <f t="shared" si="41"/>
        <v>2023-05</v>
      </c>
      <c r="I2652" t="str">
        <f>_xlfn.XLOOKUP(Table1[[#This Row],[Customer_ID]],Customers!$A$2:$A$30,Customers!$C$2:$C$30,"Not found")</f>
        <v>Mixed</v>
      </c>
    </row>
    <row r="2653" spans="1:9">
      <c r="A2653" s="9">
        <v>45065</v>
      </c>
      <c r="B2653" t="s">
        <v>564</v>
      </c>
      <c r="C2653" t="s">
        <v>8</v>
      </c>
      <c r="D2653" s="4">
        <v>1625</v>
      </c>
      <c r="E2653" s="4"/>
      <c r="F2653">
        <v>140</v>
      </c>
      <c r="H2653" t="str">
        <f t="shared" si="41"/>
        <v>2023-05</v>
      </c>
      <c r="I2653" t="str">
        <f>_xlfn.XLOOKUP(Table1[[#This Row],[Customer_ID]],Customers!$A$2:$A$30,Customers!$C$2:$C$30,"Not found")</f>
        <v>Mixed</v>
      </c>
    </row>
    <row r="2654" spans="1:9">
      <c r="A2654" s="9">
        <v>45070</v>
      </c>
      <c r="B2654" t="s">
        <v>564</v>
      </c>
      <c r="C2654" t="s">
        <v>8</v>
      </c>
      <c r="D2654" s="4">
        <v>153</v>
      </c>
      <c r="E2654" s="4"/>
      <c r="F2654">
        <v>140</v>
      </c>
      <c r="H2654" t="str">
        <f t="shared" si="41"/>
        <v>2023-05</v>
      </c>
      <c r="I2654" t="str">
        <f>_xlfn.XLOOKUP(Table1[[#This Row],[Customer_ID]],Customers!$A$2:$A$30,Customers!$C$2:$C$30,"Not found")</f>
        <v>Mixed</v>
      </c>
    </row>
    <row r="2655" spans="1:9">
      <c r="A2655" s="9">
        <v>45071</v>
      </c>
      <c r="B2655" t="s">
        <v>564</v>
      </c>
      <c r="C2655" t="s">
        <v>8</v>
      </c>
      <c r="D2655" s="4">
        <v>110</v>
      </c>
      <c r="E2655" s="4"/>
      <c r="F2655">
        <v>140</v>
      </c>
      <c r="H2655" t="str">
        <f t="shared" si="41"/>
        <v>2023-05</v>
      </c>
      <c r="I2655" t="str">
        <f>_xlfn.XLOOKUP(Table1[[#This Row],[Customer_ID]],Customers!$A$2:$A$30,Customers!$C$2:$C$30,"Not found")</f>
        <v>Mixed</v>
      </c>
    </row>
    <row r="2656" spans="1:9">
      <c r="A2656" s="9">
        <v>45074</v>
      </c>
      <c r="B2656" t="s">
        <v>564</v>
      </c>
      <c r="C2656" t="s">
        <v>8</v>
      </c>
      <c r="D2656" s="4">
        <v>734</v>
      </c>
      <c r="E2656" s="4"/>
      <c r="F2656">
        <v>140</v>
      </c>
      <c r="H2656" t="str">
        <f t="shared" si="41"/>
        <v>2023-05</v>
      </c>
      <c r="I2656" t="str">
        <f>_xlfn.XLOOKUP(Table1[[#This Row],[Customer_ID]],Customers!$A$2:$A$30,Customers!$C$2:$C$30,"Not found")</f>
        <v>Mixed</v>
      </c>
    </row>
    <row r="2657" spans="1:9">
      <c r="A2657" s="9">
        <v>45078</v>
      </c>
      <c r="B2657" t="s">
        <v>564</v>
      </c>
      <c r="C2657" t="s">
        <v>8</v>
      </c>
      <c r="D2657" s="4">
        <v>30</v>
      </c>
      <c r="E2657" s="4">
        <v>2942</v>
      </c>
      <c r="F2657">
        <v>140</v>
      </c>
      <c r="G2657" t="s">
        <v>589</v>
      </c>
      <c r="H2657" t="str">
        <f t="shared" si="41"/>
        <v>2023-06</v>
      </c>
      <c r="I2657" t="str">
        <f>_xlfn.XLOOKUP(Table1[[#This Row],[Customer_ID]],Customers!$A$2:$A$30,Customers!$C$2:$C$30,"Not found")</f>
        <v>Mixed</v>
      </c>
    </row>
    <row r="2658" spans="1:9">
      <c r="A2658" s="9">
        <v>44811</v>
      </c>
      <c r="B2658" t="s">
        <v>590</v>
      </c>
      <c r="C2658" t="s">
        <v>28</v>
      </c>
      <c r="D2658" s="4">
        <v>7444</v>
      </c>
      <c r="E2658" s="4">
        <v>7444</v>
      </c>
      <c r="F2658">
        <v>188</v>
      </c>
      <c r="G2658" t="s">
        <v>591</v>
      </c>
      <c r="H2658" t="str">
        <f t="shared" si="41"/>
        <v>2022-09</v>
      </c>
      <c r="I2658" t="str">
        <f>_xlfn.XLOOKUP(Table1[[#This Row],[Customer_ID]],Customers!$A$2:$A$30,Customers!$C$2:$C$30,"Not found")</f>
        <v>Mixed</v>
      </c>
    </row>
    <row r="2659" spans="1:9">
      <c r="A2659" s="9">
        <v>44811</v>
      </c>
      <c r="B2659" t="s">
        <v>590</v>
      </c>
      <c r="C2659" t="s">
        <v>8</v>
      </c>
      <c r="D2659" s="4">
        <v>273</v>
      </c>
      <c r="E2659" s="4"/>
      <c r="F2659">
        <v>188</v>
      </c>
      <c r="H2659" t="str">
        <f t="shared" si="41"/>
        <v>2022-09</v>
      </c>
      <c r="I2659" t="str">
        <f>_xlfn.XLOOKUP(Table1[[#This Row],[Customer_ID]],Customers!$A$2:$A$30,Customers!$C$2:$C$30,"Not found")</f>
        <v>Mixed</v>
      </c>
    </row>
    <row r="2660" spans="1:9">
      <c r="A2660" s="9">
        <v>44812</v>
      </c>
      <c r="B2660" t="s">
        <v>590</v>
      </c>
      <c r="C2660" t="s">
        <v>8</v>
      </c>
      <c r="D2660" s="4">
        <v>210</v>
      </c>
      <c r="E2660" s="4"/>
      <c r="F2660">
        <v>188</v>
      </c>
      <c r="H2660" t="str">
        <f t="shared" si="41"/>
        <v>2022-09</v>
      </c>
      <c r="I2660" t="str">
        <f>_xlfn.XLOOKUP(Table1[[#This Row],[Customer_ID]],Customers!$A$2:$A$30,Customers!$C$2:$C$30,"Not found")</f>
        <v>Mixed</v>
      </c>
    </row>
    <row r="2661" spans="1:9">
      <c r="A2661" s="9">
        <v>44813</v>
      </c>
      <c r="B2661" t="s">
        <v>590</v>
      </c>
      <c r="C2661" t="s">
        <v>8</v>
      </c>
      <c r="D2661" s="4">
        <v>300</v>
      </c>
      <c r="E2661" s="4">
        <v>8227</v>
      </c>
      <c r="F2661">
        <v>188</v>
      </c>
      <c r="G2661" t="s">
        <v>592</v>
      </c>
      <c r="H2661" t="str">
        <f t="shared" si="41"/>
        <v>2022-09</v>
      </c>
      <c r="I2661" t="str">
        <f>_xlfn.XLOOKUP(Table1[[#This Row],[Customer_ID]],Customers!$A$2:$A$30,Customers!$C$2:$C$30,"Not found")</f>
        <v>Mixed</v>
      </c>
    </row>
    <row r="2662" spans="1:9">
      <c r="A2662" s="9"/>
      <c r="B2662" t="s">
        <v>590</v>
      </c>
      <c r="C2662" t="s">
        <v>14</v>
      </c>
      <c r="D2662" s="4">
        <v>6000</v>
      </c>
      <c r="E2662" s="4">
        <v>2227</v>
      </c>
      <c r="F2662">
        <v>188</v>
      </c>
      <c r="G2662" t="s">
        <v>593</v>
      </c>
      <c r="H2662" t="str">
        <f t="shared" si="41"/>
        <v/>
      </c>
      <c r="I2662" t="str">
        <f>_xlfn.XLOOKUP(Table1[[#This Row],[Customer_ID]],Customers!$A$2:$A$30,Customers!$C$2:$C$30,"Not found")</f>
        <v>Mixed</v>
      </c>
    </row>
    <row r="2663" spans="1:9">
      <c r="A2663" s="9"/>
      <c r="B2663" t="s">
        <v>590</v>
      </c>
      <c r="C2663" t="s">
        <v>14</v>
      </c>
      <c r="D2663" s="4">
        <v>2227</v>
      </c>
      <c r="E2663" s="4">
        <v>0</v>
      </c>
      <c r="F2663">
        <v>188</v>
      </c>
      <c r="G2663" t="s">
        <v>594</v>
      </c>
      <c r="H2663" t="str">
        <f t="shared" si="41"/>
        <v/>
      </c>
      <c r="I2663" t="str">
        <f>_xlfn.XLOOKUP(Table1[[#This Row],[Customer_ID]],Customers!$A$2:$A$30,Customers!$C$2:$C$30,"Not found")</f>
        <v>Mixed</v>
      </c>
    </row>
    <row r="2664" spans="1:9">
      <c r="A2664" s="9">
        <v>44813</v>
      </c>
      <c r="B2664" t="s">
        <v>590</v>
      </c>
      <c r="C2664" t="s">
        <v>8</v>
      </c>
      <c r="D2664" s="4">
        <v>276</v>
      </c>
      <c r="E2664" s="4"/>
      <c r="F2664">
        <v>188</v>
      </c>
      <c r="G2664" t="s">
        <v>595</v>
      </c>
      <c r="H2664" t="str">
        <f t="shared" si="41"/>
        <v>2022-09</v>
      </c>
      <c r="I2664" t="str">
        <f>_xlfn.XLOOKUP(Table1[[#This Row],[Customer_ID]],Customers!$A$2:$A$30,Customers!$C$2:$C$30,"Not found")</f>
        <v>Mixed</v>
      </c>
    </row>
    <row r="2665" spans="1:9">
      <c r="A2665" s="9">
        <v>44814</v>
      </c>
      <c r="B2665" t="s">
        <v>590</v>
      </c>
      <c r="C2665" t="s">
        <v>8</v>
      </c>
      <c r="D2665" s="4">
        <v>3178</v>
      </c>
      <c r="E2665" s="4"/>
      <c r="F2665">
        <v>188</v>
      </c>
      <c r="H2665" t="str">
        <f t="shared" si="41"/>
        <v>2022-09</v>
      </c>
      <c r="I2665" t="str">
        <f>_xlfn.XLOOKUP(Table1[[#This Row],[Customer_ID]],Customers!$A$2:$A$30,Customers!$C$2:$C$30,"Not found")</f>
        <v>Mixed</v>
      </c>
    </row>
    <row r="2666" spans="1:9">
      <c r="A2666" s="9">
        <v>44816</v>
      </c>
      <c r="B2666" t="s">
        <v>590</v>
      </c>
      <c r="C2666" t="s">
        <v>8</v>
      </c>
      <c r="D2666" s="4">
        <v>155</v>
      </c>
      <c r="E2666" s="4"/>
      <c r="F2666">
        <v>188</v>
      </c>
      <c r="H2666" t="str">
        <f t="shared" si="41"/>
        <v>2022-09</v>
      </c>
      <c r="I2666" t="str">
        <f>_xlfn.XLOOKUP(Table1[[#This Row],[Customer_ID]],Customers!$A$2:$A$30,Customers!$C$2:$C$30,"Not found")</f>
        <v>Mixed</v>
      </c>
    </row>
    <row r="2667" spans="1:9">
      <c r="A2667" s="9">
        <v>44817</v>
      </c>
      <c r="B2667" t="s">
        <v>590</v>
      </c>
      <c r="C2667" t="s">
        <v>8</v>
      </c>
      <c r="D2667" s="4">
        <v>236</v>
      </c>
      <c r="E2667" s="4"/>
      <c r="F2667">
        <v>188</v>
      </c>
      <c r="H2667" t="str">
        <f t="shared" si="41"/>
        <v>2022-09</v>
      </c>
      <c r="I2667" t="str">
        <f>_xlfn.XLOOKUP(Table1[[#This Row],[Customer_ID]],Customers!$A$2:$A$30,Customers!$C$2:$C$30,"Not found")</f>
        <v>Mixed</v>
      </c>
    </row>
    <row r="2668" spans="1:9">
      <c r="A2668" s="9">
        <v>44819</v>
      </c>
      <c r="B2668" t="s">
        <v>590</v>
      </c>
      <c r="C2668" t="s">
        <v>8</v>
      </c>
      <c r="D2668" s="4">
        <v>180</v>
      </c>
      <c r="E2668" s="4"/>
      <c r="F2668">
        <v>188</v>
      </c>
      <c r="H2668" t="str">
        <f t="shared" si="41"/>
        <v>2022-09</v>
      </c>
      <c r="I2668" t="str">
        <f>_xlfn.XLOOKUP(Table1[[#This Row],[Customer_ID]],Customers!$A$2:$A$30,Customers!$C$2:$C$30,"Not found")</f>
        <v>Mixed</v>
      </c>
    </row>
    <row r="2669" spans="1:9">
      <c r="A2669" s="9">
        <v>44820</v>
      </c>
      <c r="B2669" t="s">
        <v>590</v>
      </c>
      <c r="C2669" t="s">
        <v>8</v>
      </c>
      <c r="D2669" s="4">
        <v>149</v>
      </c>
      <c r="E2669" s="4"/>
      <c r="F2669">
        <v>188</v>
      </c>
      <c r="H2669" t="str">
        <f t="shared" si="41"/>
        <v>2022-09</v>
      </c>
      <c r="I2669" t="str">
        <f>_xlfn.XLOOKUP(Table1[[#This Row],[Customer_ID]],Customers!$A$2:$A$30,Customers!$C$2:$C$30,"Not found")</f>
        <v>Mixed</v>
      </c>
    </row>
    <row r="2670" spans="1:9">
      <c r="A2670" s="9">
        <v>44823</v>
      </c>
      <c r="B2670" t="s">
        <v>590</v>
      </c>
      <c r="C2670" t="s">
        <v>8</v>
      </c>
      <c r="D2670" s="4">
        <v>182</v>
      </c>
      <c r="E2670" s="4"/>
      <c r="F2670">
        <v>188</v>
      </c>
      <c r="H2670" t="str">
        <f t="shared" si="41"/>
        <v>2022-09</v>
      </c>
      <c r="I2670" t="str">
        <f>_xlfn.XLOOKUP(Table1[[#This Row],[Customer_ID]],Customers!$A$2:$A$30,Customers!$C$2:$C$30,"Not found")</f>
        <v>Mixed</v>
      </c>
    </row>
    <row r="2671" spans="1:9">
      <c r="A2671" s="9">
        <v>44824</v>
      </c>
      <c r="B2671" t="s">
        <v>590</v>
      </c>
      <c r="C2671" t="s">
        <v>8</v>
      </c>
      <c r="D2671" s="4">
        <v>146</v>
      </c>
      <c r="E2671" s="4"/>
      <c r="F2671">
        <v>188</v>
      </c>
      <c r="H2671" t="str">
        <f t="shared" si="41"/>
        <v>2022-09</v>
      </c>
      <c r="I2671" t="str">
        <f>_xlfn.XLOOKUP(Table1[[#This Row],[Customer_ID]],Customers!$A$2:$A$30,Customers!$C$2:$C$30,"Not found")</f>
        <v>Mixed</v>
      </c>
    </row>
    <row r="2672" spans="1:9">
      <c r="A2672" s="9">
        <v>44825</v>
      </c>
      <c r="B2672" t="s">
        <v>590</v>
      </c>
      <c r="C2672" t="s">
        <v>8</v>
      </c>
      <c r="D2672" s="4">
        <v>173</v>
      </c>
      <c r="E2672" s="4"/>
      <c r="F2672">
        <v>188</v>
      </c>
      <c r="H2672" t="str">
        <f t="shared" si="41"/>
        <v>2022-09</v>
      </c>
      <c r="I2672" t="str">
        <f>_xlfn.XLOOKUP(Table1[[#This Row],[Customer_ID]],Customers!$A$2:$A$30,Customers!$C$2:$C$30,"Not found")</f>
        <v>Mixed</v>
      </c>
    </row>
    <row r="2673" spans="1:9">
      <c r="A2673" s="9">
        <v>44827</v>
      </c>
      <c r="B2673" t="s">
        <v>590</v>
      </c>
      <c r="C2673" t="s">
        <v>8</v>
      </c>
      <c r="D2673" s="4">
        <v>140</v>
      </c>
      <c r="E2673" s="4"/>
      <c r="F2673">
        <v>188</v>
      </c>
      <c r="H2673" t="str">
        <f t="shared" si="41"/>
        <v>2022-09</v>
      </c>
      <c r="I2673" t="str">
        <f>_xlfn.XLOOKUP(Table1[[#This Row],[Customer_ID]],Customers!$A$2:$A$30,Customers!$C$2:$C$30,"Not found")</f>
        <v>Mixed</v>
      </c>
    </row>
    <row r="2674" spans="1:9">
      <c r="A2674" s="9">
        <v>44829</v>
      </c>
      <c r="B2674" t="s">
        <v>590</v>
      </c>
      <c r="C2674" t="s">
        <v>8</v>
      </c>
      <c r="D2674" s="4">
        <v>119</v>
      </c>
      <c r="E2674" s="4"/>
      <c r="F2674">
        <v>188</v>
      </c>
      <c r="H2674" t="str">
        <f t="shared" si="41"/>
        <v>2022-09</v>
      </c>
      <c r="I2674" t="str">
        <f>_xlfn.XLOOKUP(Table1[[#This Row],[Customer_ID]],Customers!$A$2:$A$30,Customers!$C$2:$C$30,"Not found")</f>
        <v>Mixed</v>
      </c>
    </row>
    <row r="2675" spans="1:9">
      <c r="A2675" s="9">
        <v>44830</v>
      </c>
      <c r="B2675" t="s">
        <v>590</v>
      </c>
      <c r="C2675" t="s">
        <v>8</v>
      </c>
      <c r="D2675" s="4">
        <v>296</v>
      </c>
      <c r="E2675" s="4"/>
      <c r="F2675">
        <v>188</v>
      </c>
      <c r="H2675" t="str">
        <f t="shared" si="41"/>
        <v>2022-09</v>
      </c>
      <c r="I2675" t="str">
        <f>_xlfn.XLOOKUP(Table1[[#This Row],[Customer_ID]],Customers!$A$2:$A$30,Customers!$C$2:$C$30,"Not found")</f>
        <v>Mixed</v>
      </c>
    </row>
    <row r="2676" spans="1:9">
      <c r="A2676" s="9">
        <v>44831</v>
      </c>
      <c r="B2676" t="s">
        <v>590</v>
      </c>
      <c r="C2676" t="s">
        <v>8</v>
      </c>
      <c r="D2676" s="4">
        <v>175</v>
      </c>
      <c r="E2676" s="4"/>
      <c r="F2676">
        <v>188</v>
      </c>
      <c r="H2676" t="str">
        <f t="shared" si="41"/>
        <v>2022-09</v>
      </c>
      <c r="I2676" t="str">
        <f>_xlfn.XLOOKUP(Table1[[#This Row],[Customer_ID]],Customers!$A$2:$A$30,Customers!$C$2:$C$30,"Not found")</f>
        <v>Mixed</v>
      </c>
    </row>
    <row r="2677" spans="1:9">
      <c r="A2677" s="9">
        <v>44833</v>
      </c>
      <c r="B2677" t="s">
        <v>590</v>
      </c>
      <c r="C2677" t="s">
        <v>8</v>
      </c>
      <c r="D2677" s="4">
        <v>34</v>
      </c>
      <c r="E2677" s="4"/>
      <c r="F2677">
        <v>188</v>
      </c>
      <c r="H2677" t="str">
        <f t="shared" si="41"/>
        <v>2022-09</v>
      </c>
      <c r="I2677" t="str">
        <f>_xlfn.XLOOKUP(Table1[[#This Row],[Customer_ID]],Customers!$A$2:$A$30,Customers!$C$2:$C$30,"Not found")</f>
        <v>Mixed</v>
      </c>
    </row>
    <row r="2678" spans="1:9">
      <c r="A2678" s="9">
        <v>44836</v>
      </c>
      <c r="B2678" t="s">
        <v>590</v>
      </c>
      <c r="C2678" t="s">
        <v>8</v>
      </c>
      <c r="D2678" s="4">
        <v>412</v>
      </c>
      <c r="E2678" s="4"/>
      <c r="F2678">
        <v>188</v>
      </c>
      <c r="H2678" t="str">
        <f t="shared" si="41"/>
        <v>2022-10</v>
      </c>
      <c r="I2678" t="str">
        <f>_xlfn.XLOOKUP(Table1[[#This Row],[Customer_ID]],Customers!$A$2:$A$30,Customers!$C$2:$C$30,"Not found")</f>
        <v>Mixed</v>
      </c>
    </row>
    <row r="2679" spans="1:9">
      <c r="A2679" s="9">
        <v>44836</v>
      </c>
      <c r="B2679" t="s">
        <v>590</v>
      </c>
      <c r="C2679" t="s">
        <v>8</v>
      </c>
      <c r="D2679" s="4">
        <v>40</v>
      </c>
      <c r="E2679" s="4"/>
      <c r="F2679">
        <v>188</v>
      </c>
      <c r="H2679" t="str">
        <f t="shared" si="41"/>
        <v>2022-10</v>
      </c>
      <c r="I2679" t="str">
        <f>_xlfn.XLOOKUP(Table1[[#This Row],[Customer_ID]],Customers!$A$2:$A$30,Customers!$C$2:$C$30,"Not found")</f>
        <v>Mixed</v>
      </c>
    </row>
    <row r="2680" spans="1:9">
      <c r="A2680" s="9">
        <v>44837</v>
      </c>
      <c r="B2680" t="s">
        <v>590</v>
      </c>
      <c r="C2680" t="s">
        <v>8</v>
      </c>
      <c r="D2680" s="4">
        <v>170</v>
      </c>
      <c r="E2680" s="4"/>
      <c r="F2680">
        <v>188</v>
      </c>
      <c r="H2680" t="str">
        <f t="shared" si="41"/>
        <v>2022-10</v>
      </c>
      <c r="I2680" t="str">
        <f>_xlfn.XLOOKUP(Table1[[#This Row],[Customer_ID]],Customers!$A$2:$A$30,Customers!$C$2:$C$30,"Not found")</f>
        <v>Mixed</v>
      </c>
    </row>
    <row r="2681" spans="1:9">
      <c r="A2681" s="9">
        <v>44838</v>
      </c>
      <c r="B2681" t="s">
        <v>590</v>
      </c>
      <c r="C2681" t="s">
        <v>8</v>
      </c>
      <c r="D2681" s="4">
        <v>97</v>
      </c>
      <c r="E2681" s="4"/>
      <c r="F2681">
        <v>188</v>
      </c>
      <c r="H2681" t="str">
        <f t="shared" si="41"/>
        <v>2022-10</v>
      </c>
      <c r="I2681" t="str">
        <f>_xlfn.XLOOKUP(Table1[[#This Row],[Customer_ID]],Customers!$A$2:$A$30,Customers!$C$2:$C$30,"Not found")</f>
        <v>Mixed</v>
      </c>
    </row>
    <row r="2682" spans="1:9">
      <c r="A2682" s="9">
        <v>44840</v>
      </c>
      <c r="B2682" t="s">
        <v>590</v>
      </c>
      <c r="C2682" t="s">
        <v>8</v>
      </c>
      <c r="D2682" s="4">
        <v>45</v>
      </c>
      <c r="E2682" s="4"/>
      <c r="F2682">
        <v>188</v>
      </c>
      <c r="H2682" t="str">
        <f t="shared" si="41"/>
        <v>2022-10</v>
      </c>
      <c r="I2682" t="str">
        <f>_xlfn.XLOOKUP(Table1[[#This Row],[Customer_ID]],Customers!$A$2:$A$30,Customers!$C$2:$C$30,"Not found")</f>
        <v>Mixed</v>
      </c>
    </row>
    <row r="2683" spans="1:9">
      <c r="A2683" s="9">
        <v>44842</v>
      </c>
      <c r="B2683" t="s">
        <v>590</v>
      </c>
      <c r="C2683" t="s">
        <v>8</v>
      </c>
      <c r="D2683" s="4">
        <v>70</v>
      </c>
      <c r="E2683" s="4"/>
      <c r="F2683">
        <v>188</v>
      </c>
      <c r="H2683" t="str">
        <f t="shared" si="41"/>
        <v>2022-10</v>
      </c>
      <c r="I2683" t="str">
        <f>_xlfn.XLOOKUP(Table1[[#This Row],[Customer_ID]],Customers!$A$2:$A$30,Customers!$C$2:$C$30,"Not found")</f>
        <v>Mixed</v>
      </c>
    </row>
    <row r="2684" spans="1:9">
      <c r="A2684" s="9">
        <v>44842</v>
      </c>
      <c r="B2684" t="s">
        <v>590</v>
      </c>
      <c r="C2684" t="s">
        <v>22</v>
      </c>
      <c r="D2684" s="4">
        <v>-80</v>
      </c>
      <c r="E2684" s="4">
        <v>6193</v>
      </c>
      <c r="F2684">
        <v>188</v>
      </c>
      <c r="G2684" t="s">
        <v>596</v>
      </c>
      <c r="H2684" t="str">
        <f t="shared" si="41"/>
        <v>2022-10</v>
      </c>
      <c r="I2684" t="str">
        <f>_xlfn.XLOOKUP(Table1[[#This Row],[Customer_ID]],Customers!$A$2:$A$30,Customers!$C$2:$C$30,"Not found")</f>
        <v>Mixed</v>
      </c>
    </row>
    <row r="2685" spans="1:9">
      <c r="A2685" s="9"/>
      <c r="B2685" t="s">
        <v>590</v>
      </c>
      <c r="C2685" t="s">
        <v>14</v>
      </c>
      <c r="D2685" s="4">
        <v>3000</v>
      </c>
      <c r="E2685" s="4">
        <v>3193</v>
      </c>
      <c r="F2685">
        <v>188</v>
      </c>
      <c r="G2685" t="s">
        <v>597</v>
      </c>
      <c r="H2685" t="str">
        <f t="shared" si="41"/>
        <v/>
      </c>
      <c r="I2685" t="str">
        <f>_xlfn.XLOOKUP(Table1[[#This Row],[Customer_ID]],Customers!$A$2:$A$30,Customers!$C$2:$C$30,"Not found")</f>
        <v>Mixed</v>
      </c>
    </row>
    <row r="2686" spans="1:9">
      <c r="A2686" s="9">
        <v>44846</v>
      </c>
      <c r="B2686" t="s">
        <v>590</v>
      </c>
      <c r="C2686" t="s">
        <v>14</v>
      </c>
      <c r="D2686" s="4">
        <v>2700</v>
      </c>
      <c r="E2686" s="4">
        <v>493</v>
      </c>
      <c r="F2686">
        <v>188</v>
      </c>
      <c r="G2686" t="s">
        <v>598</v>
      </c>
      <c r="H2686" t="str">
        <f t="shared" si="41"/>
        <v>2022-10</v>
      </c>
      <c r="I2686" t="str">
        <f>_xlfn.XLOOKUP(Table1[[#This Row],[Customer_ID]],Customers!$A$2:$A$30,Customers!$C$2:$C$30,"Not found")</f>
        <v>Mixed</v>
      </c>
    </row>
    <row r="2687" spans="1:9">
      <c r="A2687" s="10"/>
      <c r="B2687" s="7" t="s">
        <v>590</v>
      </c>
      <c r="C2687" s="7" t="s">
        <v>14</v>
      </c>
      <c r="D2687" s="8">
        <v>493</v>
      </c>
      <c r="E2687" s="8">
        <v>0</v>
      </c>
      <c r="F2687" s="7">
        <v>188</v>
      </c>
      <c r="G2687" s="7" t="s">
        <v>599</v>
      </c>
      <c r="H2687" t="str">
        <f t="shared" ref="H2687:H2750" si="42">IF(A2687="","",TEXT(A2687,"yyyy-mm"))</f>
        <v/>
      </c>
      <c r="I2687" t="str">
        <f>_xlfn.XLOOKUP(Table1[[#This Row],[Customer_ID]],Customers!$A$2:$A$30,Customers!$C$2:$C$30,"Not found")</f>
        <v>Mixed</v>
      </c>
    </row>
    <row r="2688" spans="1:9">
      <c r="A2688" s="9">
        <v>44845</v>
      </c>
      <c r="B2688" t="s">
        <v>590</v>
      </c>
      <c r="C2688" t="s">
        <v>8</v>
      </c>
      <c r="D2688" s="4">
        <v>3383</v>
      </c>
      <c r="E2688" s="4"/>
      <c r="F2688">
        <v>188</v>
      </c>
      <c r="H2688" t="str">
        <f t="shared" si="42"/>
        <v>2022-10</v>
      </c>
      <c r="I2688" t="str">
        <f>_xlfn.XLOOKUP(Table1[[#This Row],[Customer_ID]],Customers!$A$2:$A$30,Customers!$C$2:$C$30,"Not found")</f>
        <v>Mixed</v>
      </c>
    </row>
    <row r="2689" spans="1:9">
      <c r="A2689" s="9">
        <v>44846</v>
      </c>
      <c r="B2689" t="s">
        <v>590</v>
      </c>
      <c r="C2689" t="s">
        <v>8</v>
      </c>
      <c r="D2689" s="4">
        <v>197</v>
      </c>
      <c r="E2689" s="4"/>
      <c r="F2689">
        <v>188</v>
      </c>
      <c r="H2689" t="str">
        <f t="shared" si="42"/>
        <v>2022-10</v>
      </c>
      <c r="I2689" t="str">
        <f>_xlfn.XLOOKUP(Table1[[#This Row],[Customer_ID]],Customers!$A$2:$A$30,Customers!$C$2:$C$30,"Not found")</f>
        <v>Mixed</v>
      </c>
    </row>
    <row r="2690" spans="1:9">
      <c r="A2690" s="9">
        <v>44851</v>
      </c>
      <c r="B2690" t="s">
        <v>590</v>
      </c>
      <c r="C2690" t="s">
        <v>8</v>
      </c>
      <c r="D2690" s="4">
        <v>60</v>
      </c>
      <c r="E2690" s="4"/>
      <c r="F2690">
        <v>188</v>
      </c>
      <c r="H2690" t="str">
        <f t="shared" si="42"/>
        <v>2022-10</v>
      </c>
      <c r="I2690" t="str">
        <f>_xlfn.XLOOKUP(Table1[[#This Row],[Customer_ID]],Customers!$A$2:$A$30,Customers!$C$2:$C$30,"Not found")</f>
        <v>Mixed</v>
      </c>
    </row>
    <row r="2691" spans="1:9">
      <c r="A2691" s="9">
        <v>44853</v>
      </c>
      <c r="B2691" t="s">
        <v>590</v>
      </c>
      <c r="C2691" t="s">
        <v>8</v>
      </c>
      <c r="D2691" s="4">
        <v>252</v>
      </c>
      <c r="E2691" s="4"/>
      <c r="F2691">
        <v>188</v>
      </c>
      <c r="H2691" t="str">
        <f t="shared" si="42"/>
        <v>2022-10</v>
      </c>
      <c r="I2691" t="str">
        <f>_xlfn.XLOOKUP(Table1[[#This Row],[Customer_ID]],Customers!$A$2:$A$30,Customers!$C$2:$C$30,"Not found")</f>
        <v>Mixed</v>
      </c>
    </row>
    <row r="2692" spans="1:9">
      <c r="A2692" s="9">
        <v>44855</v>
      </c>
      <c r="B2692" t="s">
        <v>590</v>
      </c>
      <c r="C2692" t="s">
        <v>8</v>
      </c>
      <c r="D2692" s="4">
        <v>403</v>
      </c>
      <c r="E2692" s="4"/>
      <c r="F2692">
        <v>188</v>
      </c>
      <c r="H2692" t="str">
        <f t="shared" si="42"/>
        <v>2022-10</v>
      </c>
      <c r="I2692" t="str">
        <f>_xlfn.XLOOKUP(Table1[[#This Row],[Customer_ID]],Customers!$A$2:$A$30,Customers!$C$2:$C$30,"Not found")</f>
        <v>Mixed</v>
      </c>
    </row>
    <row r="2693" spans="1:9">
      <c r="A2693" s="9">
        <v>44857</v>
      </c>
      <c r="B2693" t="s">
        <v>590</v>
      </c>
      <c r="C2693" t="s">
        <v>8</v>
      </c>
      <c r="D2693" s="4">
        <v>320</v>
      </c>
      <c r="E2693" s="4"/>
      <c r="F2693">
        <v>188</v>
      </c>
      <c r="H2693" t="str">
        <f t="shared" si="42"/>
        <v>2022-10</v>
      </c>
      <c r="I2693" t="str">
        <f>_xlfn.XLOOKUP(Table1[[#This Row],[Customer_ID]],Customers!$A$2:$A$30,Customers!$C$2:$C$30,"Not found")</f>
        <v>Mixed</v>
      </c>
    </row>
    <row r="2694" spans="1:9">
      <c r="A2694" s="9">
        <v>44858</v>
      </c>
      <c r="B2694" t="s">
        <v>590</v>
      </c>
      <c r="C2694" t="s">
        <v>8</v>
      </c>
      <c r="D2694" s="4">
        <v>250</v>
      </c>
      <c r="E2694" s="4"/>
      <c r="F2694">
        <v>188</v>
      </c>
      <c r="H2694" t="str">
        <f t="shared" si="42"/>
        <v>2022-10</v>
      </c>
      <c r="I2694" t="str">
        <f>_xlfn.XLOOKUP(Table1[[#This Row],[Customer_ID]],Customers!$A$2:$A$30,Customers!$C$2:$C$30,"Not found")</f>
        <v>Mixed</v>
      </c>
    </row>
    <row r="2695" spans="1:9">
      <c r="A2695" s="9">
        <v>44859</v>
      </c>
      <c r="B2695" t="s">
        <v>590</v>
      </c>
      <c r="C2695" t="s">
        <v>8</v>
      </c>
      <c r="D2695" s="4">
        <v>138</v>
      </c>
      <c r="E2695" s="4"/>
      <c r="F2695">
        <v>188</v>
      </c>
      <c r="H2695" t="str">
        <f t="shared" si="42"/>
        <v>2022-10</v>
      </c>
      <c r="I2695" t="str">
        <f>_xlfn.XLOOKUP(Table1[[#This Row],[Customer_ID]],Customers!$A$2:$A$30,Customers!$C$2:$C$30,"Not found")</f>
        <v>Mixed</v>
      </c>
    </row>
    <row r="2696" spans="1:9">
      <c r="A2696" s="9">
        <v>44860</v>
      </c>
      <c r="B2696" t="s">
        <v>590</v>
      </c>
      <c r="C2696" t="s">
        <v>8</v>
      </c>
      <c r="D2696" s="4">
        <v>2445</v>
      </c>
      <c r="E2696" s="4"/>
      <c r="F2696">
        <v>188</v>
      </c>
      <c r="H2696" t="str">
        <f t="shared" si="42"/>
        <v>2022-10</v>
      </c>
      <c r="I2696" t="str">
        <f>_xlfn.XLOOKUP(Table1[[#This Row],[Customer_ID]],Customers!$A$2:$A$30,Customers!$C$2:$C$30,"Not found")</f>
        <v>Mixed</v>
      </c>
    </row>
    <row r="2697" spans="1:9">
      <c r="A2697" s="9">
        <v>44862</v>
      </c>
      <c r="B2697" t="s">
        <v>590</v>
      </c>
      <c r="C2697" t="s">
        <v>8</v>
      </c>
      <c r="D2697" s="4">
        <v>120</v>
      </c>
      <c r="E2697" s="4"/>
      <c r="F2697">
        <v>188</v>
      </c>
      <c r="H2697" t="str">
        <f t="shared" si="42"/>
        <v>2022-10</v>
      </c>
      <c r="I2697" t="str">
        <f>_xlfn.XLOOKUP(Table1[[#This Row],[Customer_ID]],Customers!$A$2:$A$30,Customers!$C$2:$C$30,"Not found")</f>
        <v>Mixed</v>
      </c>
    </row>
    <row r="2698" spans="1:9">
      <c r="A2698" s="9">
        <v>44863</v>
      </c>
      <c r="B2698" t="s">
        <v>590</v>
      </c>
      <c r="C2698" t="s">
        <v>8</v>
      </c>
      <c r="D2698" s="4">
        <v>185</v>
      </c>
      <c r="E2698" s="4"/>
      <c r="F2698">
        <v>188</v>
      </c>
      <c r="H2698" t="str">
        <f t="shared" si="42"/>
        <v>2022-10</v>
      </c>
      <c r="I2698" t="str">
        <f>_xlfn.XLOOKUP(Table1[[#This Row],[Customer_ID]],Customers!$A$2:$A$30,Customers!$C$2:$C$30,"Not found")</f>
        <v>Mixed</v>
      </c>
    </row>
    <row r="2699" spans="1:9">
      <c r="A2699" s="9">
        <v>44865</v>
      </c>
      <c r="B2699" t="s">
        <v>590</v>
      </c>
      <c r="C2699" t="s">
        <v>8</v>
      </c>
      <c r="D2699" s="4">
        <v>36</v>
      </c>
      <c r="E2699" s="4"/>
      <c r="F2699">
        <v>188</v>
      </c>
      <c r="H2699" t="str">
        <f t="shared" si="42"/>
        <v>2022-10</v>
      </c>
      <c r="I2699" t="str">
        <f>_xlfn.XLOOKUP(Table1[[#This Row],[Customer_ID]],Customers!$A$2:$A$30,Customers!$C$2:$C$30,"Not found")</f>
        <v>Mixed</v>
      </c>
    </row>
    <row r="2700" spans="1:9">
      <c r="A2700" s="9">
        <v>44867</v>
      </c>
      <c r="B2700" t="s">
        <v>590</v>
      </c>
      <c r="C2700" t="s">
        <v>8</v>
      </c>
      <c r="D2700" s="4">
        <v>360</v>
      </c>
      <c r="E2700" s="4"/>
      <c r="F2700">
        <v>188</v>
      </c>
      <c r="H2700" t="str">
        <f t="shared" si="42"/>
        <v>2022-11</v>
      </c>
      <c r="I2700" t="str">
        <f>_xlfn.XLOOKUP(Table1[[#This Row],[Customer_ID]],Customers!$A$2:$A$30,Customers!$C$2:$C$30,"Not found")</f>
        <v>Mixed</v>
      </c>
    </row>
    <row r="2701" spans="1:9">
      <c r="A2701" s="9">
        <v>44867</v>
      </c>
      <c r="B2701" t="s">
        <v>590</v>
      </c>
      <c r="C2701" t="s">
        <v>8</v>
      </c>
      <c r="D2701" s="4">
        <v>25</v>
      </c>
      <c r="E2701" s="4"/>
      <c r="F2701">
        <v>188</v>
      </c>
      <c r="H2701" t="str">
        <f t="shared" si="42"/>
        <v>2022-11</v>
      </c>
      <c r="I2701" t="str">
        <f>_xlfn.XLOOKUP(Table1[[#This Row],[Customer_ID]],Customers!$A$2:$A$30,Customers!$C$2:$C$30,"Not found")</f>
        <v>Mixed</v>
      </c>
    </row>
    <row r="2702" spans="1:9">
      <c r="A2702" s="9">
        <v>44868</v>
      </c>
      <c r="B2702" t="s">
        <v>590</v>
      </c>
      <c r="C2702" t="s">
        <v>8</v>
      </c>
      <c r="D2702" s="4">
        <v>190</v>
      </c>
      <c r="E2702" s="4"/>
      <c r="F2702">
        <v>188</v>
      </c>
      <c r="H2702" t="str">
        <f t="shared" si="42"/>
        <v>2022-11</v>
      </c>
      <c r="I2702" t="str">
        <f>_xlfn.XLOOKUP(Table1[[#This Row],[Customer_ID]],Customers!$A$2:$A$30,Customers!$C$2:$C$30,"Not found")</f>
        <v>Mixed</v>
      </c>
    </row>
    <row r="2703" spans="1:9">
      <c r="A2703" s="9">
        <v>44871</v>
      </c>
      <c r="B2703" t="s">
        <v>590</v>
      </c>
      <c r="C2703" t="s">
        <v>8</v>
      </c>
      <c r="D2703" s="4">
        <v>452</v>
      </c>
      <c r="E2703" s="4"/>
      <c r="F2703">
        <v>188</v>
      </c>
      <c r="H2703" t="str">
        <f t="shared" si="42"/>
        <v>2022-11</v>
      </c>
      <c r="I2703" t="str">
        <f>_xlfn.XLOOKUP(Table1[[#This Row],[Customer_ID]],Customers!$A$2:$A$30,Customers!$C$2:$C$30,"Not found")</f>
        <v>Mixed</v>
      </c>
    </row>
    <row r="2704" spans="1:9">
      <c r="A2704" s="9">
        <v>44874</v>
      </c>
      <c r="B2704" t="s">
        <v>590</v>
      </c>
      <c r="C2704" t="s">
        <v>8</v>
      </c>
      <c r="D2704" s="4">
        <v>258</v>
      </c>
      <c r="E2704" s="4">
        <v>9074</v>
      </c>
      <c r="F2704">
        <v>188</v>
      </c>
      <c r="G2704" t="s">
        <v>600</v>
      </c>
      <c r="H2704" t="str">
        <f t="shared" si="42"/>
        <v>2022-11</v>
      </c>
      <c r="I2704" t="str">
        <f>_xlfn.XLOOKUP(Table1[[#This Row],[Customer_ID]],Customers!$A$2:$A$30,Customers!$C$2:$C$30,"Not found")</f>
        <v>Mixed</v>
      </c>
    </row>
    <row r="2705" spans="1:9">
      <c r="A2705" s="9">
        <v>44876</v>
      </c>
      <c r="B2705" t="s">
        <v>590</v>
      </c>
      <c r="C2705" t="s">
        <v>14</v>
      </c>
      <c r="D2705" s="4">
        <v>8000</v>
      </c>
      <c r="E2705" s="4">
        <v>1074</v>
      </c>
      <c r="F2705">
        <v>188</v>
      </c>
      <c r="G2705" t="s">
        <v>601</v>
      </c>
      <c r="H2705" t="str">
        <f t="shared" si="42"/>
        <v>2022-11</v>
      </c>
      <c r="I2705" t="str">
        <f>_xlfn.XLOOKUP(Table1[[#This Row],[Customer_ID]],Customers!$A$2:$A$30,Customers!$C$2:$C$30,"Not found")</f>
        <v>Mixed</v>
      </c>
    </row>
    <row r="2706" spans="1:9">
      <c r="A2706" s="9"/>
      <c r="B2706" t="s">
        <v>590</v>
      </c>
      <c r="C2706" t="s">
        <v>14</v>
      </c>
      <c r="D2706" s="4">
        <v>500</v>
      </c>
      <c r="E2706" s="4">
        <v>574</v>
      </c>
      <c r="F2706">
        <v>188</v>
      </c>
      <c r="G2706" t="s">
        <v>602</v>
      </c>
      <c r="H2706" t="str">
        <f t="shared" si="42"/>
        <v/>
      </c>
      <c r="I2706" t="str">
        <f>_xlfn.XLOOKUP(Table1[[#This Row],[Customer_ID]],Customers!$A$2:$A$30,Customers!$C$2:$C$30,"Not found")</f>
        <v>Mixed</v>
      </c>
    </row>
    <row r="2707" spans="1:9">
      <c r="A2707" s="10"/>
      <c r="B2707" s="7" t="s">
        <v>590</v>
      </c>
      <c r="C2707" s="7" t="s">
        <v>14</v>
      </c>
      <c r="D2707" s="8">
        <v>500</v>
      </c>
      <c r="E2707" s="8">
        <v>74</v>
      </c>
      <c r="F2707" s="7">
        <v>188</v>
      </c>
      <c r="G2707" s="7" t="s">
        <v>603</v>
      </c>
      <c r="H2707" t="str">
        <f t="shared" si="42"/>
        <v/>
      </c>
      <c r="I2707" t="str">
        <f>_xlfn.XLOOKUP(Table1[[#This Row],[Customer_ID]],Customers!$A$2:$A$30,Customers!$C$2:$C$30,"Not found")</f>
        <v>Mixed</v>
      </c>
    </row>
    <row r="2708" spans="1:9">
      <c r="A2708" s="9">
        <v>44875</v>
      </c>
      <c r="B2708" t="s">
        <v>590</v>
      </c>
      <c r="C2708" t="s">
        <v>8</v>
      </c>
      <c r="D2708" s="4">
        <v>3817</v>
      </c>
      <c r="E2708" s="4"/>
      <c r="F2708">
        <v>188</v>
      </c>
      <c r="H2708" t="str">
        <f t="shared" si="42"/>
        <v>2022-11</v>
      </c>
      <c r="I2708" t="str">
        <f>_xlfn.XLOOKUP(Table1[[#This Row],[Customer_ID]],Customers!$A$2:$A$30,Customers!$C$2:$C$30,"Not found")</f>
        <v>Mixed</v>
      </c>
    </row>
    <row r="2709" spans="1:9">
      <c r="A2709" s="9">
        <v>44876</v>
      </c>
      <c r="B2709" t="s">
        <v>590</v>
      </c>
      <c r="C2709" t="s">
        <v>8</v>
      </c>
      <c r="D2709" s="4">
        <v>77</v>
      </c>
      <c r="E2709" s="4"/>
      <c r="F2709">
        <v>188</v>
      </c>
      <c r="H2709" t="str">
        <f t="shared" si="42"/>
        <v>2022-11</v>
      </c>
      <c r="I2709" t="str">
        <f>_xlfn.XLOOKUP(Table1[[#This Row],[Customer_ID]],Customers!$A$2:$A$30,Customers!$C$2:$C$30,"Not found")</f>
        <v>Mixed</v>
      </c>
    </row>
    <row r="2710" spans="1:9">
      <c r="A2710" s="9">
        <v>44882</v>
      </c>
      <c r="B2710" t="s">
        <v>590</v>
      </c>
      <c r="C2710" t="s">
        <v>8</v>
      </c>
      <c r="D2710" s="4">
        <v>385</v>
      </c>
      <c r="E2710" s="4"/>
      <c r="F2710">
        <v>188</v>
      </c>
      <c r="H2710" t="str">
        <f t="shared" si="42"/>
        <v>2022-11</v>
      </c>
      <c r="I2710" t="str">
        <f>_xlfn.XLOOKUP(Table1[[#This Row],[Customer_ID]],Customers!$A$2:$A$30,Customers!$C$2:$C$30,"Not found")</f>
        <v>Mixed</v>
      </c>
    </row>
    <row r="2711" spans="1:9">
      <c r="A2711" s="9">
        <v>44883</v>
      </c>
      <c r="B2711" t="s">
        <v>590</v>
      </c>
      <c r="C2711" t="s">
        <v>8</v>
      </c>
      <c r="D2711" s="4">
        <v>156</v>
      </c>
      <c r="E2711" s="4"/>
      <c r="F2711">
        <v>188</v>
      </c>
      <c r="H2711" t="str">
        <f t="shared" si="42"/>
        <v>2022-11</v>
      </c>
      <c r="I2711" t="str">
        <f>_xlfn.XLOOKUP(Table1[[#This Row],[Customer_ID]],Customers!$A$2:$A$30,Customers!$C$2:$C$30,"Not found")</f>
        <v>Mixed</v>
      </c>
    </row>
    <row r="2712" spans="1:9">
      <c r="A2712" s="9">
        <v>44885</v>
      </c>
      <c r="B2712" t="s">
        <v>590</v>
      </c>
      <c r="C2712" t="s">
        <v>8</v>
      </c>
      <c r="D2712" s="4">
        <v>250</v>
      </c>
      <c r="E2712" s="4"/>
      <c r="F2712">
        <v>188</v>
      </c>
      <c r="H2712" t="str">
        <f t="shared" si="42"/>
        <v>2022-11</v>
      </c>
      <c r="I2712" t="str">
        <f>_xlfn.XLOOKUP(Table1[[#This Row],[Customer_ID]],Customers!$A$2:$A$30,Customers!$C$2:$C$30,"Not found")</f>
        <v>Mixed</v>
      </c>
    </row>
    <row r="2713" spans="1:9">
      <c r="A2713" s="9">
        <v>44888</v>
      </c>
      <c r="B2713" t="s">
        <v>590</v>
      </c>
      <c r="C2713" t="s">
        <v>8</v>
      </c>
      <c r="D2713" s="4">
        <v>332</v>
      </c>
      <c r="E2713" s="4"/>
      <c r="F2713">
        <v>188</v>
      </c>
      <c r="H2713" t="str">
        <f t="shared" si="42"/>
        <v>2022-11</v>
      </c>
      <c r="I2713" t="str">
        <f>_xlfn.XLOOKUP(Table1[[#This Row],[Customer_ID]],Customers!$A$2:$A$30,Customers!$C$2:$C$30,"Not found")</f>
        <v>Mixed</v>
      </c>
    </row>
    <row r="2714" spans="1:9">
      <c r="A2714" s="9">
        <v>44890</v>
      </c>
      <c r="B2714" t="s">
        <v>590</v>
      </c>
      <c r="C2714" t="s">
        <v>8</v>
      </c>
      <c r="D2714" s="4">
        <v>394</v>
      </c>
      <c r="E2714" s="4"/>
      <c r="F2714">
        <v>188</v>
      </c>
      <c r="H2714" t="str">
        <f t="shared" si="42"/>
        <v>2022-11</v>
      </c>
      <c r="I2714" t="str">
        <f>_xlfn.XLOOKUP(Table1[[#This Row],[Customer_ID]],Customers!$A$2:$A$30,Customers!$C$2:$C$30,"Not found")</f>
        <v>Mixed</v>
      </c>
    </row>
    <row r="2715" spans="1:9">
      <c r="A2715" s="9">
        <v>44892</v>
      </c>
      <c r="B2715" t="s">
        <v>590</v>
      </c>
      <c r="C2715" t="s">
        <v>8</v>
      </c>
      <c r="D2715" s="4">
        <v>1000</v>
      </c>
      <c r="E2715" s="4"/>
      <c r="F2715">
        <v>188</v>
      </c>
      <c r="H2715" t="str">
        <f t="shared" si="42"/>
        <v>2022-11</v>
      </c>
      <c r="I2715" t="str">
        <f>_xlfn.XLOOKUP(Table1[[#This Row],[Customer_ID]],Customers!$A$2:$A$30,Customers!$C$2:$C$30,"Not found")</f>
        <v>Mixed</v>
      </c>
    </row>
    <row r="2716" spans="1:9">
      <c r="A2716" s="9">
        <v>44895</v>
      </c>
      <c r="B2716" t="s">
        <v>590</v>
      </c>
      <c r="C2716" t="s">
        <v>8</v>
      </c>
      <c r="D2716" s="4">
        <v>196</v>
      </c>
      <c r="E2716" s="4"/>
      <c r="F2716">
        <v>188</v>
      </c>
      <c r="H2716" t="str">
        <f t="shared" si="42"/>
        <v>2022-11</v>
      </c>
      <c r="I2716" t="str">
        <f>_xlfn.XLOOKUP(Table1[[#This Row],[Customer_ID]],Customers!$A$2:$A$30,Customers!$C$2:$C$30,"Not found")</f>
        <v>Mixed</v>
      </c>
    </row>
    <row r="2717" spans="1:9">
      <c r="A2717" s="9">
        <v>44898</v>
      </c>
      <c r="B2717" t="s">
        <v>590</v>
      </c>
      <c r="C2717" t="s">
        <v>8</v>
      </c>
      <c r="D2717" s="4">
        <v>397</v>
      </c>
      <c r="E2717" s="4"/>
      <c r="F2717">
        <v>188</v>
      </c>
      <c r="H2717" t="str">
        <f t="shared" si="42"/>
        <v>2022-12</v>
      </c>
      <c r="I2717" t="str">
        <f>_xlfn.XLOOKUP(Table1[[#This Row],[Customer_ID]],Customers!$A$2:$A$30,Customers!$C$2:$C$30,"Not found")</f>
        <v>Mixed</v>
      </c>
    </row>
    <row r="2718" spans="1:9">
      <c r="A2718" s="9">
        <v>44900</v>
      </c>
      <c r="B2718" t="s">
        <v>590</v>
      </c>
      <c r="C2718" t="s">
        <v>8</v>
      </c>
      <c r="D2718" s="4">
        <v>285</v>
      </c>
      <c r="E2718" s="4"/>
      <c r="F2718">
        <v>188</v>
      </c>
      <c r="H2718" t="str">
        <f t="shared" si="42"/>
        <v>2022-12</v>
      </c>
      <c r="I2718" t="str">
        <f>_xlfn.XLOOKUP(Table1[[#This Row],[Customer_ID]],Customers!$A$2:$A$30,Customers!$C$2:$C$30,"Not found")</f>
        <v>Mixed</v>
      </c>
    </row>
    <row r="2719" spans="1:9">
      <c r="A2719" s="9">
        <v>44902</v>
      </c>
      <c r="B2719" t="s">
        <v>590</v>
      </c>
      <c r="C2719" t="s">
        <v>8</v>
      </c>
      <c r="D2719" s="4">
        <v>501</v>
      </c>
      <c r="E2719" s="4"/>
      <c r="F2719">
        <v>188</v>
      </c>
      <c r="H2719" t="str">
        <f t="shared" si="42"/>
        <v>2022-12</v>
      </c>
      <c r="I2719" t="str">
        <f>_xlfn.XLOOKUP(Table1[[#This Row],[Customer_ID]],Customers!$A$2:$A$30,Customers!$C$2:$C$30,"Not found")</f>
        <v>Mixed</v>
      </c>
    </row>
    <row r="2720" spans="1:9">
      <c r="A2720" s="9">
        <v>44903</v>
      </c>
      <c r="B2720" t="s">
        <v>590</v>
      </c>
      <c r="C2720" t="s">
        <v>8</v>
      </c>
      <c r="D2720" s="4">
        <v>137</v>
      </c>
      <c r="E2720" s="4"/>
      <c r="F2720">
        <v>188</v>
      </c>
      <c r="H2720" t="str">
        <f t="shared" si="42"/>
        <v>2022-12</v>
      </c>
      <c r="I2720" t="str">
        <f>_xlfn.XLOOKUP(Table1[[#This Row],[Customer_ID]],Customers!$A$2:$A$30,Customers!$C$2:$C$30,"Not found")</f>
        <v>Mixed</v>
      </c>
    </row>
    <row r="2721" spans="1:9">
      <c r="A2721" s="9">
        <v>44903</v>
      </c>
      <c r="B2721" t="s">
        <v>590</v>
      </c>
      <c r="C2721" t="s">
        <v>8</v>
      </c>
      <c r="D2721" s="4">
        <v>120</v>
      </c>
      <c r="E2721" s="4"/>
      <c r="F2721">
        <v>188</v>
      </c>
      <c r="H2721" t="str">
        <f t="shared" si="42"/>
        <v>2022-12</v>
      </c>
      <c r="I2721" t="str">
        <f>_xlfn.XLOOKUP(Table1[[#This Row],[Customer_ID]],Customers!$A$2:$A$30,Customers!$C$2:$C$30,"Not found")</f>
        <v>Mixed</v>
      </c>
    </row>
    <row r="2722" spans="1:9">
      <c r="A2722" s="9">
        <v>44903</v>
      </c>
      <c r="B2722" t="s">
        <v>590</v>
      </c>
      <c r="C2722" t="s">
        <v>8</v>
      </c>
      <c r="D2722" s="4">
        <v>10</v>
      </c>
      <c r="E2722" s="4">
        <v>8131</v>
      </c>
      <c r="F2722">
        <v>188</v>
      </c>
      <c r="G2722" t="s">
        <v>604</v>
      </c>
      <c r="H2722" t="str">
        <f t="shared" si="42"/>
        <v>2022-12</v>
      </c>
      <c r="I2722" t="str">
        <f>_xlfn.XLOOKUP(Table1[[#This Row],[Customer_ID]],Customers!$A$2:$A$30,Customers!$C$2:$C$30,"Not found")</f>
        <v>Mixed</v>
      </c>
    </row>
    <row r="2723" spans="1:9">
      <c r="A2723" s="9">
        <v>44905</v>
      </c>
      <c r="B2723" t="s">
        <v>590</v>
      </c>
      <c r="C2723" t="s">
        <v>14</v>
      </c>
      <c r="D2723" s="4">
        <v>8100</v>
      </c>
      <c r="E2723" s="4">
        <v>31</v>
      </c>
      <c r="F2723">
        <v>188</v>
      </c>
      <c r="G2723" t="s">
        <v>605</v>
      </c>
      <c r="H2723" t="str">
        <f t="shared" si="42"/>
        <v>2022-12</v>
      </c>
      <c r="I2723" t="str">
        <f>_xlfn.XLOOKUP(Table1[[#This Row],[Customer_ID]],Customers!$A$2:$A$30,Customers!$C$2:$C$30,"Not found")</f>
        <v>Mixed</v>
      </c>
    </row>
    <row r="2724" spans="1:9">
      <c r="A2724" s="9">
        <v>44905</v>
      </c>
      <c r="B2724" t="s">
        <v>590</v>
      </c>
      <c r="C2724" t="s">
        <v>22</v>
      </c>
      <c r="D2724" s="4">
        <v>-31</v>
      </c>
      <c r="E2724" s="4">
        <v>0</v>
      </c>
      <c r="F2724">
        <v>188</v>
      </c>
      <c r="G2724" t="s">
        <v>606</v>
      </c>
      <c r="H2724" t="str">
        <f t="shared" si="42"/>
        <v>2022-12</v>
      </c>
      <c r="I2724" t="str">
        <f>_xlfn.XLOOKUP(Table1[[#This Row],[Customer_ID]],Customers!$A$2:$A$30,Customers!$C$2:$C$30,"Not found")</f>
        <v>Mixed</v>
      </c>
    </row>
    <row r="2725" spans="1:9">
      <c r="A2725" s="9">
        <v>44905</v>
      </c>
      <c r="B2725" t="s">
        <v>590</v>
      </c>
      <c r="C2725" t="s">
        <v>8</v>
      </c>
      <c r="D2725" s="4">
        <v>3397</v>
      </c>
      <c r="E2725" s="4"/>
      <c r="F2725">
        <v>188</v>
      </c>
      <c r="G2725" t="s">
        <v>607</v>
      </c>
      <c r="H2725" t="str">
        <f t="shared" si="42"/>
        <v>2022-12</v>
      </c>
      <c r="I2725" t="str">
        <f>_xlfn.XLOOKUP(Table1[[#This Row],[Customer_ID]],Customers!$A$2:$A$30,Customers!$C$2:$C$30,"Not found")</f>
        <v>Mixed</v>
      </c>
    </row>
    <row r="2726" spans="1:9">
      <c r="A2726" s="9">
        <v>44905</v>
      </c>
      <c r="B2726" t="s">
        <v>590</v>
      </c>
      <c r="C2726" t="s">
        <v>8</v>
      </c>
      <c r="D2726" s="4">
        <v>77</v>
      </c>
      <c r="E2726" s="4"/>
      <c r="F2726">
        <v>188</v>
      </c>
      <c r="H2726" t="str">
        <f t="shared" si="42"/>
        <v>2022-12</v>
      </c>
      <c r="I2726" t="str">
        <f>_xlfn.XLOOKUP(Table1[[#This Row],[Customer_ID]],Customers!$A$2:$A$30,Customers!$C$2:$C$30,"Not found")</f>
        <v>Mixed</v>
      </c>
    </row>
    <row r="2727" spans="1:9">
      <c r="A2727" s="9">
        <v>44905</v>
      </c>
      <c r="B2727" t="s">
        <v>590</v>
      </c>
      <c r="C2727" t="s">
        <v>8</v>
      </c>
      <c r="D2727" s="4">
        <v>155</v>
      </c>
      <c r="E2727" s="4"/>
      <c r="F2727">
        <v>188</v>
      </c>
      <c r="H2727" t="str">
        <f t="shared" si="42"/>
        <v>2022-12</v>
      </c>
      <c r="I2727" t="str">
        <f>_xlfn.XLOOKUP(Table1[[#This Row],[Customer_ID]],Customers!$A$2:$A$30,Customers!$C$2:$C$30,"Not found")</f>
        <v>Mixed</v>
      </c>
    </row>
    <row r="2728" spans="1:9">
      <c r="A2728" s="9">
        <v>44907</v>
      </c>
      <c r="B2728" t="s">
        <v>590</v>
      </c>
      <c r="C2728" t="s">
        <v>8</v>
      </c>
      <c r="D2728" s="4">
        <v>209</v>
      </c>
      <c r="E2728" s="4"/>
      <c r="F2728">
        <v>188</v>
      </c>
      <c r="H2728" t="str">
        <f t="shared" si="42"/>
        <v>2022-12</v>
      </c>
      <c r="I2728" t="str">
        <f>_xlfn.XLOOKUP(Table1[[#This Row],[Customer_ID]],Customers!$A$2:$A$30,Customers!$C$2:$C$30,"Not found")</f>
        <v>Mixed</v>
      </c>
    </row>
    <row r="2729" spans="1:9">
      <c r="A2729" s="9">
        <v>44907</v>
      </c>
      <c r="B2729" t="s">
        <v>590</v>
      </c>
      <c r="C2729" t="s">
        <v>8</v>
      </c>
      <c r="D2729" s="4">
        <v>13</v>
      </c>
      <c r="E2729" s="4"/>
      <c r="F2729">
        <v>188</v>
      </c>
      <c r="H2729" t="str">
        <f t="shared" si="42"/>
        <v>2022-12</v>
      </c>
      <c r="I2729" t="str">
        <f>_xlfn.XLOOKUP(Table1[[#This Row],[Customer_ID]],Customers!$A$2:$A$30,Customers!$C$2:$C$30,"Not found")</f>
        <v>Mixed</v>
      </c>
    </row>
    <row r="2730" spans="1:9">
      <c r="A2730" s="9">
        <v>44907</v>
      </c>
      <c r="B2730" t="s">
        <v>590</v>
      </c>
      <c r="C2730" t="s">
        <v>8</v>
      </c>
      <c r="D2730" s="4">
        <v>45</v>
      </c>
      <c r="E2730" s="4"/>
      <c r="F2730">
        <v>188</v>
      </c>
      <c r="H2730" t="str">
        <f t="shared" si="42"/>
        <v>2022-12</v>
      </c>
      <c r="I2730" t="str">
        <f>_xlfn.XLOOKUP(Table1[[#This Row],[Customer_ID]],Customers!$A$2:$A$30,Customers!$C$2:$C$30,"Not found")</f>
        <v>Mixed</v>
      </c>
    </row>
    <row r="2731" spans="1:9">
      <c r="A2731" s="9">
        <v>44908</v>
      </c>
      <c r="B2731" t="s">
        <v>590</v>
      </c>
      <c r="C2731" t="s">
        <v>8</v>
      </c>
      <c r="D2731" s="4">
        <v>230</v>
      </c>
      <c r="E2731" s="4"/>
      <c r="F2731">
        <v>188</v>
      </c>
      <c r="H2731" t="str">
        <f t="shared" si="42"/>
        <v>2022-12</v>
      </c>
      <c r="I2731" t="str">
        <f>_xlfn.XLOOKUP(Table1[[#This Row],[Customer_ID]],Customers!$A$2:$A$30,Customers!$C$2:$C$30,"Not found")</f>
        <v>Mixed</v>
      </c>
    </row>
    <row r="2732" spans="1:9">
      <c r="A2732" s="9">
        <v>44909</v>
      </c>
      <c r="B2732" t="s">
        <v>590</v>
      </c>
      <c r="C2732" t="s">
        <v>8</v>
      </c>
      <c r="D2732" s="4">
        <v>50</v>
      </c>
      <c r="E2732" s="4"/>
      <c r="F2732">
        <v>188</v>
      </c>
      <c r="H2732" t="str">
        <f t="shared" si="42"/>
        <v>2022-12</v>
      </c>
      <c r="I2732" t="str">
        <f>_xlfn.XLOOKUP(Table1[[#This Row],[Customer_ID]],Customers!$A$2:$A$30,Customers!$C$2:$C$30,"Not found")</f>
        <v>Mixed</v>
      </c>
    </row>
    <row r="2733" spans="1:9">
      <c r="A2733" s="9">
        <v>44913</v>
      </c>
      <c r="B2733" t="s">
        <v>590</v>
      </c>
      <c r="C2733" t="s">
        <v>8</v>
      </c>
      <c r="D2733" s="4">
        <v>138</v>
      </c>
      <c r="E2733" s="4"/>
      <c r="F2733">
        <v>188</v>
      </c>
      <c r="H2733" t="str">
        <f t="shared" si="42"/>
        <v>2022-12</v>
      </c>
      <c r="I2733" t="str">
        <f>_xlfn.XLOOKUP(Table1[[#This Row],[Customer_ID]],Customers!$A$2:$A$30,Customers!$C$2:$C$30,"Not found")</f>
        <v>Mixed</v>
      </c>
    </row>
    <row r="2734" spans="1:9">
      <c r="A2734" s="9">
        <v>44915</v>
      </c>
      <c r="B2734" t="s">
        <v>590</v>
      </c>
      <c r="C2734" t="s">
        <v>8</v>
      </c>
      <c r="D2734" s="4">
        <v>30</v>
      </c>
      <c r="E2734" s="4"/>
      <c r="F2734">
        <v>188</v>
      </c>
      <c r="H2734" t="str">
        <f t="shared" si="42"/>
        <v>2022-12</v>
      </c>
      <c r="I2734" t="str">
        <f>_xlfn.XLOOKUP(Table1[[#This Row],[Customer_ID]],Customers!$A$2:$A$30,Customers!$C$2:$C$30,"Not found")</f>
        <v>Mixed</v>
      </c>
    </row>
    <row r="2735" spans="1:9">
      <c r="A2735" s="9">
        <v>44916</v>
      </c>
      <c r="B2735" t="s">
        <v>590</v>
      </c>
      <c r="C2735" t="s">
        <v>8</v>
      </c>
      <c r="D2735" s="4">
        <v>986</v>
      </c>
      <c r="E2735" s="4"/>
      <c r="F2735">
        <v>188</v>
      </c>
      <c r="H2735" t="str">
        <f t="shared" si="42"/>
        <v>2022-12</v>
      </c>
      <c r="I2735" t="str">
        <f>_xlfn.XLOOKUP(Table1[[#This Row],[Customer_ID]],Customers!$A$2:$A$30,Customers!$C$2:$C$30,"Not found")</f>
        <v>Mixed</v>
      </c>
    </row>
    <row r="2736" spans="1:9">
      <c r="A2736" s="9">
        <v>44917</v>
      </c>
      <c r="B2736" t="s">
        <v>590</v>
      </c>
      <c r="C2736" t="s">
        <v>8</v>
      </c>
      <c r="D2736" s="4">
        <v>139</v>
      </c>
      <c r="E2736" s="4"/>
      <c r="F2736">
        <v>188</v>
      </c>
      <c r="H2736" t="str">
        <f t="shared" si="42"/>
        <v>2022-12</v>
      </c>
      <c r="I2736" t="str">
        <f>_xlfn.XLOOKUP(Table1[[#This Row],[Customer_ID]],Customers!$A$2:$A$30,Customers!$C$2:$C$30,"Not found")</f>
        <v>Mixed</v>
      </c>
    </row>
    <row r="2737" spans="1:9">
      <c r="A2737" s="9">
        <v>44921</v>
      </c>
      <c r="B2737" t="s">
        <v>590</v>
      </c>
      <c r="C2737" t="s">
        <v>8</v>
      </c>
      <c r="D2737" s="4">
        <v>276</v>
      </c>
      <c r="E2737" s="4"/>
      <c r="F2737">
        <v>188</v>
      </c>
      <c r="H2737" t="str">
        <f t="shared" si="42"/>
        <v>2022-12</v>
      </c>
      <c r="I2737" t="str">
        <f>_xlfn.XLOOKUP(Table1[[#This Row],[Customer_ID]],Customers!$A$2:$A$30,Customers!$C$2:$C$30,"Not found")</f>
        <v>Mixed</v>
      </c>
    </row>
    <row r="2738" spans="1:9">
      <c r="A2738" s="9">
        <v>44924</v>
      </c>
      <c r="B2738" t="s">
        <v>590</v>
      </c>
      <c r="C2738" t="s">
        <v>8</v>
      </c>
      <c r="D2738" s="4">
        <v>52</v>
      </c>
      <c r="E2738" s="4"/>
      <c r="F2738">
        <v>188</v>
      </c>
      <c r="G2738" t="s">
        <v>293</v>
      </c>
      <c r="H2738" t="str">
        <f t="shared" si="42"/>
        <v>2022-12</v>
      </c>
      <c r="I2738" t="str">
        <f>_xlfn.XLOOKUP(Table1[[#This Row],[Customer_ID]],Customers!$A$2:$A$30,Customers!$C$2:$C$30,"Not found")</f>
        <v>Mixed</v>
      </c>
    </row>
    <row r="2739" spans="1:9">
      <c r="A2739" s="9">
        <v>44924</v>
      </c>
      <c r="B2739" t="s">
        <v>590</v>
      </c>
      <c r="C2739" t="s">
        <v>8</v>
      </c>
      <c r="D2739" s="4">
        <v>90</v>
      </c>
      <c r="E2739" s="4"/>
      <c r="F2739">
        <v>188</v>
      </c>
      <c r="H2739" t="str">
        <f t="shared" si="42"/>
        <v>2022-12</v>
      </c>
      <c r="I2739" t="str">
        <f>_xlfn.XLOOKUP(Table1[[#This Row],[Customer_ID]],Customers!$A$2:$A$30,Customers!$C$2:$C$30,"Not found")</f>
        <v>Mixed</v>
      </c>
    </row>
    <row r="2740" spans="1:9">
      <c r="A2740" s="9">
        <v>44925</v>
      </c>
      <c r="B2740" t="s">
        <v>590</v>
      </c>
      <c r="C2740" t="s">
        <v>8</v>
      </c>
      <c r="D2740" s="4">
        <v>1010</v>
      </c>
      <c r="E2740" s="4"/>
      <c r="F2740">
        <v>188</v>
      </c>
      <c r="H2740" t="str">
        <f t="shared" si="42"/>
        <v>2022-12</v>
      </c>
      <c r="I2740" t="str">
        <f>_xlfn.XLOOKUP(Table1[[#This Row],[Customer_ID]],Customers!$A$2:$A$30,Customers!$C$2:$C$30,"Not found")</f>
        <v>Mixed</v>
      </c>
    </row>
    <row r="2741" spans="1:9">
      <c r="A2741" s="9">
        <v>44925</v>
      </c>
      <c r="B2741" t="s">
        <v>590</v>
      </c>
      <c r="C2741" t="s">
        <v>8</v>
      </c>
      <c r="D2741" s="4">
        <v>308</v>
      </c>
      <c r="E2741" s="4"/>
      <c r="F2741">
        <v>188</v>
      </c>
      <c r="H2741" t="str">
        <f t="shared" si="42"/>
        <v>2022-12</v>
      </c>
      <c r="I2741" t="str">
        <f>_xlfn.XLOOKUP(Table1[[#This Row],[Customer_ID]],Customers!$A$2:$A$30,Customers!$C$2:$C$30,"Not found")</f>
        <v>Mixed</v>
      </c>
    </row>
    <row r="2742" spans="1:9">
      <c r="A2742" s="9">
        <v>44928</v>
      </c>
      <c r="B2742" t="s">
        <v>590</v>
      </c>
      <c r="C2742" t="s">
        <v>8</v>
      </c>
      <c r="D2742" s="4">
        <v>251</v>
      </c>
      <c r="E2742" s="4"/>
      <c r="F2742">
        <v>188</v>
      </c>
      <c r="H2742" t="str">
        <f t="shared" si="42"/>
        <v>2023-01</v>
      </c>
      <c r="I2742" t="str">
        <f>_xlfn.XLOOKUP(Table1[[#This Row],[Customer_ID]],Customers!$A$2:$A$30,Customers!$C$2:$C$30,"Not found")</f>
        <v>Mixed</v>
      </c>
    </row>
    <row r="2743" spans="1:9">
      <c r="A2743" s="9">
        <v>44929</v>
      </c>
      <c r="B2743" t="s">
        <v>590</v>
      </c>
      <c r="C2743" t="s">
        <v>8</v>
      </c>
      <c r="D2743" s="4">
        <v>182</v>
      </c>
      <c r="E2743" s="4"/>
      <c r="F2743">
        <v>188</v>
      </c>
      <c r="H2743" t="str">
        <f t="shared" si="42"/>
        <v>2023-01</v>
      </c>
      <c r="I2743" t="str">
        <f>_xlfn.XLOOKUP(Table1[[#This Row],[Customer_ID]],Customers!$A$2:$A$30,Customers!$C$2:$C$30,"Not found")</f>
        <v>Mixed</v>
      </c>
    </row>
    <row r="2744" spans="1:9">
      <c r="A2744" s="9">
        <v>44929</v>
      </c>
      <c r="B2744" t="s">
        <v>590</v>
      </c>
      <c r="C2744" t="s">
        <v>8</v>
      </c>
      <c r="D2744" s="4">
        <v>25</v>
      </c>
      <c r="E2744" s="4"/>
      <c r="F2744">
        <v>188</v>
      </c>
      <c r="H2744" t="str">
        <f t="shared" si="42"/>
        <v>2023-01</v>
      </c>
      <c r="I2744" t="str">
        <f>_xlfn.XLOOKUP(Table1[[#This Row],[Customer_ID]],Customers!$A$2:$A$30,Customers!$C$2:$C$30,"Not found")</f>
        <v>Mixed</v>
      </c>
    </row>
    <row r="2745" spans="1:9">
      <c r="A2745" s="9">
        <v>44930</v>
      </c>
      <c r="B2745" t="s">
        <v>590</v>
      </c>
      <c r="C2745" t="s">
        <v>8</v>
      </c>
      <c r="D2745" s="4">
        <v>563</v>
      </c>
      <c r="E2745" s="4"/>
      <c r="F2745">
        <v>189</v>
      </c>
      <c r="G2745" t="s">
        <v>608</v>
      </c>
      <c r="H2745" t="str">
        <f t="shared" si="42"/>
        <v>2023-01</v>
      </c>
      <c r="I2745" t="str">
        <f>_xlfn.XLOOKUP(Table1[[#This Row],[Customer_ID]],Customers!$A$2:$A$30,Customers!$C$2:$C$30,"Not found")</f>
        <v>Mixed</v>
      </c>
    </row>
    <row r="2746" spans="1:9">
      <c r="A2746" s="9">
        <v>44933</v>
      </c>
      <c r="B2746" t="s">
        <v>590</v>
      </c>
      <c r="C2746" t="s">
        <v>8</v>
      </c>
      <c r="D2746" s="4">
        <v>20</v>
      </c>
      <c r="E2746" s="4"/>
      <c r="F2746">
        <v>189</v>
      </c>
      <c r="H2746" t="str">
        <f t="shared" si="42"/>
        <v>2023-01</v>
      </c>
      <c r="I2746" t="str">
        <f>_xlfn.XLOOKUP(Table1[[#This Row],[Customer_ID]],Customers!$A$2:$A$30,Customers!$C$2:$C$30,"Not found")</f>
        <v>Mixed</v>
      </c>
    </row>
    <row r="2747" spans="1:9">
      <c r="A2747" s="9">
        <v>44933</v>
      </c>
      <c r="B2747" t="s">
        <v>590</v>
      </c>
      <c r="C2747" t="s">
        <v>8</v>
      </c>
      <c r="D2747" s="4">
        <v>378</v>
      </c>
      <c r="E2747" s="4"/>
      <c r="F2747">
        <v>189</v>
      </c>
      <c r="H2747" t="str">
        <f t="shared" si="42"/>
        <v>2023-01</v>
      </c>
      <c r="I2747" t="str">
        <f>_xlfn.XLOOKUP(Table1[[#This Row],[Customer_ID]],Customers!$A$2:$A$30,Customers!$C$2:$C$30,"Not found")</f>
        <v>Mixed</v>
      </c>
    </row>
    <row r="2748" spans="1:9">
      <c r="A2748" s="9">
        <v>44935</v>
      </c>
      <c r="B2748" t="s">
        <v>590</v>
      </c>
      <c r="C2748" t="s">
        <v>8</v>
      </c>
      <c r="D2748" s="4">
        <v>20</v>
      </c>
      <c r="E2748" s="4"/>
      <c r="F2748">
        <v>189</v>
      </c>
      <c r="H2748" t="str">
        <f t="shared" si="42"/>
        <v>2023-01</v>
      </c>
      <c r="I2748" t="str">
        <f>_xlfn.XLOOKUP(Table1[[#This Row],[Customer_ID]],Customers!$A$2:$A$30,Customers!$C$2:$C$30,"Not found")</f>
        <v>Mixed</v>
      </c>
    </row>
    <row r="2749" spans="1:9">
      <c r="A2749" s="9">
        <v>44935</v>
      </c>
      <c r="B2749" t="s">
        <v>590</v>
      </c>
      <c r="C2749" t="s">
        <v>8</v>
      </c>
      <c r="D2749" s="4">
        <v>401</v>
      </c>
      <c r="E2749" s="4"/>
      <c r="F2749">
        <v>189</v>
      </c>
      <c r="H2749" t="str">
        <f t="shared" si="42"/>
        <v>2023-01</v>
      </c>
      <c r="I2749" t="str">
        <f>_xlfn.XLOOKUP(Table1[[#This Row],[Customer_ID]],Customers!$A$2:$A$30,Customers!$C$2:$C$30,"Not found")</f>
        <v>Mixed</v>
      </c>
    </row>
    <row r="2750" spans="1:9">
      <c r="A2750" s="9">
        <v>44935</v>
      </c>
      <c r="B2750" t="s">
        <v>590</v>
      </c>
      <c r="C2750" t="s">
        <v>22</v>
      </c>
      <c r="D2750" s="4">
        <v>62</v>
      </c>
      <c r="E2750" s="4">
        <v>9107</v>
      </c>
      <c r="F2750">
        <v>189</v>
      </c>
      <c r="G2750" t="s">
        <v>609</v>
      </c>
      <c r="H2750" t="str">
        <f t="shared" si="42"/>
        <v>2023-01</v>
      </c>
      <c r="I2750" t="str">
        <f>_xlfn.XLOOKUP(Table1[[#This Row],[Customer_ID]],Customers!$A$2:$A$30,Customers!$C$2:$C$30,"Not found")</f>
        <v>Mixed</v>
      </c>
    </row>
    <row r="2751" spans="1:9">
      <c r="A2751" s="9"/>
      <c r="B2751" t="s">
        <v>590</v>
      </c>
      <c r="C2751" t="s">
        <v>14</v>
      </c>
      <c r="D2751" s="4">
        <v>9100</v>
      </c>
      <c r="E2751" s="4">
        <v>7</v>
      </c>
      <c r="F2751">
        <v>189</v>
      </c>
      <c r="G2751" t="s">
        <v>610</v>
      </c>
      <c r="H2751" t="str">
        <f t="shared" ref="H2751:H2814" si="43">IF(A2751="","",TEXT(A2751,"yyyy-mm"))</f>
        <v/>
      </c>
      <c r="I2751" t="str">
        <f>_xlfn.XLOOKUP(Table1[[#This Row],[Customer_ID]],Customers!$A$2:$A$30,Customers!$C$2:$C$30,"Not found")</f>
        <v>Mixed</v>
      </c>
    </row>
    <row r="2752" spans="1:9">
      <c r="A2752" s="9"/>
      <c r="B2752" t="s">
        <v>590</v>
      </c>
      <c r="C2752" t="s">
        <v>22</v>
      </c>
      <c r="D2752" s="4">
        <v>-7</v>
      </c>
      <c r="E2752" s="4">
        <v>0</v>
      </c>
      <c r="F2752">
        <v>189</v>
      </c>
      <c r="G2752" t="s">
        <v>611</v>
      </c>
      <c r="H2752" t="str">
        <f t="shared" si="43"/>
        <v/>
      </c>
      <c r="I2752" t="str">
        <f>_xlfn.XLOOKUP(Table1[[#This Row],[Customer_ID]],Customers!$A$2:$A$30,Customers!$C$2:$C$30,"Not found")</f>
        <v>Mixed</v>
      </c>
    </row>
    <row r="2753" spans="1:9">
      <c r="A2753" s="9">
        <v>44938</v>
      </c>
      <c r="B2753" t="s">
        <v>590</v>
      </c>
      <c r="C2753" t="s">
        <v>8</v>
      </c>
      <c r="D2753" s="4">
        <v>4405</v>
      </c>
      <c r="E2753" s="4"/>
      <c r="F2753">
        <v>189</v>
      </c>
      <c r="H2753" t="str">
        <f t="shared" si="43"/>
        <v>2023-01</v>
      </c>
      <c r="I2753" t="str">
        <f>_xlfn.XLOOKUP(Table1[[#This Row],[Customer_ID]],Customers!$A$2:$A$30,Customers!$C$2:$C$30,"Not found")</f>
        <v>Mixed</v>
      </c>
    </row>
    <row r="2754" spans="1:9">
      <c r="A2754" s="9">
        <v>44945</v>
      </c>
      <c r="B2754" t="s">
        <v>590</v>
      </c>
      <c r="C2754" t="s">
        <v>8</v>
      </c>
      <c r="D2754" s="4">
        <v>778</v>
      </c>
      <c r="E2754" s="4"/>
      <c r="F2754">
        <v>189</v>
      </c>
      <c r="H2754" t="str">
        <f t="shared" si="43"/>
        <v>2023-01</v>
      </c>
      <c r="I2754" t="str">
        <f>_xlfn.XLOOKUP(Table1[[#This Row],[Customer_ID]],Customers!$A$2:$A$30,Customers!$C$2:$C$30,"Not found")</f>
        <v>Mixed</v>
      </c>
    </row>
    <row r="2755" spans="1:9">
      <c r="A2755" s="9">
        <v>44949</v>
      </c>
      <c r="B2755" t="s">
        <v>590</v>
      </c>
      <c r="C2755" t="s">
        <v>8</v>
      </c>
      <c r="D2755" s="4">
        <v>1110</v>
      </c>
      <c r="E2755" s="4"/>
      <c r="F2755">
        <v>189</v>
      </c>
      <c r="H2755" t="str">
        <f t="shared" si="43"/>
        <v>2023-01</v>
      </c>
      <c r="I2755" t="str">
        <f>_xlfn.XLOOKUP(Table1[[#This Row],[Customer_ID]],Customers!$A$2:$A$30,Customers!$C$2:$C$30,"Not found")</f>
        <v>Mixed</v>
      </c>
    </row>
    <row r="2756" spans="1:9">
      <c r="A2756" s="9">
        <v>44951</v>
      </c>
      <c r="B2756" t="s">
        <v>590</v>
      </c>
      <c r="C2756" t="s">
        <v>8</v>
      </c>
      <c r="D2756" s="4">
        <v>100</v>
      </c>
      <c r="E2756" s="4"/>
      <c r="F2756">
        <v>189</v>
      </c>
      <c r="H2756" t="str">
        <f t="shared" si="43"/>
        <v>2023-01</v>
      </c>
      <c r="I2756" t="str">
        <f>_xlfn.XLOOKUP(Table1[[#This Row],[Customer_ID]],Customers!$A$2:$A$30,Customers!$C$2:$C$30,"Not found")</f>
        <v>Mixed</v>
      </c>
    </row>
    <row r="2757" spans="1:9">
      <c r="A2757" s="9">
        <v>44954</v>
      </c>
      <c r="B2757" t="s">
        <v>590</v>
      </c>
      <c r="C2757" t="s">
        <v>8</v>
      </c>
      <c r="D2757" s="4">
        <v>1210</v>
      </c>
      <c r="E2757" s="4"/>
      <c r="F2757">
        <v>189</v>
      </c>
      <c r="H2757" t="str">
        <f t="shared" si="43"/>
        <v>2023-01</v>
      </c>
      <c r="I2757" t="str">
        <f>_xlfn.XLOOKUP(Table1[[#This Row],[Customer_ID]],Customers!$A$2:$A$30,Customers!$C$2:$C$30,"Not found")</f>
        <v>Mixed</v>
      </c>
    </row>
    <row r="2758" spans="1:9">
      <c r="A2758" s="9">
        <v>44960</v>
      </c>
      <c r="B2758" t="s">
        <v>590</v>
      </c>
      <c r="C2758" t="s">
        <v>8</v>
      </c>
      <c r="D2758" s="4">
        <v>697</v>
      </c>
      <c r="E2758" s="4"/>
      <c r="F2758">
        <v>189</v>
      </c>
      <c r="H2758" t="str">
        <f t="shared" si="43"/>
        <v>2023-02</v>
      </c>
      <c r="I2758" t="str">
        <f>_xlfn.XLOOKUP(Table1[[#This Row],[Customer_ID]],Customers!$A$2:$A$30,Customers!$C$2:$C$30,"Not found")</f>
        <v>Mixed</v>
      </c>
    </row>
    <row r="2759" spans="1:9">
      <c r="A2759" s="9">
        <v>44960</v>
      </c>
      <c r="B2759" t="s">
        <v>590</v>
      </c>
      <c r="C2759" t="s">
        <v>8</v>
      </c>
      <c r="D2759" s="4">
        <v>20</v>
      </c>
      <c r="E2759" s="4"/>
      <c r="F2759">
        <v>189</v>
      </c>
      <c r="H2759" t="str">
        <f t="shared" si="43"/>
        <v>2023-02</v>
      </c>
      <c r="I2759" t="str">
        <f>_xlfn.XLOOKUP(Table1[[#This Row],[Customer_ID]],Customers!$A$2:$A$30,Customers!$C$2:$C$30,"Not found")</f>
        <v>Mixed</v>
      </c>
    </row>
    <row r="2760" spans="1:9">
      <c r="A2760" s="9">
        <v>44962</v>
      </c>
      <c r="B2760" t="s">
        <v>590</v>
      </c>
      <c r="C2760" t="s">
        <v>8</v>
      </c>
      <c r="D2760" s="4">
        <v>244</v>
      </c>
      <c r="E2760" s="4"/>
      <c r="F2760">
        <v>189</v>
      </c>
      <c r="H2760" t="str">
        <f t="shared" si="43"/>
        <v>2023-02</v>
      </c>
      <c r="I2760" t="str">
        <f>_xlfn.XLOOKUP(Table1[[#This Row],[Customer_ID]],Customers!$A$2:$A$30,Customers!$C$2:$C$30,"Not found")</f>
        <v>Mixed</v>
      </c>
    </row>
    <row r="2761" spans="1:9">
      <c r="A2761" s="9">
        <v>44963</v>
      </c>
      <c r="B2761" t="s">
        <v>590</v>
      </c>
      <c r="C2761" t="s">
        <v>8</v>
      </c>
      <c r="D2761" s="4">
        <v>348</v>
      </c>
      <c r="E2761" s="4"/>
      <c r="F2761">
        <v>189</v>
      </c>
      <c r="H2761" t="str">
        <f t="shared" si="43"/>
        <v>2023-02</v>
      </c>
      <c r="I2761" t="str">
        <f>_xlfn.XLOOKUP(Table1[[#This Row],[Customer_ID]],Customers!$A$2:$A$30,Customers!$C$2:$C$30,"Not found")</f>
        <v>Mixed</v>
      </c>
    </row>
    <row r="2762" spans="1:9">
      <c r="A2762" s="9">
        <v>44965</v>
      </c>
      <c r="B2762" t="s">
        <v>590</v>
      </c>
      <c r="C2762" t="s">
        <v>8</v>
      </c>
      <c r="D2762" s="4">
        <v>470</v>
      </c>
      <c r="E2762" s="4"/>
      <c r="F2762">
        <v>189</v>
      </c>
      <c r="H2762" t="str">
        <f t="shared" si="43"/>
        <v>2023-02</v>
      </c>
      <c r="I2762" t="str">
        <f>_xlfn.XLOOKUP(Table1[[#This Row],[Customer_ID]],Customers!$A$2:$A$30,Customers!$C$2:$C$30,"Not found")</f>
        <v>Mixed</v>
      </c>
    </row>
    <row r="2763" spans="1:9">
      <c r="A2763" s="9">
        <v>44965</v>
      </c>
      <c r="B2763" t="s">
        <v>590</v>
      </c>
      <c r="C2763" t="s">
        <v>8</v>
      </c>
      <c r="D2763" s="4">
        <v>15</v>
      </c>
      <c r="E2763" s="4"/>
      <c r="F2763">
        <v>189</v>
      </c>
      <c r="H2763" t="str">
        <f t="shared" si="43"/>
        <v>2023-02</v>
      </c>
      <c r="I2763" t="str">
        <f>_xlfn.XLOOKUP(Table1[[#This Row],[Customer_ID]],Customers!$A$2:$A$30,Customers!$C$2:$C$30,"Not found")</f>
        <v>Mixed</v>
      </c>
    </row>
    <row r="2764" spans="1:9">
      <c r="A2764" s="9">
        <v>44966</v>
      </c>
      <c r="B2764" t="s">
        <v>590</v>
      </c>
      <c r="C2764" t="s">
        <v>8</v>
      </c>
      <c r="D2764" s="4">
        <v>152</v>
      </c>
      <c r="E2764" s="4"/>
      <c r="F2764">
        <v>189</v>
      </c>
      <c r="H2764" t="str">
        <f t="shared" si="43"/>
        <v>2023-02</v>
      </c>
      <c r="I2764" t="str">
        <f>_xlfn.XLOOKUP(Table1[[#This Row],[Customer_ID]],Customers!$A$2:$A$30,Customers!$C$2:$C$30,"Not found")</f>
        <v>Mixed</v>
      </c>
    </row>
    <row r="2765" spans="1:9">
      <c r="A2765" s="9">
        <v>44966</v>
      </c>
      <c r="B2765" t="s">
        <v>590</v>
      </c>
      <c r="C2765" t="s">
        <v>22</v>
      </c>
      <c r="D2765" s="4">
        <v>-7</v>
      </c>
      <c r="E2765" s="4">
        <v>9542</v>
      </c>
      <c r="F2765">
        <v>189</v>
      </c>
      <c r="G2765" t="s">
        <v>612</v>
      </c>
      <c r="H2765" t="str">
        <f t="shared" si="43"/>
        <v>2023-02</v>
      </c>
      <c r="I2765" t="str">
        <f>_xlfn.XLOOKUP(Table1[[#This Row],[Customer_ID]],Customers!$A$2:$A$30,Customers!$C$2:$C$30,"Not found")</f>
        <v>Mixed</v>
      </c>
    </row>
    <row r="2766" spans="1:9">
      <c r="A2766" s="9">
        <v>44971</v>
      </c>
      <c r="B2766" t="s">
        <v>590</v>
      </c>
      <c r="C2766" t="s">
        <v>14</v>
      </c>
      <c r="D2766" s="4">
        <v>8500</v>
      </c>
      <c r="E2766" s="4">
        <v>1042</v>
      </c>
      <c r="F2766">
        <v>189</v>
      </c>
      <c r="G2766" t="s">
        <v>613</v>
      </c>
      <c r="H2766" t="str">
        <f t="shared" si="43"/>
        <v>2023-02</v>
      </c>
      <c r="I2766" t="str">
        <f>_xlfn.XLOOKUP(Table1[[#This Row],[Customer_ID]],Customers!$A$2:$A$30,Customers!$C$2:$C$30,"Not found")</f>
        <v>Mixed</v>
      </c>
    </row>
    <row r="2767" spans="1:9">
      <c r="A2767" s="9">
        <v>45282</v>
      </c>
      <c r="B2767" t="s">
        <v>590</v>
      </c>
      <c r="C2767" t="s">
        <v>28</v>
      </c>
      <c r="D2767" s="4">
        <v>6768</v>
      </c>
      <c r="E2767" s="4">
        <v>6768</v>
      </c>
      <c r="F2767">
        <v>112</v>
      </c>
      <c r="G2767" t="s">
        <v>614</v>
      </c>
      <c r="H2767" t="str">
        <f t="shared" si="43"/>
        <v>2023-12</v>
      </c>
      <c r="I2767" t="str">
        <f>_xlfn.XLOOKUP(Table1[[#This Row],[Customer_ID]],Customers!$A$2:$A$30,Customers!$C$2:$C$30,"Not found")</f>
        <v>Mixed</v>
      </c>
    </row>
    <row r="2768" spans="1:9">
      <c r="A2768" s="9">
        <v>45282</v>
      </c>
      <c r="B2768" t="s">
        <v>590</v>
      </c>
      <c r="C2768" t="s">
        <v>8</v>
      </c>
      <c r="D2768" s="4">
        <v>592</v>
      </c>
      <c r="E2768" s="4"/>
      <c r="F2768">
        <v>112</v>
      </c>
      <c r="H2768" t="str">
        <f t="shared" si="43"/>
        <v>2023-12</v>
      </c>
      <c r="I2768" t="str">
        <f>_xlfn.XLOOKUP(Table1[[#This Row],[Customer_ID]],Customers!$A$2:$A$30,Customers!$C$2:$C$30,"Not found")</f>
        <v>Mixed</v>
      </c>
    </row>
    <row r="2769" spans="1:9">
      <c r="A2769" s="9">
        <v>45284</v>
      </c>
      <c r="B2769" t="s">
        <v>590</v>
      </c>
      <c r="C2769" t="s">
        <v>8</v>
      </c>
      <c r="D2769" s="4">
        <v>544</v>
      </c>
      <c r="E2769" s="4"/>
      <c r="F2769">
        <v>112</v>
      </c>
      <c r="H2769" t="str">
        <f t="shared" si="43"/>
        <v>2023-12</v>
      </c>
      <c r="I2769" t="str">
        <f>_xlfn.XLOOKUP(Table1[[#This Row],[Customer_ID]],Customers!$A$2:$A$30,Customers!$C$2:$C$30,"Not found")</f>
        <v>Mixed</v>
      </c>
    </row>
    <row r="2770" spans="1:9">
      <c r="A2770" s="9">
        <v>45285</v>
      </c>
      <c r="B2770" t="s">
        <v>590</v>
      </c>
      <c r="C2770" t="s">
        <v>8</v>
      </c>
      <c r="D2770" s="4">
        <v>593</v>
      </c>
      <c r="E2770" s="4"/>
      <c r="F2770">
        <v>112</v>
      </c>
      <c r="H2770" t="str">
        <f t="shared" si="43"/>
        <v>2023-12</v>
      </c>
      <c r="I2770" t="str">
        <f>_xlfn.XLOOKUP(Table1[[#This Row],[Customer_ID]],Customers!$A$2:$A$30,Customers!$C$2:$C$30,"Not found")</f>
        <v>Mixed</v>
      </c>
    </row>
    <row r="2771" spans="1:9">
      <c r="A2771" s="9">
        <v>45286</v>
      </c>
      <c r="B2771" t="s">
        <v>590</v>
      </c>
      <c r="C2771" t="s">
        <v>8</v>
      </c>
      <c r="D2771" s="4">
        <v>324</v>
      </c>
      <c r="E2771" s="4"/>
      <c r="F2771">
        <v>112</v>
      </c>
      <c r="H2771" t="str">
        <f t="shared" si="43"/>
        <v>2023-12</v>
      </c>
      <c r="I2771" t="str">
        <f>_xlfn.XLOOKUP(Table1[[#This Row],[Customer_ID]],Customers!$A$2:$A$30,Customers!$C$2:$C$30,"Not found")</f>
        <v>Mixed</v>
      </c>
    </row>
    <row r="2772" spans="1:9">
      <c r="A2772" s="9">
        <v>45288</v>
      </c>
      <c r="B2772" t="s">
        <v>590</v>
      </c>
      <c r="C2772" t="s">
        <v>8</v>
      </c>
      <c r="D2772" s="4">
        <v>1250</v>
      </c>
      <c r="E2772" s="4"/>
      <c r="F2772">
        <v>112</v>
      </c>
      <c r="G2772" t="s">
        <v>37</v>
      </c>
      <c r="H2772" t="str">
        <f t="shared" si="43"/>
        <v>2023-12</v>
      </c>
      <c r="I2772" t="str">
        <f>_xlfn.XLOOKUP(Table1[[#This Row],[Customer_ID]],Customers!$A$2:$A$30,Customers!$C$2:$C$30,"Not found")</f>
        <v>Mixed</v>
      </c>
    </row>
    <row r="2773" spans="1:9">
      <c r="A2773" s="9">
        <v>45288</v>
      </c>
      <c r="B2773" t="s">
        <v>590</v>
      </c>
      <c r="C2773" t="s">
        <v>8</v>
      </c>
      <c r="D2773" s="4">
        <v>1560</v>
      </c>
      <c r="E2773" s="4"/>
      <c r="F2773">
        <v>112</v>
      </c>
      <c r="H2773" t="str">
        <f t="shared" si="43"/>
        <v>2023-12</v>
      </c>
      <c r="I2773" t="str">
        <f>_xlfn.XLOOKUP(Table1[[#This Row],[Customer_ID]],Customers!$A$2:$A$30,Customers!$C$2:$C$30,"Not found")</f>
        <v>Mixed</v>
      </c>
    </row>
    <row r="2774" spans="1:9">
      <c r="A2774" s="9">
        <v>45289</v>
      </c>
      <c r="B2774" t="s">
        <v>590</v>
      </c>
      <c r="C2774" t="s">
        <v>8</v>
      </c>
      <c r="D2774" s="4">
        <v>361</v>
      </c>
      <c r="E2774" s="4"/>
      <c r="F2774">
        <v>112</v>
      </c>
      <c r="H2774" t="str">
        <f t="shared" si="43"/>
        <v>2023-12</v>
      </c>
      <c r="I2774" t="str">
        <f>_xlfn.XLOOKUP(Table1[[#This Row],[Customer_ID]],Customers!$A$2:$A$30,Customers!$C$2:$C$30,"Not found")</f>
        <v>Mixed</v>
      </c>
    </row>
    <row r="2775" spans="1:9">
      <c r="A2775" s="9">
        <v>45291</v>
      </c>
      <c r="B2775" t="s">
        <v>590</v>
      </c>
      <c r="C2775" t="s">
        <v>8</v>
      </c>
      <c r="D2775" s="4">
        <v>761</v>
      </c>
      <c r="E2775" s="4"/>
      <c r="F2775">
        <v>112</v>
      </c>
      <c r="H2775" t="str">
        <f t="shared" si="43"/>
        <v>2023-12</v>
      </c>
      <c r="I2775" t="str">
        <f>_xlfn.XLOOKUP(Table1[[#This Row],[Customer_ID]],Customers!$A$2:$A$30,Customers!$C$2:$C$30,"Not found")</f>
        <v>Mixed</v>
      </c>
    </row>
    <row r="2776" spans="1:9">
      <c r="A2776" s="9">
        <v>45294</v>
      </c>
      <c r="B2776" t="s">
        <v>590</v>
      </c>
      <c r="C2776" t="s">
        <v>8</v>
      </c>
      <c r="D2776" s="4">
        <v>1560</v>
      </c>
      <c r="E2776" s="4"/>
      <c r="F2776">
        <v>112</v>
      </c>
      <c r="H2776" t="str">
        <f t="shared" si="43"/>
        <v>2024-01</v>
      </c>
      <c r="I2776" t="str">
        <f>_xlfn.XLOOKUP(Table1[[#This Row],[Customer_ID]],Customers!$A$2:$A$30,Customers!$C$2:$C$30,"Not found")</f>
        <v>Mixed</v>
      </c>
    </row>
    <row r="2777" spans="1:9">
      <c r="A2777" s="9">
        <v>45295</v>
      </c>
      <c r="B2777" t="s">
        <v>590</v>
      </c>
      <c r="C2777" t="s">
        <v>8</v>
      </c>
      <c r="D2777" s="4">
        <v>748</v>
      </c>
      <c r="E2777" s="4">
        <v>15061</v>
      </c>
      <c r="F2777">
        <v>112</v>
      </c>
      <c r="G2777" t="s">
        <v>615</v>
      </c>
      <c r="H2777" t="str">
        <f t="shared" si="43"/>
        <v>2024-01</v>
      </c>
      <c r="I2777" t="str">
        <f>_xlfn.XLOOKUP(Table1[[#This Row],[Customer_ID]],Customers!$A$2:$A$30,Customers!$C$2:$C$30,"Not found")</f>
        <v>Mixed</v>
      </c>
    </row>
    <row r="2778" spans="1:9">
      <c r="A2778" s="9">
        <v>45298</v>
      </c>
      <c r="B2778" t="s">
        <v>590</v>
      </c>
      <c r="C2778" t="s">
        <v>8</v>
      </c>
      <c r="D2778" s="4">
        <v>133</v>
      </c>
      <c r="E2778" s="4">
        <v>15194</v>
      </c>
      <c r="F2778">
        <v>112</v>
      </c>
      <c r="G2778" t="s">
        <v>616</v>
      </c>
      <c r="H2778" t="str">
        <f t="shared" si="43"/>
        <v>2024-01</v>
      </c>
      <c r="I2778" t="str">
        <f>_xlfn.XLOOKUP(Table1[[#This Row],[Customer_ID]],Customers!$A$2:$A$30,Customers!$C$2:$C$30,"Not found")</f>
        <v>Mixed</v>
      </c>
    </row>
    <row r="2779" spans="1:9">
      <c r="A2779" s="9"/>
      <c r="B2779" t="s">
        <v>590</v>
      </c>
      <c r="C2779" t="s">
        <v>14</v>
      </c>
      <c r="D2779" s="4">
        <v>11000</v>
      </c>
      <c r="E2779" s="4">
        <v>4194</v>
      </c>
      <c r="F2779">
        <v>112</v>
      </c>
      <c r="G2779" t="s">
        <v>617</v>
      </c>
      <c r="H2779" t="str">
        <f t="shared" si="43"/>
        <v/>
      </c>
      <c r="I2779" t="str">
        <f>_xlfn.XLOOKUP(Table1[[#This Row],[Customer_ID]],Customers!$A$2:$A$30,Customers!$C$2:$C$30,"Not found")</f>
        <v>Mixed</v>
      </c>
    </row>
    <row r="2780" spans="1:9">
      <c r="A2780" s="9"/>
      <c r="B2780" t="s">
        <v>590</v>
      </c>
      <c r="C2780" t="s">
        <v>14</v>
      </c>
      <c r="D2780" s="4">
        <v>4194</v>
      </c>
      <c r="E2780" s="4">
        <v>0</v>
      </c>
      <c r="F2780">
        <v>112</v>
      </c>
      <c r="G2780" t="s">
        <v>618</v>
      </c>
      <c r="H2780" t="str">
        <f t="shared" si="43"/>
        <v/>
      </c>
      <c r="I2780" t="str">
        <f>_xlfn.XLOOKUP(Table1[[#This Row],[Customer_ID]],Customers!$A$2:$A$30,Customers!$C$2:$C$30,"Not found")</f>
        <v>Mixed</v>
      </c>
    </row>
    <row r="2781" spans="1:9">
      <c r="A2781" s="9">
        <v>45301</v>
      </c>
      <c r="B2781" t="s">
        <v>590</v>
      </c>
      <c r="C2781" t="s">
        <v>8</v>
      </c>
      <c r="D2781" s="4">
        <v>4344</v>
      </c>
      <c r="E2781" s="4"/>
      <c r="F2781">
        <v>112</v>
      </c>
      <c r="G2781" t="s">
        <v>619</v>
      </c>
      <c r="H2781" t="str">
        <f t="shared" si="43"/>
        <v>2024-01</v>
      </c>
      <c r="I2781" t="str">
        <f>_xlfn.XLOOKUP(Table1[[#This Row],[Customer_ID]],Customers!$A$2:$A$30,Customers!$C$2:$C$30,"Not found")</f>
        <v>Mixed</v>
      </c>
    </row>
    <row r="2782" spans="1:9">
      <c r="A2782" s="9">
        <v>45301</v>
      </c>
      <c r="B2782" t="s">
        <v>590</v>
      </c>
      <c r="C2782" t="s">
        <v>8</v>
      </c>
      <c r="D2782" s="4">
        <v>160</v>
      </c>
      <c r="E2782" s="4"/>
      <c r="F2782">
        <v>112</v>
      </c>
      <c r="H2782" t="str">
        <f t="shared" si="43"/>
        <v>2024-01</v>
      </c>
      <c r="I2782" t="str">
        <f>_xlfn.XLOOKUP(Table1[[#This Row],[Customer_ID]],Customers!$A$2:$A$30,Customers!$C$2:$C$30,"Not found")</f>
        <v>Mixed</v>
      </c>
    </row>
    <row r="2783" spans="1:9">
      <c r="A2783" s="9">
        <v>45304</v>
      </c>
      <c r="B2783" t="s">
        <v>590</v>
      </c>
      <c r="C2783" t="s">
        <v>8</v>
      </c>
      <c r="D2783" s="4">
        <v>473</v>
      </c>
      <c r="E2783" s="4"/>
      <c r="F2783">
        <v>112</v>
      </c>
      <c r="H2783" t="str">
        <f t="shared" si="43"/>
        <v>2024-01</v>
      </c>
      <c r="I2783" t="str">
        <f>_xlfn.XLOOKUP(Table1[[#This Row],[Customer_ID]],Customers!$A$2:$A$30,Customers!$C$2:$C$30,"Not found")</f>
        <v>Mixed</v>
      </c>
    </row>
    <row r="2784" spans="1:9">
      <c r="A2784" s="9">
        <v>45304</v>
      </c>
      <c r="B2784" t="s">
        <v>590</v>
      </c>
      <c r="C2784" t="s">
        <v>8</v>
      </c>
      <c r="D2784" s="4">
        <v>15</v>
      </c>
      <c r="E2784" s="4"/>
      <c r="F2784">
        <v>112</v>
      </c>
      <c r="H2784" t="str">
        <f t="shared" si="43"/>
        <v>2024-01</v>
      </c>
      <c r="I2784" t="str">
        <f>_xlfn.XLOOKUP(Table1[[#This Row],[Customer_ID]],Customers!$A$2:$A$30,Customers!$C$2:$C$30,"Not found")</f>
        <v>Mixed</v>
      </c>
    </row>
    <row r="2785" spans="1:9">
      <c r="A2785" s="9">
        <v>45307</v>
      </c>
      <c r="B2785" t="s">
        <v>590</v>
      </c>
      <c r="C2785" t="s">
        <v>8</v>
      </c>
      <c r="D2785" s="4">
        <v>417</v>
      </c>
      <c r="E2785" s="4"/>
      <c r="F2785">
        <v>112</v>
      </c>
      <c r="H2785" t="str">
        <f t="shared" si="43"/>
        <v>2024-01</v>
      </c>
      <c r="I2785" t="str">
        <f>_xlfn.XLOOKUP(Table1[[#This Row],[Customer_ID]],Customers!$A$2:$A$30,Customers!$C$2:$C$30,"Not found")</f>
        <v>Mixed</v>
      </c>
    </row>
    <row r="2786" spans="1:9">
      <c r="A2786" s="9">
        <v>45310</v>
      </c>
      <c r="B2786" t="s">
        <v>590</v>
      </c>
      <c r="C2786" t="s">
        <v>8</v>
      </c>
      <c r="D2786" s="4">
        <v>2290</v>
      </c>
      <c r="E2786" s="4"/>
      <c r="F2786">
        <v>112</v>
      </c>
      <c r="G2786" t="s">
        <v>620</v>
      </c>
      <c r="H2786" t="str">
        <f t="shared" si="43"/>
        <v>2024-01</v>
      </c>
      <c r="I2786" t="str">
        <f>_xlfn.XLOOKUP(Table1[[#This Row],[Customer_ID]],Customers!$A$2:$A$30,Customers!$C$2:$C$30,"Not found")</f>
        <v>Mixed</v>
      </c>
    </row>
    <row r="2787" spans="1:9">
      <c r="A2787" s="9">
        <v>45311</v>
      </c>
      <c r="B2787" t="s">
        <v>590</v>
      </c>
      <c r="C2787" t="s">
        <v>8</v>
      </c>
      <c r="D2787" s="4">
        <v>360</v>
      </c>
      <c r="E2787" s="4"/>
      <c r="F2787">
        <v>112</v>
      </c>
      <c r="H2787" t="str">
        <f t="shared" si="43"/>
        <v>2024-01</v>
      </c>
      <c r="I2787" t="str">
        <f>_xlfn.XLOOKUP(Table1[[#This Row],[Customer_ID]],Customers!$A$2:$A$30,Customers!$C$2:$C$30,"Not found")</f>
        <v>Mixed</v>
      </c>
    </row>
    <row r="2788" spans="1:9">
      <c r="A2788" s="9">
        <v>45316</v>
      </c>
      <c r="B2788" t="s">
        <v>590</v>
      </c>
      <c r="C2788" t="s">
        <v>8</v>
      </c>
      <c r="D2788" s="4">
        <v>1119</v>
      </c>
      <c r="E2788" s="4"/>
      <c r="F2788">
        <v>112</v>
      </c>
      <c r="H2788" t="str">
        <f t="shared" si="43"/>
        <v>2024-01</v>
      </c>
      <c r="I2788" t="str">
        <f>_xlfn.XLOOKUP(Table1[[#This Row],[Customer_ID]],Customers!$A$2:$A$30,Customers!$C$2:$C$30,"Not found")</f>
        <v>Mixed</v>
      </c>
    </row>
    <row r="2789" spans="1:9">
      <c r="A2789" s="9">
        <v>45321</v>
      </c>
      <c r="B2789" t="s">
        <v>590</v>
      </c>
      <c r="C2789" t="s">
        <v>8</v>
      </c>
      <c r="D2789" s="4">
        <v>770</v>
      </c>
      <c r="E2789" s="4"/>
      <c r="F2789">
        <v>112</v>
      </c>
      <c r="H2789" t="str">
        <f t="shared" si="43"/>
        <v>2024-01</v>
      </c>
      <c r="I2789" t="str">
        <f>_xlfn.XLOOKUP(Table1[[#This Row],[Customer_ID]],Customers!$A$2:$A$30,Customers!$C$2:$C$30,"Not found")</f>
        <v>Mixed</v>
      </c>
    </row>
    <row r="2790" spans="1:9">
      <c r="A2790" s="9">
        <v>45322</v>
      </c>
      <c r="B2790" t="s">
        <v>590</v>
      </c>
      <c r="C2790" t="s">
        <v>8</v>
      </c>
      <c r="D2790" s="4">
        <v>1040</v>
      </c>
      <c r="E2790" s="4"/>
      <c r="F2790">
        <v>112</v>
      </c>
      <c r="G2790" t="s">
        <v>195</v>
      </c>
      <c r="H2790" t="str">
        <f t="shared" si="43"/>
        <v>2024-01</v>
      </c>
      <c r="I2790" t="str">
        <f>_xlfn.XLOOKUP(Table1[[#This Row],[Customer_ID]],Customers!$A$2:$A$30,Customers!$C$2:$C$30,"Not found")</f>
        <v>Mixed</v>
      </c>
    </row>
    <row r="2791" spans="1:9">
      <c r="A2791" s="9">
        <v>45324</v>
      </c>
      <c r="B2791" t="s">
        <v>590</v>
      </c>
      <c r="C2791" t="s">
        <v>8</v>
      </c>
      <c r="D2791" s="4">
        <v>144</v>
      </c>
      <c r="E2791" s="4"/>
      <c r="F2791">
        <v>112</v>
      </c>
      <c r="H2791" t="str">
        <f t="shared" si="43"/>
        <v>2024-02</v>
      </c>
      <c r="I2791" t="str">
        <f>_xlfn.XLOOKUP(Table1[[#This Row],[Customer_ID]],Customers!$A$2:$A$30,Customers!$C$2:$C$30,"Not found")</f>
        <v>Mixed</v>
      </c>
    </row>
    <row r="2792" spans="1:9">
      <c r="A2792" s="9">
        <v>45327</v>
      </c>
      <c r="B2792" t="s">
        <v>590</v>
      </c>
      <c r="C2792" t="s">
        <v>8</v>
      </c>
      <c r="D2792" s="4">
        <v>580</v>
      </c>
      <c r="E2792" s="4">
        <v>11712</v>
      </c>
      <c r="F2792">
        <v>112</v>
      </c>
      <c r="G2792" t="s">
        <v>621</v>
      </c>
      <c r="H2792" t="str">
        <f t="shared" si="43"/>
        <v>2024-02</v>
      </c>
      <c r="I2792" t="str">
        <f>_xlfn.XLOOKUP(Table1[[#This Row],[Customer_ID]],Customers!$A$2:$A$30,Customers!$C$2:$C$30,"Not found")</f>
        <v>Mixed</v>
      </c>
    </row>
    <row r="2793" spans="1:9">
      <c r="A2793" s="9">
        <v>45329</v>
      </c>
      <c r="B2793" t="s">
        <v>590</v>
      </c>
      <c r="C2793" t="s">
        <v>8</v>
      </c>
      <c r="D2793" s="4">
        <v>1040</v>
      </c>
      <c r="E2793" s="4">
        <v>12752</v>
      </c>
      <c r="F2793">
        <v>112</v>
      </c>
      <c r="G2793" t="s">
        <v>622</v>
      </c>
      <c r="H2793" t="str">
        <f t="shared" si="43"/>
        <v>2024-02</v>
      </c>
      <c r="I2793" t="str">
        <f>_xlfn.XLOOKUP(Table1[[#This Row],[Customer_ID]],Customers!$A$2:$A$30,Customers!$C$2:$C$30,"Not found")</f>
        <v>Mixed</v>
      </c>
    </row>
    <row r="2794" spans="1:9">
      <c r="A2794" s="9"/>
      <c r="B2794" t="s">
        <v>590</v>
      </c>
      <c r="C2794" t="s">
        <v>14</v>
      </c>
      <c r="D2794" s="4">
        <v>10000</v>
      </c>
      <c r="E2794" s="4">
        <v>2752</v>
      </c>
      <c r="F2794">
        <v>112</v>
      </c>
      <c r="G2794" t="s">
        <v>623</v>
      </c>
      <c r="H2794" t="str">
        <f t="shared" si="43"/>
        <v/>
      </c>
      <c r="I2794" t="str">
        <f>_xlfn.XLOOKUP(Table1[[#This Row],[Customer_ID]],Customers!$A$2:$A$30,Customers!$C$2:$C$30,"Not found")</f>
        <v>Mixed</v>
      </c>
    </row>
    <row r="2795" spans="1:9">
      <c r="A2795" s="9">
        <v>45331</v>
      </c>
      <c r="B2795" t="s">
        <v>590</v>
      </c>
      <c r="C2795" t="s">
        <v>8</v>
      </c>
      <c r="D2795" s="4">
        <v>370</v>
      </c>
      <c r="E2795" s="4"/>
      <c r="F2795">
        <v>112</v>
      </c>
      <c r="H2795" t="str">
        <f t="shared" si="43"/>
        <v>2024-02</v>
      </c>
      <c r="I2795" t="str">
        <f>_xlfn.XLOOKUP(Table1[[#This Row],[Customer_ID]],Customers!$A$2:$A$30,Customers!$C$2:$C$30,"Not found")</f>
        <v>Mixed</v>
      </c>
    </row>
    <row r="2796" spans="1:9">
      <c r="A2796" s="9">
        <v>45332</v>
      </c>
      <c r="B2796" t="s">
        <v>590</v>
      </c>
      <c r="C2796" t="s">
        <v>8</v>
      </c>
      <c r="D2796" s="4">
        <v>1250</v>
      </c>
      <c r="E2796" s="4"/>
      <c r="F2796">
        <v>112</v>
      </c>
      <c r="G2796" t="s">
        <v>37</v>
      </c>
      <c r="H2796" t="str">
        <f t="shared" si="43"/>
        <v>2024-02</v>
      </c>
      <c r="I2796" t="str">
        <f>_xlfn.XLOOKUP(Table1[[#This Row],[Customer_ID]],Customers!$A$2:$A$30,Customers!$C$2:$C$30,"Not found")</f>
        <v>Mixed</v>
      </c>
    </row>
    <row r="2797" spans="1:9">
      <c r="A2797" s="9">
        <v>45333</v>
      </c>
      <c r="B2797" t="s">
        <v>590</v>
      </c>
      <c r="C2797" t="s">
        <v>8</v>
      </c>
      <c r="D2797" s="4">
        <v>205</v>
      </c>
      <c r="E2797" s="4"/>
      <c r="F2797">
        <v>112</v>
      </c>
      <c r="H2797" t="str">
        <f t="shared" si="43"/>
        <v>2024-02</v>
      </c>
      <c r="I2797" t="str">
        <f>_xlfn.XLOOKUP(Table1[[#This Row],[Customer_ID]],Customers!$A$2:$A$30,Customers!$C$2:$C$30,"Not found")</f>
        <v>Mixed</v>
      </c>
    </row>
    <row r="2798" spans="1:9">
      <c r="A2798" s="9">
        <v>45336</v>
      </c>
      <c r="B2798" t="s">
        <v>590</v>
      </c>
      <c r="C2798" t="s">
        <v>8</v>
      </c>
      <c r="D2798" s="4">
        <v>5014</v>
      </c>
      <c r="E2798" s="4"/>
      <c r="F2798">
        <v>112</v>
      </c>
      <c r="G2798" t="s">
        <v>624</v>
      </c>
      <c r="H2798" t="str">
        <f t="shared" si="43"/>
        <v>2024-02</v>
      </c>
      <c r="I2798" t="str">
        <f>_xlfn.XLOOKUP(Table1[[#This Row],[Customer_ID]],Customers!$A$2:$A$30,Customers!$C$2:$C$30,"Not found")</f>
        <v>Mixed</v>
      </c>
    </row>
    <row r="2799" spans="1:9">
      <c r="A2799" s="9">
        <v>45341</v>
      </c>
      <c r="B2799" t="s">
        <v>590</v>
      </c>
      <c r="C2799" t="s">
        <v>8</v>
      </c>
      <c r="D2799" s="4">
        <v>330</v>
      </c>
      <c r="E2799" s="4"/>
      <c r="F2799">
        <v>112</v>
      </c>
      <c r="H2799" t="str">
        <f t="shared" si="43"/>
        <v>2024-02</v>
      </c>
      <c r="I2799" t="str">
        <f>_xlfn.XLOOKUP(Table1[[#This Row],[Customer_ID]],Customers!$A$2:$A$30,Customers!$C$2:$C$30,"Not found")</f>
        <v>Mixed</v>
      </c>
    </row>
    <row r="2800" spans="1:9">
      <c r="A2800" s="9">
        <v>45342</v>
      </c>
      <c r="B2800" t="s">
        <v>590</v>
      </c>
      <c r="C2800" t="s">
        <v>8</v>
      </c>
      <c r="D2800" s="4">
        <v>360</v>
      </c>
      <c r="E2800" s="4"/>
      <c r="F2800">
        <v>112</v>
      </c>
      <c r="G2800" t="s">
        <v>625</v>
      </c>
      <c r="H2800" t="str">
        <f t="shared" si="43"/>
        <v>2024-02</v>
      </c>
      <c r="I2800" t="str">
        <f>_xlfn.XLOOKUP(Table1[[#This Row],[Customer_ID]],Customers!$A$2:$A$30,Customers!$C$2:$C$30,"Not found")</f>
        <v>Mixed</v>
      </c>
    </row>
    <row r="2801" spans="1:9">
      <c r="A2801" s="9">
        <v>45344</v>
      </c>
      <c r="B2801" t="s">
        <v>590</v>
      </c>
      <c r="C2801" t="s">
        <v>8</v>
      </c>
      <c r="D2801" s="4">
        <v>384</v>
      </c>
      <c r="E2801" s="4"/>
      <c r="F2801">
        <v>112</v>
      </c>
      <c r="H2801" t="str">
        <f t="shared" si="43"/>
        <v>2024-02</v>
      </c>
      <c r="I2801" t="str">
        <f>_xlfn.XLOOKUP(Table1[[#This Row],[Customer_ID]],Customers!$A$2:$A$30,Customers!$C$2:$C$30,"Not found")</f>
        <v>Mixed</v>
      </c>
    </row>
    <row r="2802" spans="1:9">
      <c r="A2802" s="9">
        <v>45346</v>
      </c>
      <c r="B2802" t="s">
        <v>590</v>
      </c>
      <c r="C2802" t="s">
        <v>8</v>
      </c>
      <c r="D2802" s="4">
        <v>320</v>
      </c>
      <c r="E2802" s="4"/>
      <c r="F2802">
        <v>112</v>
      </c>
      <c r="H2802" t="str">
        <f t="shared" si="43"/>
        <v>2024-02</v>
      </c>
      <c r="I2802" t="str">
        <f>_xlfn.XLOOKUP(Table1[[#This Row],[Customer_ID]],Customers!$A$2:$A$30,Customers!$C$2:$C$30,"Not found")</f>
        <v>Mixed</v>
      </c>
    </row>
    <row r="2803" spans="1:9">
      <c r="A2803" s="9">
        <v>45347</v>
      </c>
      <c r="B2803" t="s">
        <v>590</v>
      </c>
      <c r="C2803" t="s">
        <v>8</v>
      </c>
      <c r="D2803" s="4">
        <v>2080</v>
      </c>
      <c r="E2803" s="4"/>
      <c r="F2803">
        <v>112</v>
      </c>
      <c r="H2803" t="str">
        <f t="shared" si="43"/>
        <v>2024-02</v>
      </c>
      <c r="I2803" t="str">
        <f>_xlfn.XLOOKUP(Table1[[#This Row],[Customer_ID]],Customers!$A$2:$A$30,Customers!$C$2:$C$30,"Not found")</f>
        <v>Mixed</v>
      </c>
    </row>
    <row r="2804" spans="1:9">
      <c r="A2804" s="9">
        <v>45350</v>
      </c>
      <c r="B2804" t="s">
        <v>590</v>
      </c>
      <c r="C2804" t="s">
        <v>8</v>
      </c>
      <c r="D2804" s="4">
        <v>330</v>
      </c>
      <c r="E2804" s="4"/>
      <c r="F2804">
        <v>112</v>
      </c>
      <c r="G2804" t="s">
        <v>194</v>
      </c>
      <c r="H2804" t="str">
        <f t="shared" si="43"/>
        <v>2024-02</v>
      </c>
      <c r="I2804" t="str">
        <f>_xlfn.XLOOKUP(Table1[[#This Row],[Customer_ID]],Customers!$A$2:$A$30,Customers!$C$2:$C$30,"Not found")</f>
        <v>Mixed</v>
      </c>
    </row>
    <row r="2805" spans="1:9">
      <c r="A2805" s="9">
        <v>45351</v>
      </c>
      <c r="B2805" t="s">
        <v>590</v>
      </c>
      <c r="C2805" t="s">
        <v>8</v>
      </c>
      <c r="D2805" s="4">
        <v>1250</v>
      </c>
      <c r="E2805" s="4"/>
      <c r="F2805">
        <v>112</v>
      </c>
      <c r="G2805" t="s">
        <v>37</v>
      </c>
      <c r="H2805" t="str">
        <f t="shared" si="43"/>
        <v>2024-02</v>
      </c>
      <c r="I2805" t="str">
        <f>_xlfn.XLOOKUP(Table1[[#This Row],[Customer_ID]],Customers!$A$2:$A$30,Customers!$C$2:$C$30,"Not found")</f>
        <v>Mixed</v>
      </c>
    </row>
    <row r="2806" spans="1:9">
      <c r="A2806" s="9">
        <v>45351</v>
      </c>
      <c r="B2806" t="s">
        <v>590</v>
      </c>
      <c r="C2806" t="s">
        <v>8</v>
      </c>
      <c r="D2806" s="4">
        <v>303</v>
      </c>
      <c r="E2806" s="4"/>
      <c r="F2806">
        <v>112</v>
      </c>
      <c r="G2806" t="s">
        <v>626</v>
      </c>
      <c r="H2806" t="str">
        <f t="shared" si="43"/>
        <v>2024-02</v>
      </c>
      <c r="I2806" t="str">
        <f>_xlfn.XLOOKUP(Table1[[#This Row],[Customer_ID]],Customers!$A$2:$A$30,Customers!$C$2:$C$30,"Not found")</f>
        <v>Mixed</v>
      </c>
    </row>
    <row r="2807" spans="1:9">
      <c r="A2807" s="9">
        <v>45351</v>
      </c>
      <c r="B2807" t="s">
        <v>590</v>
      </c>
      <c r="C2807" t="s">
        <v>8</v>
      </c>
      <c r="D2807" s="4">
        <v>40</v>
      </c>
      <c r="E2807" s="4"/>
      <c r="F2807">
        <v>112</v>
      </c>
      <c r="H2807" t="str">
        <f t="shared" si="43"/>
        <v>2024-02</v>
      </c>
      <c r="I2807" t="str">
        <f>_xlfn.XLOOKUP(Table1[[#This Row],[Customer_ID]],Customers!$A$2:$A$30,Customers!$C$2:$C$30,"Not found")</f>
        <v>Mixed</v>
      </c>
    </row>
    <row r="2808" spans="1:9">
      <c r="A2808" s="9">
        <v>45356</v>
      </c>
      <c r="B2808" t="s">
        <v>590</v>
      </c>
      <c r="C2808" t="s">
        <v>8</v>
      </c>
      <c r="D2808" s="4">
        <v>413</v>
      </c>
      <c r="E2808" s="4"/>
      <c r="F2808">
        <v>112</v>
      </c>
      <c r="H2808" t="str">
        <f t="shared" si="43"/>
        <v>2024-03</v>
      </c>
      <c r="I2808" t="str">
        <f>_xlfn.XLOOKUP(Table1[[#This Row],[Customer_ID]],Customers!$A$2:$A$30,Customers!$C$2:$C$30,"Not found")</f>
        <v>Mixed</v>
      </c>
    </row>
    <row r="2809" spans="1:9">
      <c r="A2809" s="9">
        <v>45357</v>
      </c>
      <c r="B2809" t="s">
        <v>590</v>
      </c>
      <c r="C2809" t="s">
        <v>8</v>
      </c>
      <c r="D2809" s="4">
        <v>584</v>
      </c>
      <c r="E2809" s="4"/>
      <c r="F2809">
        <v>112</v>
      </c>
      <c r="H2809" t="str">
        <f t="shared" si="43"/>
        <v>2024-03</v>
      </c>
      <c r="I2809" t="str">
        <f>_xlfn.XLOOKUP(Table1[[#This Row],[Customer_ID]],Customers!$A$2:$A$30,Customers!$C$2:$C$30,"Not found")</f>
        <v>Mixed</v>
      </c>
    </row>
    <row r="2810" spans="1:9">
      <c r="A2810" s="9">
        <v>45358</v>
      </c>
      <c r="B2810" t="s">
        <v>590</v>
      </c>
      <c r="C2810" t="s">
        <v>8</v>
      </c>
      <c r="D2810" s="4">
        <v>240</v>
      </c>
      <c r="E2810" s="4"/>
      <c r="F2810">
        <v>112</v>
      </c>
      <c r="H2810" t="str">
        <f t="shared" si="43"/>
        <v>2024-03</v>
      </c>
      <c r="I2810" t="str">
        <f>_xlfn.XLOOKUP(Table1[[#This Row],[Customer_ID]],Customers!$A$2:$A$30,Customers!$C$2:$C$30,"Not found")</f>
        <v>Mixed</v>
      </c>
    </row>
    <row r="2811" spans="1:9">
      <c r="A2811" s="9">
        <v>45360</v>
      </c>
      <c r="B2811" t="s">
        <v>590</v>
      </c>
      <c r="C2811" t="s">
        <v>8</v>
      </c>
      <c r="D2811" s="4">
        <v>1190</v>
      </c>
      <c r="E2811" s="4">
        <v>17415</v>
      </c>
      <c r="F2811">
        <v>112</v>
      </c>
      <c r="G2811" t="s">
        <v>627</v>
      </c>
      <c r="H2811" t="str">
        <f t="shared" si="43"/>
        <v>2024-03</v>
      </c>
      <c r="I2811" t="str">
        <f>_xlfn.XLOOKUP(Table1[[#This Row],[Customer_ID]],Customers!$A$2:$A$30,Customers!$C$2:$C$30,"Not found")</f>
        <v>Mixed</v>
      </c>
    </row>
    <row r="2812" spans="1:9">
      <c r="A2812" s="9">
        <v>45361</v>
      </c>
      <c r="B2812" t="s">
        <v>590</v>
      </c>
      <c r="C2812" t="s">
        <v>8</v>
      </c>
      <c r="D2812" s="4">
        <v>241</v>
      </c>
      <c r="E2812" s="4">
        <v>17656</v>
      </c>
      <c r="F2812">
        <v>112</v>
      </c>
      <c r="G2812" t="s">
        <v>628</v>
      </c>
      <c r="H2812" t="str">
        <f t="shared" si="43"/>
        <v>2024-03</v>
      </c>
      <c r="I2812" t="str">
        <f>_xlfn.XLOOKUP(Table1[[#This Row],[Customer_ID]],Customers!$A$2:$A$30,Customers!$C$2:$C$30,"Not found")</f>
        <v>Mixed</v>
      </c>
    </row>
    <row r="2813" spans="1:9">
      <c r="A2813" s="9">
        <v>45366</v>
      </c>
      <c r="B2813" t="s">
        <v>590</v>
      </c>
      <c r="C2813" t="s">
        <v>14</v>
      </c>
      <c r="D2813" s="4">
        <v>17100</v>
      </c>
      <c r="E2813" s="4">
        <v>556</v>
      </c>
      <c r="F2813">
        <v>112</v>
      </c>
      <c r="G2813" t="s">
        <v>629</v>
      </c>
      <c r="H2813" t="str">
        <f t="shared" si="43"/>
        <v>2024-03</v>
      </c>
      <c r="I2813" t="str">
        <f>_xlfn.XLOOKUP(Table1[[#This Row],[Customer_ID]],Customers!$A$2:$A$30,Customers!$C$2:$C$30,"Not found")</f>
        <v>Mixed</v>
      </c>
    </row>
    <row r="2814" spans="1:9">
      <c r="A2814" s="9">
        <v>45363</v>
      </c>
      <c r="B2814" t="s">
        <v>590</v>
      </c>
      <c r="C2814" t="s">
        <v>8</v>
      </c>
      <c r="D2814" s="4">
        <v>3941</v>
      </c>
      <c r="E2814" s="4"/>
      <c r="F2814">
        <v>112</v>
      </c>
      <c r="H2814" t="str">
        <f t="shared" si="43"/>
        <v>2024-03</v>
      </c>
      <c r="I2814" t="str">
        <f>_xlfn.XLOOKUP(Table1[[#This Row],[Customer_ID]],Customers!$A$2:$A$30,Customers!$C$2:$C$30,"Not found")</f>
        <v>Mixed</v>
      </c>
    </row>
    <row r="2815" spans="1:9">
      <c r="A2815" s="9">
        <v>45364</v>
      </c>
      <c r="B2815" t="s">
        <v>590</v>
      </c>
      <c r="C2815" t="s">
        <v>8</v>
      </c>
      <c r="D2815" s="4">
        <v>50</v>
      </c>
      <c r="E2815" s="4"/>
      <c r="F2815">
        <v>112</v>
      </c>
      <c r="G2815" t="s">
        <v>630</v>
      </c>
      <c r="H2815" t="str">
        <f t="shared" ref="H2815:H2878" si="44">IF(A2815="","",TEXT(A2815,"yyyy-mm"))</f>
        <v>2024-03</v>
      </c>
      <c r="I2815" t="str">
        <f>_xlfn.XLOOKUP(Table1[[#This Row],[Customer_ID]],Customers!$A$2:$A$30,Customers!$C$2:$C$30,"Not found")</f>
        <v>Mixed</v>
      </c>
    </row>
    <row r="2816" spans="1:9">
      <c r="A2816" s="9">
        <v>45364</v>
      </c>
      <c r="B2816" t="s">
        <v>590</v>
      </c>
      <c r="C2816" t="s">
        <v>8</v>
      </c>
      <c r="D2816" s="4">
        <v>1250</v>
      </c>
      <c r="E2816" s="4"/>
      <c r="F2816">
        <v>112</v>
      </c>
      <c r="G2816" t="s">
        <v>37</v>
      </c>
      <c r="H2816" t="str">
        <f t="shared" si="44"/>
        <v>2024-03</v>
      </c>
      <c r="I2816" t="str">
        <f>_xlfn.XLOOKUP(Table1[[#This Row],[Customer_ID]],Customers!$A$2:$A$30,Customers!$C$2:$C$30,"Not found")</f>
        <v>Mixed</v>
      </c>
    </row>
    <row r="2817" spans="1:9">
      <c r="A2817" s="9">
        <v>45370</v>
      </c>
      <c r="B2817" t="s">
        <v>590</v>
      </c>
      <c r="C2817" t="s">
        <v>8</v>
      </c>
      <c r="D2817" s="4">
        <v>761</v>
      </c>
      <c r="E2817" s="4"/>
      <c r="F2817">
        <v>112</v>
      </c>
      <c r="H2817" t="str">
        <f t="shared" si="44"/>
        <v>2024-03</v>
      </c>
      <c r="I2817" t="str">
        <f>_xlfn.XLOOKUP(Table1[[#This Row],[Customer_ID]],Customers!$A$2:$A$30,Customers!$C$2:$C$30,"Not found")</f>
        <v>Mixed</v>
      </c>
    </row>
    <row r="2818" spans="1:9">
      <c r="A2818" s="9">
        <v>45376</v>
      </c>
      <c r="B2818" t="s">
        <v>590</v>
      </c>
      <c r="C2818" t="s">
        <v>8</v>
      </c>
      <c r="D2818" s="4">
        <v>407</v>
      </c>
      <c r="E2818" s="4"/>
      <c r="F2818">
        <v>112</v>
      </c>
      <c r="H2818" t="str">
        <f t="shared" si="44"/>
        <v>2024-03</v>
      </c>
      <c r="I2818" t="str">
        <f>_xlfn.XLOOKUP(Table1[[#This Row],[Customer_ID]],Customers!$A$2:$A$30,Customers!$C$2:$C$30,"Not found")</f>
        <v>Mixed</v>
      </c>
    </row>
    <row r="2819" spans="1:9">
      <c r="A2819" s="9">
        <v>45378</v>
      </c>
      <c r="B2819" t="s">
        <v>590</v>
      </c>
      <c r="C2819" t="s">
        <v>8</v>
      </c>
      <c r="D2819" s="4">
        <v>661</v>
      </c>
      <c r="E2819" s="4"/>
      <c r="F2819">
        <v>112</v>
      </c>
      <c r="H2819" t="str">
        <f t="shared" si="44"/>
        <v>2024-03</v>
      </c>
      <c r="I2819" t="str">
        <f>_xlfn.XLOOKUP(Table1[[#This Row],[Customer_ID]],Customers!$A$2:$A$30,Customers!$C$2:$C$30,"Not found")</f>
        <v>Mixed</v>
      </c>
    </row>
    <row r="2820" spans="1:9">
      <c r="A2820" s="9">
        <v>45379</v>
      </c>
      <c r="B2820" t="s">
        <v>590</v>
      </c>
      <c r="C2820" t="s">
        <v>8</v>
      </c>
      <c r="D2820" s="4">
        <v>380</v>
      </c>
      <c r="E2820" s="4"/>
      <c r="F2820">
        <v>112</v>
      </c>
      <c r="H2820" t="str">
        <f t="shared" si="44"/>
        <v>2024-03</v>
      </c>
      <c r="I2820" t="str">
        <f>_xlfn.XLOOKUP(Table1[[#This Row],[Customer_ID]],Customers!$A$2:$A$30,Customers!$C$2:$C$30,"Not found")</f>
        <v>Mixed</v>
      </c>
    </row>
    <row r="2821" spans="1:9">
      <c r="A2821" s="9">
        <v>45380</v>
      </c>
      <c r="B2821" t="s">
        <v>590</v>
      </c>
      <c r="C2821" t="s">
        <v>8</v>
      </c>
      <c r="D2821" s="4">
        <v>32</v>
      </c>
      <c r="E2821" s="4"/>
      <c r="F2821">
        <v>112</v>
      </c>
      <c r="H2821" t="str">
        <f t="shared" si="44"/>
        <v>2024-03</v>
      </c>
      <c r="I2821" t="str">
        <f>_xlfn.XLOOKUP(Table1[[#This Row],[Customer_ID]],Customers!$A$2:$A$30,Customers!$C$2:$C$30,"Not found")</f>
        <v>Mixed</v>
      </c>
    </row>
    <row r="2822" spans="1:9">
      <c r="A2822" s="9">
        <v>45384</v>
      </c>
      <c r="B2822" t="s">
        <v>590</v>
      </c>
      <c r="C2822" t="s">
        <v>8</v>
      </c>
      <c r="D2822" s="4">
        <v>2293</v>
      </c>
      <c r="E2822" s="4"/>
      <c r="F2822">
        <v>112</v>
      </c>
      <c r="H2822" t="str">
        <f t="shared" si="44"/>
        <v>2024-04</v>
      </c>
      <c r="I2822" t="str">
        <f>_xlfn.XLOOKUP(Table1[[#This Row],[Customer_ID]],Customers!$A$2:$A$30,Customers!$C$2:$C$30,"Not found")</f>
        <v>Mixed</v>
      </c>
    </row>
    <row r="2823" spans="1:9">
      <c r="A2823" s="9">
        <v>45386</v>
      </c>
      <c r="B2823" t="s">
        <v>590</v>
      </c>
      <c r="C2823" t="s">
        <v>8</v>
      </c>
      <c r="D2823" s="4">
        <v>308</v>
      </c>
      <c r="E2823" s="4"/>
      <c r="F2823">
        <v>112</v>
      </c>
      <c r="H2823" t="str">
        <f t="shared" si="44"/>
        <v>2024-04</v>
      </c>
      <c r="I2823" t="str">
        <f>_xlfn.XLOOKUP(Table1[[#This Row],[Customer_ID]],Customers!$A$2:$A$30,Customers!$C$2:$C$30,"Not found")</f>
        <v>Mixed</v>
      </c>
    </row>
    <row r="2824" spans="1:9">
      <c r="A2824" s="9">
        <v>45388</v>
      </c>
      <c r="B2824" t="s">
        <v>590</v>
      </c>
      <c r="C2824" t="s">
        <v>8</v>
      </c>
      <c r="D2824" s="4">
        <v>410</v>
      </c>
      <c r="E2824" s="4"/>
      <c r="F2824">
        <v>112</v>
      </c>
      <c r="H2824" t="str">
        <f t="shared" si="44"/>
        <v>2024-04</v>
      </c>
      <c r="I2824" t="str">
        <f>_xlfn.XLOOKUP(Table1[[#This Row],[Customer_ID]],Customers!$A$2:$A$30,Customers!$C$2:$C$30,"Not found")</f>
        <v>Mixed</v>
      </c>
    </row>
    <row r="2825" spans="1:9">
      <c r="A2825" s="9">
        <v>45390</v>
      </c>
      <c r="B2825" t="s">
        <v>590</v>
      </c>
      <c r="C2825" t="s">
        <v>8</v>
      </c>
      <c r="D2825" s="4">
        <v>3393</v>
      </c>
      <c r="E2825" s="4"/>
      <c r="F2825">
        <v>112</v>
      </c>
      <c r="H2825" t="str">
        <f t="shared" si="44"/>
        <v>2024-04</v>
      </c>
      <c r="I2825" t="str">
        <f>_xlfn.XLOOKUP(Table1[[#This Row],[Customer_ID]],Customers!$A$2:$A$30,Customers!$C$2:$C$30,"Not found")</f>
        <v>Mixed</v>
      </c>
    </row>
    <row r="2826" spans="1:9">
      <c r="A2826" s="9">
        <v>45390</v>
      </c>
      <c r="B2826" t="s">
        <v>590</v>
      </c>
      <c r="C2826" t="s">
        <v>22</v>
      </c>
      <c r="D2826" s="4">
        <v>14</v>
      </c>
      <c r="E2826" s="4">
        <v>14456</v>
      </c>
      <c r="F2826">
        <v>112</v>
      </c>
      <c r="G2826" t="s">
        <v>631</v>
      </c>
      <c r="H2826" t="str">
        <f t="shared" si="44"/>
        <v>2024-04</v>
      </c>
      <c r="I2826" t="str">
        <f>_xlfn.XLOOKUP(Table1[[#This Row],[Customer_ID]],Customers!$A$2:$A$30,Customers!$C$2:$C$30,"Not found")</f>
        <v>Mixed</v>
      </c>
    </row>
    <row r="2827" spans="1:9">
      <c r="A2827" s="9"/>
      <c r="B2827" t="s">
        <v>590</v>
      </c>
      <c r="C2827" t="s">
        <v>14</v>
      </c>
      <c r="D2827" s="4">
        <v>12500</v>
      </c>
      <c r="E2827" s="4">
        <v>1956</v>
      </c>
      <c r="F2827">
        <v>112</v>
      </c>
      <c r="G2827" t="s">
        <v>632</v>
      </c>
      <c r="H2827" t="str">
        <f t="shared" si="44"/>
        <v/>
      </c>
      <c r="I2827" t="str">
        <f>_xlfn.XLOOKUP(Table1[[#This Row],[Customer_ID]],Customers!$A$2:$A$30,Customers!$C$2:$C$30,"Not found")</f>
        <v>Mixed</v>
      </c>
    </row>
    <row r="2828" spans="1:9">
      <c r="A2828" s="9"/>
      <c r="B2828" t="s">
        <v>590</v>
      </c>
      <c r="C2828" t="s">
        <v>14</v>
      </c>
      <c r="D2828" s="4">
        <v>1956</v>
      </c>
      <c r="E2828" s="4">
        <v>0</v>
      </c>
      <c r="F2828">
        <v>112</v>
      </c>
      <c r="G2828" t="s">
        <v>633</v>
      </c>
      <c r="H2828" t="str">
        <f t="shared" si="44"/>
        <v/>
      </c>
      <c r="I2828" t="str">
        <f>_xlfn.XLOOKUP(Table1[[#This Row],[Customer_ID]],Customers!$A$2:$A$30,Customers!$C$2:$C$30,"Not found")</f>
        <v>Mixed</v>
      </c>
    </row>
    <row r="2829" spans="1:9">
      <c r="A2829" s="9">
        <v>45393</v>
      </c>
      <c r="B2829" t="s">
        <v>590</v>
      </c>
      <c r="C2829" t="s">
        <v>8</v>
      </c>
      <c r="D2829" s="4">
        <v>306</v>
      </c>
      <c r="E2829" s="4"/>
      <c r="F2829">
        <v>112</v>
      </c>
      <c r="H2829" t="str">
        <f t="shared" si="44"/>
        <v>2024-04</v>
      </c>
      <c r="I2829" t="str">
        <f>_xlfn.XLOOKUP(Table1[[#This Row],[Customer_ID]],Customers!$A$2:$A$30,Customers!$C$2:$C$30,"Not found")</f>
        <v>Mixed</v>
      </c>
    </row>
    <row r="2830" spans="1:9">
      <c r="A2830" s="9">
        <v>45394</v>
      </c>
      <c r="B2830" t="s">
        <v>590</v>
      </c>
      <c r="C2830" t="s">
        <v>8</v>
      </c>
      <c r="D2830" s="4">
        <v>214</v>
      </c>
      <c r="E2830" s="4"/>
      <c r="F2830">
        <v>112</v>
      </c>
      <c r="H2830" t="str">
        <f t="shared" si="44"/>
        <v>2024-04</v>
      </c>
      <c r="I2830" t="str">
        <f>_xlfn.XLOOKUP(Table1[[#This Row],[Customer_ID]],Customers!$A$2:$A$30,Customers!$C$2:$C$30,"Not found")</f>
        <v>Mixed</v>
      </c>
    </row>
    <row r="2831" spans="1:9">
      <c r="A2831" s="9">
        <v>45395</v>
      </c>
      <c r="B2831" t="s">
        <v>590</v>
      </c>
      <c r="C2831" t="s">
        <v>8</v>
      </c>
      <c r="D2831" s="4">
        <v>6275</v>
      </c>
      <c r="E2831" s="4"/>
      <c r="F2831">
        <v>112</v>
      </c>
      <c r="H2831" t="str">
        <f t="shared" si="44"/>
        <v>2024-04</v>
      </c>
      <c r="I2831" t="str">
        <f>_xlfn.XLOOKUP(Table1[[#This Row],[Customer_ID]],Customers!$A$2:$A$30,Customers!$C$2:$C$30,"Not found")</f>
        <v>Mixed</v>
      </c>
    </row>
    <row r="2832" spans="1:9">
      <c r="A2832" s="9">
        <v>45396</v>
      </c>
      <c r="B2832" t="s">
        <v>590</v>
      </c>
      <c r="C2832" t="s">
        <v>8</v>
      </c>
      <c r="D2832" s="4">
        <v>135</v>
      </c>
      <c r="E2832" s="4"/>
      <c r="F2832">
        <v>112</v>
      </c>
      <c r="H2832" t="str">
        <f t="shared" si="44"/>
        <v>2024-04</v>
      </c>
      <c r="I2832" t="str">
        <f>_xlfn.XLOOKUP(Table1[[#This Row],[Customer_ID]],Customers!$A$2:$A$30,Customers!$C$2:$C$30,"Not found")</f>
        <v>Mixed</v>
      </c>
    </row>
    <row r="2833" spans="1:9">
      <c r="A2833" s="9">
        <v>45398</v>
      </c>
      <c r="B2833" t="s">
        <v>590</v>
      </c>
      <c r="C2833" t="s">
        <v>8</v>
      </c>
      <c r="D2833" s="4">
        <v>210</v>
      </c>
      <c r="E2833" s="4"/>
      <c r="F2833">
        <v>112</v>
      </c>
      <c r="H2833" t="str">
        <f t="shared" si="44"/>
        <v>2024-04</v>
      </c>
      <c r="I2833" t="str">
        <f>_xlfn.XLOOKUP(Table1[[#This Row],[Customer_ID]],Customers!$A$2:$A$30,Customers!$C$2:$C$30,"Not found")</f>
        <v>Mixed</v>
      </c>
    </row>
    <row r="2834" spans="1:9">
      <c r="A2834" s="9">
        <v>45403</v>
      </c>
      <c r="B2834" t="s">
        <v>590</v>
      </c>
      <c r="C2834" t="s">
        <v>8</v>
      </c>
      <c r="D2834" s="4">
        <v>330</v>
      </c>
      <c r="E2834" s="4"/>
      <c r="F2834">
        <v>112</v>
      </c>
      <c r="H2834" t="str">
        <f t="shared" si="44"/>
        <v>2024-04</v>
      </c>
      <c r="I2834" t="str">
        <f>_xlfn.XLOOKUP(Table1[[#This Row],[Customer_ID]],Customers!$A$2:$A$30,Customers!$C$2:$C$30,"Not found")</f>
        <v>Mixed</v>
      </c>
    </row>
    <row r="2835" spans="1:9">
      <c r="A2835" s="9">
        <v>45407</v>
      </c>
      <c r="B2835" t="s">
        <v>590</v>
      </c>
      <c r="C2835" t="s">
        <v>8</v>
      </c>
      <c r="D2835" s="4">
        <v>300</v>
      </c>
      <c r="E2835" s="4"/>
      <c r="F2835">
        <v>112</v>
      </c>
      <c r="H2835" t="str">
        <f t="shared" si="44"/>
        <v>2024-04</v>
      </c>
      <c r="I2835" t="str">
        <f>_xlfn.XLOOKUP(Table1[[#This Row],[Customer_ID]],Customers!$A$2:$A$30,Customers!$C$2:$C$30,"Not found")</f>
        <v>Mixed</v>
      </c>
    </row>
    <row r="2836" spans="1:9">
      <c r="A2836" s="9">
        <v>45409</v>
      </c>
      <c r="B2836" t="s">
        <v>590</v>
      </c>
      <c r="C2836" t="s">
        <v>8</v>
      </c>
      <c r="D2836" s="4">
        <v>69</v>
      </c>
      <c r="E2836" s="4"/>
      <c r="F2836">
        <v>112</v>
      </c>
      <c r="H2836" t="str">
        <f t="shared" si="44"/>
        <v>2024-04</v>
      </c>
      <c r="I2836" t="str">
        <f>_xlfn.XLOOKUP(Table1[[#This Row],[Customer_ID]],Customers!$A$2:$A$30,Customers!$C$2:$C$30,"Not found")</f>
        <v>Mixed</v>
      </c>
    </row>
    <row r="2837" spans="1:9">
      <c r="A2837" s="9">
        <v>45411</v>
      </c>
      <c r="B2837" t="s">
        <v>590</v>
      </c>
      <c r="C2837" t="s">
        <v>8</v>
      </c>
      <c r="D2837" s="4">
        <v>540</v>
      </c>
      <c r="E2837" s="4"/>
      <c r="F2837">
        <v>112</v>
      </c>
      <c r="H2837" t="str">
        <f t="shared" si="44"/>
        <v>2024-04</v>
      </c>
      <c r="I2837" t="str">
        <f>_xlfn.XLOOKUP(Table1[[#This Row],[Customer_ID]],Customers!$A$2:$A$30,Customers!$C$2:$C$30,"Not found")</f>
        <v>Mixed</v>
      </c>
    </row>
    <row r="2838" spans="1:9">
      <c r="A2838" s="9">
        <v>45413</v>
      </c>
      <c r="B2838" t="s">
        <v>590</v>
      </c>
      <c r="C2838" t="s">
        <v>8</v>
      </c>
      <c r="D2838" s="4">
        <v>320</v>
      </c>
      <c r="E2838" s="4"/>
      <c r="F2838">
        <v>112</v>
      </c>
      <c r="H2838" t="str">
        <f t="shared" si="44"/>
        <v>2024-05</v>
      </c>
      <c r="I2838" t="str">
        <f>_xlfn.XLOOKUP(Table1[[#This Row],[Customer_ID]],Customers!$A$2:$A$30,Customers!$C$2:$C$30,"Not found")</f>
        <v>Mixed</v>
      </c>
    </row>
    <row r="2839" spans="1:9">
      <c r="A2839" s="9">
        <v>45414</v>
      </c>
      <c r="B2839" t="s">
        <v>590</v>
      </c>
      <c r="C2839" t="s">
        <v>8</v>
      </c>
      <c r="D2839" s="4">
        <v>353</v>
      </c>
      <c r="E2839" s="4"/>
      <c r="F2839">
        <v>112</v>
      </c>
      <c r="H2839" t="str">
        <f t="shared" si="44"/>
        <v>2024-05</v>
      </c>
      <c r="I2839" t="str">
        <f>_xlfn.XLOOKUP(Table1[[#This Row],[Customer_ID]],Customers!$A$2:$A$30,Customers!$C$2:$C$30,"Not found")</f>
        <v>Mixed</v>
      </c>
    </row>
    <row r="2840" spans="1:9">
      <c r="A2840" s="9">
        <v>45417</v>
      </c>
      <c r="B2840" t="s">
        <v>590</v>
      </c>
      <c r="C2840" t="s">
        <v>8</v>
      </c>
      <c r="D2840" s="4">
        <v>2290</v>
      </c>
      <c r="E2840" s="4"/>
      <c r="F2840">
        <v>112</v>
      </c>
      <c r="G2840" t="s">
        <v>634</v>
      </c>
      <c r="H2840" t="str">
        <f t="shared" si="44"/>
        <v>2024-05</v>
      </c>
      <c r="I2840" t="str">
        <f>_xlfn.XLOOKUP(Table1[[#This Row],[Customer_ID]],Customers!$A$2:$A$30,Customers!$C$2:$C$30,"Not found")</f>
        <v>Mixed</v>
      </c>
    </row>
    <row r="2841" spans="1:9">
      <c r="A2841" s="9">
        <v>45417</v>
      </c>
      <c r="B2841" t="s">
        <v>590</v>
      </c>
      <c r="C2841" t="s">
        <v>8</v>
      </c>
      <c r="D2841" s="4">
        <v>28</v>
      </c>
      <c r="E2841" s="4"/>
      <c r="F2841">
        <v>112</v>
      </c>
      <c r="H2841" t="str">
        <f t="shared" si="44"/>
        <v>2024-05</v>
      </c>
      <c r="I2841" t="str">
        <f>_xlfn.XLOOKUP(Table1[[#This Row],[Customer_ID]],Customers!$A$2:$A$30,Customers!$C$2:$C$30,"Not found")</f>
        <v>Mixed</v>
      </c>
    </row>
    <row r="2842" spans="1:9">
      <c r="A2842" s="9">
        <v>45418</v>
      </c>
      <c r="B2842" t="s">
        <v>590</v>
      </c>
      <c r="C2842" t="s">
        <v>8</v>
      </c>
      <c r="D2842" s="4">
        <v>535</v>
      </c>
      <c r="E2842" s="4"/>
      <c r="F2842">
        <v>112</v>
      </c>
      <c r="H2842" t="str">
        <f t="shared" si="44"/>
        <v>2024-05</v>
      </c>
      <c r="I2842" t="str">
        <f>_xlfn.XLOOKUP(Table1[[#This Row],[Customer_ID]],Customers!$A$2:$A$30,Customers!$C$2:$C$30,"Not found")</f>
        <v>Mixed</v>
      </c>
    </row>
    <row r="2843" spans="1:9">
      <c r="A2843" s="9">
        <v>45420</v>
      </c>
      <c r="B2843" t="s">
        <v>590</v>
      </c>
      <c r="C2843" t="s">
        <v>8</v>
      </c>
      <c r="D2843" s="4">
        <v>210</v>
      </c>
      <c r="E2843" s="4"/>
      <c r="F2843">
        <v>112</v>
      </c>
      <c r="H2843" t="str">
        <f t="shared" si="44"/>
        <v>2024-05</v>
      </c>
      <c r="I2843" t="str">
        <f>_xlfn.XLOOKUP(Table1[[#This Row],[Customer_ID]],Customers!$A$2:$A$30,Customers!$C$2:$C$30,"Not found")</f>
        <v>Mixed</v>
      </c>
    </row>
    <row r="2844" spans="1:9">
      <c r="A2844" s="9">
        <v>45420</v>
      </c>
      <c r="B2844" t="s">
        <v>590</v>
      </c>
      <c r="C2844" t="s">
        <v>22</v>
      </c>
      <c r="D2844" s="4">
        <v>16</v>
      </c>
      <c r="E2844" s="4">
        <v>12131</v>
      </c>
      <c r="F2844">
        <v>112</v>
      </c>
      <c r="G2844" t="s">
        <v>635</v>
      </c>
      <c r="H2844" t="str">
        <f t="shared" si="44"/>
        <v>2024-05</v>
      </c>
      <c r="I2844" t="str">
        <f>_xlfn.XLOOKUP(Table1[[#This Row],[Customer_ID]],Customers!$A$2:$A$30,Customers!$C$2:$C$30,"Not found")</f>
        <v>Mixed</v>
      </c>
    </row>
    <row r="2845" spans="1:9">
      <c r="A2845" s="9">
        <v>45422</v>
      </c>
      <c r="B2845" t="s">
        <v>590</v>
      </c>
      <c r="C2845" t="s">
        <v>8</v>
      </c>
      <c r="D2845" s="4">
        <v>100</v>
      </c>
      <c r="E2845" s="4">
        <v>12231</v>
      </c>
      <c r="F2845">
        <v>112</v>
      </c>
      <c r="G2845" t="s">
        <v>636</v>
      </c>
      <c r="H2845" t="str">
        <f t="shared" si="44"/>
        <v>2024-05</v>
      </c>
      <c r="I2845" t="str">
        <f>_xlfn.XLOOKUP(Table1[[#This Row],[Customer_ID]],Customers!$A$2:$A$30,Customers!$C$2:$C$30,"Not found")</f>
        <v>Mixed</v>
      </c>
    </row>
    <row r="2846" spans="1:9">
      <c r="A2846" s="10"/>
      <c r="B2846" s="7" t="s">
        <v>590</v>
      </c>
      <c r="C2846" s="7" t="s">
        <v>14</v>
      </c>
      <c r="D2846" s="8">
        <v>12040</v>
      </c>
      <c r="E2846" s="8">
        <v>191</v>
      </c>
      <c r="F2846" s="7">
        <v>113</v>
      </c>
      <c r="G2846" s="7" t="s">
        <v>637</v>
      </c>
      <c r="H2846" t="str">
        <f t="shared" si="44"/>
        <v/>
      </c>
      <c r="I2846" t="str">
        <f>_xlfn.XLOOKUP(Table1[[#This Row],[Customer_ID]],Customers!$A$2:$A$30,Customers!$C$2:$C$30,"Not found")</f>
        <v>Mixed</v>
      </c>
    </row>
    <row r="2847" spans="1:9">
      <c r="A2847" s="9">
        <v>45422</v>
      </c>
      <c r="B2847" t="s">
        <v>590</v>
      </c>
      <c r="C2847" t="s">
        <v>8</v>
      </c>
      <c r="D2847" s="4">
        <v>155</v>
      </c>
      <c r="E2847" s="4"/>
      <c r="F2847">
        <v>113</v>
      </c>
      <c r="H2847" t="str">
        <f t="shared" si="44"/>
        <v>2024-05</v>
      </c>
      <c r="I2847" t="str">
        <f>_xlfn.XLOOKUP(Table1[[#This Row],[Customer_ID]],Customers!$A$2:$A$30,Customers!$C$2:$C$30,"Not found")</f>
        <v>Mixed</v>
      </c>
    </row>
    <row r="2848" spans="1:9">
      <c r="A2848" s="9">
        <v>45424</v>
      </c>
      <c r="B2848" t="s">
        <v>590</v>
      </c>
      <c r="C2848" t="s">
        <v>8</v>
      </c>
      <c r="D2848" s="4">
        <v>5952</v>
      </c>
      <c r="E2848" s="4"/>
      <c r="F2848">
        <v>113</v>
      </c>
      <c r="H2848" t="str">
        <f t="shared" si="44"/>
        <v>2024-05</v>
      </c>
      <c r="I2848" t="str">
        <f>_xlfn.XLOOKUP(Table1[[#This Row],[Customer_ID]],Customers!$A$2:$A$30,Customers!$C$2:$C$30,"Not found")</f>
        <v>Mixed</v>
      </c>
    </row>
    <row r="2849" spans="1:9">
      <c r="A2849" s="9">
        <v>45432</v>
      </c>
      <c r="B2849" t="s">
        <v>590</v>
      </c>
      <c r="C2849" t="s">
        <v>8</v>
      </c>
      <c r="D2849" s="4">
        <v>361</v>
      </c>
      <c r="E2849" s="4"/>
      <c r="F2849">
        <v>113</v>
      </c>
      <c r="H2849" t="str">
        <f t="shared" si="44"/>
        <v>2024-05</v>
      </c>
      <c r="I2849" t="str">
        <f>_xlfn.XLOOKUP(Table1[[#This Row],[Customer_ID]],Customers!$A$2:$A$30,Customers!$C$2:$C$30,"Not found")</f>
        <v>Mixed</v>
      </c>
    </row>
    <row r="2850" spans="1:9">
      <c r="A2850" s="9">
        <v>45433</v>
      </c>
      <c r="B2850" t="s">
        <v>590</v>
      </c>
      <c r="C2850" t="s">
        <v>8</v>
      </c>
      <c r="D2850" s="4">
        <v>435</v>
      </c>
      <c r="E2850" s="4"/>
      <c r="F2850">
        <v>113</v>
      </c>
      <c r="H2850" t="str">
        <f t="shared" si="44"/>
        <v>2024-05</v>
      </c>
      <c r="I2850" t="str">
        <f>_xlfn.XLOOKUP(Table1[[#This Row],[Customer_ID]],Customers!$A$2:$A$30,Customers!$C$2:$C$30,"Not found")</f>
        <v>Mixed</v>
      </c>
    </row>
    <row r="2851" spans="1:9">
      <c r="A2851" s="9">
        <v>45433</v>
      </c>
      <c r="B2851" t="s">
        <v>590</v>
      </c>
      <c r="C2851" t="s">
        <v>8</v>
      </c>
      <c r="D2851" s="4">
        <v>136</v>
      </c>
      <c r="E2851" s="4"/>
      <c r="F2851">
        <v>113</v>
      </c>
      <c r="H2851" t="str">
        <f t="shared" si="44"/>
        <v>2024-05</v>
      </c>
      <c r="I2851" t="str">
        <f>_xlfn.XLOOKUP(Table1[[#This Row],[Customer_ID]],Customers!$A$2:$A$30,Customers!$C$2:$C$30,"Not found")</f>
        <v>Mixed</v>
      </c>
    </row>
    <row r="2852" spans="1:9">
      <c r="A2852" s="9">
        <v>45435</v>
      </c>
      <c r="B2852" t="s">
        <v>590</v>
      </c>
      <c r="C2852" t="s">
        <v>8</v>
      </c>
      <c r="D2852" s="4">
        <v>338</v>
      </c>
      <c r="E2852" s="4"/>
      <c r="F2852">
        <v>113</v>
      </c>
      <c r="H2852" t="str">
        <f t="shared" si="44"/>
        <v>2024-05</v>
      </c>
      <c r="I2852" t="str">
        <f>_xlfn.XLOOKUP(Table1[[#This Row],[Customer_ID]],Customers!$A$2:$A$30,Customers!$C$2:$C$30,"Not found")</f>
        <v>Mixed</v>
      </c>
    </row>
    <row r="2853" spans="1:9">
      <c r="A2853" s="9">
        <v>45437</v>
      </c>
      <c r="B2853" t="s">
        <v>590</v>
      </c>
      <c r="C2853" t="s">
        <v>8</v>
      </c>
      <c r="D2853" s="4">
        <v>238</v>
      </c>
      <c r="E2853" s="4"/>
      <c r="F2853">
        <v>113</v>
      </c>
      <c r="H2853" t="str">
        <f t="shared" si="44"/>
        <v>2024-05</v>
      </c>
      <c r="I2853" t="str">
        <f>_xlfn.XLOOKUP(Table1[[#This Row],[Customer_ID]],Customers!$A$2:$A$30,Customers!$C$2:$C$30,"Not found")</f>
        <v>Mixed</v>
      </c>
    </row>
    <row r="2854" spans="1:9">
      <c r="A2854" s="9">
        <v>45438</v>
      </c>
      <c r="B2854" t="s">
        <v>590</v>
      </c>
      <c r="C2854" t="s">
        <v>8</v>
      </c>
      <c r="D2854" s="4">
        <v>345</v>
      </c>
      <c r="E2854" s="4"/>
      <c r="F2854">
        <v>113</v>
      </c>
      <c r="H2854" t="str">
        <f t="shared" si="44"/>
        <v>2024-05</v>
      </c>
      <c r="I2854" t="str">
        <f>_xlfn.XLOOKUP(Table1[[#This Row],[Customer_ID]],Customers!$A$2:$A$30,Customers!$C$2:$C$30,"Not found")</f>
        <v>Mixed</v>
      </c>
    </row>
    <row r="2855" spans="1:9">
      <c r="A2855" s="9">
        <v>45439</v>
      </c>
      <c r="B2855" t="s">
        <v>590</v>
      </c>
      <c r="C2855" t="s">
        <v>8</v>
      </c>
      <c r="D2855" s="4">
        <v>1555</v>
      </c>
      <c r="E2855" s="4"/>
      <c r="F2855">
        <v>113</v>
      </c>
      <c r="H2855" t="str">
        <f t="shared" si="44"/>
        <v>2024-05</v>
      </c>
      <c r="I2855" t="str">
        <f>_xlfn.XLOOKUP(Table1[[#This Row],[Customer_ID]],Customers!$A$2:$A$30,Customers!$C$2:$C$30,"Not found")</f>
        <v>Mixed</v>
      </c>
    </row>
    <row r="2856" spans="1:9">
      <c r="A2856" s="9">
        <v>45439</v>
      </c>
      <c r="B2856" t="s">
        <v>590</v>
      </c>
      <c r="C2856" t="s">
        <v>8</v>
      </c>
      <c r="D2856" s="4">
        <v>872</v>
      </c>
      <c r="E2856" s="4"/>
      <c r="F2856">
        <v>113</v>
      </c>
      <c r="H2856" t="str">
        <f t="shared" si="44"/>
        <v>2024-05</v>
      </c>
      <c r="I2856" t="str">
        <f>_xlfn.XLOOKUP(Table1[[#This Row],[Customer_ID]],Customers!$A$2:$A$30,Customers!$C$2:$C$30,"Not found")</f>
        <v>Mixed</v>
      </c>
    </row>
    <row r="2857" spans="1:9">
      <c r="A2857" s="9">
        <v>45441</v>
      </c>
      <c r="B2857" t="s">
        <v>590</v>
      </c>
      <c r="C2857" t="s">
        <v>8</v>
      </c>
      <c r="D2857" s="4">
        <v>418</v>
      </c>
      <c r="E2857" s="4"/>
      <c r="F2857">
        <v>113</v>
      </c>
      <c r="H2857" t="str">
        <f t="shared" si="44"/>
        <v>2024-05</v>
      </c>
      <c r="I2857" t="str">
        <f>_xlfn.XLOOKUP(Table1[[#This Row],[Customer_ID]],Customers!$A$2:$A$30,Customers!$C$2:$C$30,"Not found")</f>
        <v>Mixed</v>
      </c>
    </row>
    <row r="2858" spans="1:9">
      <c r="A2858" s="9">
        <v>45441</v>
      </c>
      <c r="B2858" t="s">
        <v>590</v>
      </c>
      <c r="C2858" t="s">
        <v>8</v>
      </c>
      <c r="D2858" s="4">
        <v>737</v>
      </c>
      <c r="E2858" s="4"/>
      <c r="F2858">
        <v>113</v>
      </c>
      <c r="H2858" t="str">
        <f t="shared" si="44"/>
        <v>2024-05</v>
      </c>
      <c r="I2858" t="str">
        <f>_xlfn.XLOOKUP(Table1[[#This Row],[Customer_ID]],Customers!$A$2:$A$30,Customers!$C$2:$C$30,"Not found")</f>
        <v>Mixed</v>
      </c>
    </row>
    <row r="2859" spans="1:9">
      <c r="A2859" s="9">
        <v>45443</v>
      </c>
      <c r="B2859" t="s">
        <v>590</v>
      </c>
      <c r="C2859" t="s">
        <v>8</v>
      </c>
      <c r="D2859" s="4">
        <v>460</v>
      </c>
      <c r="E2859" s="4"/>
      <c r="F2859">
        <v>113</v>
      </c>
      <c r="H2859" t="str">
        <f t="shared" si="44"/>
        <v>2024-05</v>
      </c>
      <c r="I2859" t="str">
        <f>_xlfn.XLOOKUP(Table1[[#This Row],[Customer_ID]],Customers!$A$2:$A$30,Customers!$C$2:$C$30,"Not found")</f>
        <v>Mixed</v>
      </c>
    </row>
    <row r="2860" spans="1:9">
      <c r="A2860" s="9">
        <v>45445</v>
      </c>
      <c r="B2860" t="s">
        <v>590</v>
      </c>
      <c r="C2860" t="s">
        <v>8</v>
      </c>
      <c r="D2860" s="4">
        <v>910</v>
      </c>
      <c r="E2860" s="4"/>
      <c r="F2860">
        <v>113</v>
      </c>
      <c r="H2860" t="str">
        <f t="shared" si="44"/>
        <v>2024-06</v>
      </c>
      <c r="I2860" t="str">
        <f>_xlfn.XLOOKUP(Table1[[#This Row],[Customer_ID]],Customers!$A$2:$A$30,Customers!$C$2:$C$30,"Not found")</f>
        <v>Mixed</v>
      </c>
    </row>
    <row r="2861" spans="1:9">
      <c r="A2861" s="9">
        <v>45445</v>
      </c>
      <c r="B2861" t="s">
        <v>590</v>
      </c>
      <c r="C2861" t="s">
        <v>8</v>
      </c>
      <c r="D2861" s="4">
        <v>1050</v>
      </c>
      <c r="E2861" s="4"/>
      <c r="F2861">
        <v>113</v>
      </c>
      <c r="H2861" t="str">
        <f t="shared" si="44"/>
        <v>2024-06</v>
      </c>
      <c r="I2861" t="str">
        <f>_xlfn.XLOOKUP(Table1[[#This Row],[Customer_ID]],Customers!$A$2:$A$30,Customers!$C$2:$C$30,"Not found")</f>
        <v>Mixed</v>
      </c>
    </row>
    <row r="2862" spans="1:9">
      <c r="A2862" s="9">
        <v>45447</v>
      </c>
      <c r="B2862" t="s">
        <v>590</v>
      </c>
      <c r="C2862" t="s">
        <v>8</v>
      </c>
      <c r="D2862" s="4">
        <v>832</v>
      </c>
      <c r="E2862" s="4"/>
      <c r="F2862">
        <v>113</v>
      </c>
      <c r="H2862" t="str">
        <f t="shared" si="44"/>
        <v>2024-06</v>
      </c>
      <c r="I2862" t="str">
        <f>_xlfn.XLOOKUP(Table1[[#This Row],[Customer_ID]],Customers!$A$2:$A$30,Customers!$C$2:$C$30,"Not found")</f>
        <v>Mixed</v>
      </c>
    </row>
    <row r="2863" spans="1:9">
      <c r="A2863" s="9">
        <v>45448</v>
      </c>
      <c r="B2863" t="s">
        <v>590</v>
      </c>
      <c r="C2863" t="s">
        <v>8</v>
      </c>
      <c r="D2863" s="4">
        <v>389</v>
      </c>
      <c r="E2863" s="4"/>
      <c r="F2863">
        <v>113</v>
      </c>
      <c r="H2863" t="str">
        <f t="shared" si="44"/>
        <v>2024-06</v>
      </c>
      <c r="I2863" t="str">
        <f>_xlfn.XLOOKUP(Table1[[#This Row],[Customer_ID]],Customers!$A$2:$A$30,Customers!$C$2:$C$30,"Not found")</f>
        <v>Mixed</v>
      </c>
    </row>
    <row r="2864" spans="1:9">
      <c r="A2864" s="9">
        <v>45449</v>
      </c>
      <c r="B2864" t="s">
        <v>590</v>
      </c>
      <c r="C2864" t="s">
        <v>8</v>
      </c>
      <c r="D2864" s="4">
        <v>618</v>
      </c>
      <c r="E2864" s="4"/>
      <c r="F2864">
        <v>113</v>
      </c>
      <c r="H2864" t="str">
        <f t="shared" si="44"/>
        <v>2024-06</v>
      </c>
      <c r="I2864" t="str">
        <f>_xlfn.XLOOKUP(Table1[[#This Row],[Customer_ID]],Customers!$A$2:$A$30,Customers!$C$2:$C$30,"Not found")</f>
        <v>Mixed</v>
      </c>
    </row>
    <row r="2865" spans="1:9">
      <c r="A2865" s="9">
        <v>45451</v>
      </c>
      <c r="B2865" t="s">
        <v>590</v>
      </c>
      <c r="C2865" t="s">
        <v>8</v>
      </c>
      <c r="D2865" s="4">
        <v>1211</v>
      </c>
      <c r="E2865" s="4">
        <v>17203</v>
      </c>
      <c r="F2865">
        <v>113</v>
      </c>
      <c r="G2865" t="s">
        <v>638</v>
      </c>
      <c r="H2865" t="str">
        <f t="shared" si="44"/>
        <v>2024-06</v>
      </c>
      <c r="I2865" t="str">
        <f>_xlfn.XLOOKUP(Table1[[#This Row],[Customer_ID]],Customers!$A$2:$A$30,Customers!$C$2:$C$30,"Not found")</f>
        <v>Mixed</v>
      </c>
    </row>
    <row r="2866" spans="1:9">
      <c r="A2866" s="9"/>
      <c r="B2866" t="s">
        <v>590</v>
      </c>
      <c r="C2866" t="s">
        <v>14</v>
      </c>
      <c r="D2866" s="4">
        <v>4320</v>
      </c>
      <c r="E2866" s="4">
        <v>12883</v>
      </c>
      <c r="F2866">
        <v>113</v>
      </c>
      <c r="G2866" t="s">
        <v>639</v>
      </c>
      <c r="H2866" t="str">
        <f t="shared" si="44"/>
        <v/>
      </c>
      <c r="I2866" t="str">
        <f>_xlfn.XLOOKUP(Table1[[#This Row],[Customer_ID]],Customers!$A$2:$A$30,Customers!$C$2:$C$30,"Not found")</f>
        <v>Mixed</v>
      </c>
    </row>
    <row r="2867" spans="1:9">
      <c r="A2867" s="9"/>
      <c r="B2867" t="s">
        <v>590</v>
      </c>
      <c r="C2867" t="s">
        <v>14</v>
      </c>
      <c r="D2867" s="4">
        <v>12880</v>
      </c>
      <c r="E2867" s="4">
        <v>3</v>
      </c>
      <c r="F2867">
        <v>113</v>
      </c>
      <c r="G2867" t="s">
        <v>640</v>
      </c>
      <c r="H2867" t="str">
        <f t="shared" si="44"/>
        <v/>
      </c>
      <c r="I2867" t="str">
        <f>_xlfn.XLOOKUP(Table1[[#This Row],[Customer_ID]],Customers!$A$2:$A$30,Customers!$C$2:$C$30,"Not found")</f>
        <v>Mixed</v>
      </c>
    </row>
    <row r="2868" spans="1:9">
      <c r="A2868" s="9"/>
      <c r="B2868" t="s">
        <v>590</v>
      </c>
      <c r="C2868" t="s">
        <v>22</v>
      </c>
      <c r="D2868" s="4">
        <v>-3</v>
      </c>
      <c r="E2868" s="4">
        <v>0</v>
      </c>
      <c r="F2868">
        <v>113</v>
      </c>
      <c r="G2868" t="s">
        <v>509</v>
      </c>
      <c r="H2868" t="str">
        <f t="shared" si="44"/>
        <v/>
      </c>
      <c r="I2868" t="str">
        <f>_xlfn.XLOOKUP(Table1[[#This Row],[Customer_ID]],Customers!$A$2:$A$30,Customers!$C$2:$C$30,"Not found")</f>
        <v>Mixed</v>
      </c>
    </row>
    <row r="2869" spans="1:9">
      <c r="A2869" s="9">
        <v>45454</v>
      </c>
      <c r="B2869" t="s">
        <v>590</v>
      </c>
      <c r="C2869" t="s">
        <v>8</v>
      </c>
      <c r="D2869" s="4">
        <v>6660</v>
      </c>
      <c r="E2869" s="4"/>
      <c r="F2869">
        <v>113</v>
      </c>
      <c r="H2869" t="str">
        <f t="shared" si="44"/>
        <v>2024-06</v>
      </c>
      <c r="I2869" t="str">
        <f>_xlfn.XLOOKUP(Table1[[#This Row],[Customer_ID]],Customers!$A$2:$A$30,Customers!$C$2:$C$30,"Not found")</f>
        <v>Mixed</v>
      </c>
    </row>
    <row r="2870" spans="1:9">
      <c r="A2870" s="9">
        <v>45455</v>
      </c>
      <c r="B2870" t="s">
        <v>590</v>
      </c>
      <c r="C2870" t="s">
        <v>8</v>
      </c>
      <c r="D2870" s="4">
        <v>140</v>
      </c>
      <c r="E2870" s="4"/>
      <c r="F2870">
        <v>113</v>
      </c>
      <c r="H2870" t="str">
        <f t="shared" si="44"/>
        <v>2024-06</v>
      </c>
      <c r="I2870" t="str">
        <f>_xlfn.XLOOKUP(Table1[[#This Row],[Customer_ID]],Customers!$A$2:$A$30,Customers!$C$2:$C$30,"Not found")</f>
        <v>Mixed</v>
      </c>
    </row>
    <row r="2871" spans="1:9">
      <c r="A2871" s="9">
        <v>45458</v>
      </c>
      <c r="B2871" t="s">
        <v>590</v>
      </c>
      <c r="C2871" t="s">
        <v>8</v>
      </c>
      <c r="D2871" s="4">
        <v>127</v>
      </c>
      <c r="E2871" s="4"/>
      <c r="F2871">
        <v>113</v>
      </c>
      <c r="G2871" t="s">
        <v>42</v>
      </c>
      <c r="H2871" t="str">
        <f t="shared" si="44"/>
        <v>2024-06</v>
      </c>
      <c r="I2871" t="str">
        <f>_xlfn.XLOOKUP(Table1[[#This Row],[Customer_ID]],Customers!$A$2:$A$30,Customers!$C$2:$C$30,"Not found")</f>
        <v>Mixed</v>
      </c>
    </row>
    <row r="2872" spans="1:9">
      <c r="A2872" s="9">
        <v>45459</v>
      </c>
      <c r="B2872" t="s">
        <v>590</v>
      </c>
      <c r="C2872" t="s">
        <v>8</v>
      </c>
      <c r="D2872" s="4">
        <v>1250</v>
      </c>
      <c r="E2872" s="4"/>
      <c r="F2872">
        <v>113</v>
      </c>
      <c r="G2872" t="s">
        <v>37</v>
      </c>
      <c r="H2872" t="str">
        <f t="shared" si="44"/>
        <v>2024-06</v>
      </c>
      <c r="I2872" t="str">
        <f>_xlfn.XLOOKUP(Table1[[#This Row],[Customer_ID]],Customers!$A$2:$A$30,Customers!$C$2:$C$30,"Not found")</f>
        <v>Mixed</v>
      </c>
    </row>
    <row r="2873" spans="1:9">
      <c r="A2873" s="9">
        <v>45461</v>
      </c>
      <c r="B2873" t="s">
        <v>590</v>
      </c>
      <c r="C2873" t="s">
        <v>8</v>
      </c>
      <c r="D2873" s="4">
        <v>350</v>
      </c>
      <c r="E2873" s="4"/>
      <c r="F2873">
        <v>113</v>
      </c>
      <c r="H2873" t="str">
        <f t="shared" si="44"/>
        <v>2024-06</v>
      </c>
      <c r="I2873" t="str">
        <f>_xlfn.XLOOKUP(Table1[[#This Row],[Customer_ID]],Customers!$A$2:$A$30,Customers!$C$2:$C$30,"Not found")</f>
        <v>Mixed</v>
      </c>
    </row>
    <row r="2874" spans="1:9">
      <c r="A2874" s="9">
        <v>45464</v>
      </c>
      <c r="B2874" t="s">
        <v>590</v>
      </c>
      <c r="C2874" t="s">
        <v>8</v>
      </c>
      <c r="D2874" s="4">
        <v>855</v>
      </c>
      <c r="E2874" s="4"/>
      <c r="F2874">
        <v>113</v>
      </c>
      <c r="H2874" t="str">
        <f t="shared" si="44"/>
        <v>2024-06</v>
      </c>
      <c r="I2874" t="str">
        <f>_xlfn.XLOOKUP(Table1[[#This Row],[Customer_ID]],Customers!$A$2:$A$30,Customers!$C$2:$C$30,"Not found")</f>
        <v>Mixed</v>
      </c>
    </row>
    <row r="2875" spans="1:9">
      <c r="A2875" s="9">
        <v>45468</v>
      </c>
      <c r="B2875" t="s">
        <v>590</v>
      </c>
      <c r="C2875" t="s">
        <v>8</v>
      </c>
      <c r="D2875" s="4">
        <v>420</v>
      </c>
      <c r="E2875" s="4"/>
      <c r="F2875">
        <v>113</v>
      </c>
      <c r="H2875" t="str">
        <f t="shared" si="44"/>
        <v>2024-06</v>
      </c>
      <c r="I2875" t="str">
        <f>_xlfn.XLOOKUP(Table1[[#This Row],[Customer_ID]],Customers!$A$2:$A$30,Customers!$C$2:$C$30,"Not found")</f>
        <v>Mixed</v>
      </c>
    </row>
    <row r="2876" spans="1:9">
      <c r="A2876" s="9">
        <v>45471</v>
      </c>
      <c r="B2876" t="s">
        <v>590</v>
      </c>
      <c r="C2876" t="s">
        <v>8</v>
      </c>
      <c r="D2876" s="4">
        <v>1026</v>
      </c>
      <c r="E2876" s="4"/>
      <c r="F2876">
        <v>113</v>
      </c>
      <c r="H2876" t="str">
        <f t="shared" si="44"/>
        <v>2024-06</v>
      </c>
      <c r="I2876" t="str">
        <f>_xlfn.XLOOKUP(Table1[[#This Row],[Customer_ID]],Customers!$A$2:$A$30,Customers!$C$2:$C$30,"Not found")</f>
        <v>Mixed</v>
      </c>
    </row>
    <row r="2877" spans="1:9">
      <c r="A2877" s="9">
        <v>45482</v>
      </c>
      <c r="B2877" t="s">
        <v>590</v>
      </c>
      <c r="C2877" t="s">
        <v>8</v>
      </c>
      <c r="D2877" s="4">
        <v>190</v>
      </c>
      <c r="E2877" s="4"/>
      <c r="F2877">
        <v>113</v>
      </c>
      <c r="H2877" t="str">
        <f t="shared" si="44"/>
        <v>2024-07</v>
      </c>
      <c r="I2877" t="str">
        <f>_xlfn.XLOOKUP(Table1[[#This Row],[Customer_ID]],Customers!$A$2:$A$30,Customers!$C$2:$C$30,"Not found")</f>
        <v>Mixed</v>
      </c>
    </row>
    <row r="2878" spans="1:9">
      <c r="A2878" s="9">
        <v>45477</v>
      </c>
      <c r="B2878" t="s">
        <v>590</v>
      </c>
      <c r="C2878" t="s">
        <v>8</v>
      </c>
      <c r="D2878" s="4">
        <v>240</v>
      </c>
      <c r="E2878" s="4"/>
      <c r="F2878">
        <v>113</v>
      </c>
      <c r="H2878" t="str">
        <f t="shared" si="44"/>
        <v>2024-07</v>
      </c>
      <c r="I2878" t="str">
        <f>_xlfn.XLOOKUP(Table1[[#This Row],[Customer_ID]],Customers!$A$2:$A$30,Customers!$C$2:$C$30,"Not found")</f>
        <v>Mixed</v>
      </c>
    </row>
    <row r="2879" spans="1:9">
      <c r="A2879" s="9">
        <v>45478</v>
      </c>
      <c r="B2879" t="s">
        <v>590</v>
      </c>
      <c r="C2879" t="s">
        <v>8</v>
      </c>
      <c r="D2879" s="4">
        <v>1423</v>
      </c>
      <c r="E2879" s="4"/>
      <c r="F2879">
        <v>113</v>
      </c>
      <c r="H2879" t="str">
        <f t="shared" ref="H2879:H2888" si="45">IF(A2879="","",TEXT(A2879,"yyyy-mm"))</f>
        <v>2024-07</v>
      </c>
      <c r="I2879" t="str">
        <f>_xlfn.XLOOKUP(Table1[[#This Row],[Customer_ID]],Customers!$A$2:$A$30,Customers!$C$2:$C$30,"Not found")</f>
        <v>Mixed</v>
      </c>
    </row>
    <row r="2880" spans="1:9">
      <c r="A2880" s="9">
        <v>45478</v>
      </c>
      <c r="B2880" t="s">
        <v>590</v>
      </c>
      <c r="C2880" t="s">
        <v>8</v>
      </c>
      <c r="D2880" s="4">
        <v>1250</v>
      </c>
      <c r="E2880" s="4"/>
      <c r="F2880">
        <v>113</v>
      </c>
      <c r="G2880" t="s">
        <v>37</v>
      </c>
      <c r="H2880" t="str">
        <f t="shared" si="45"/>
        <v>2024-07</v>
      </c>
      <c r="I2880" t="str">
        <f>_xlfn.XLOOKUP(Table1[[#This Row],[Customer_ID]],Customers!$A$2:$A$30,Customers!$C$2:$C$30,"Not found")</f>
        <v>Mixed</v>
      </c>
    </row>
    <row r="2881" spans="1:9">
      <c r="A2881" s="9">
        <v>45481</v>
      </c>
      <c r="B2881" t="s">
        <v>590</v>
      </c>
      <c r="C2881" t="s">
        <v>8</v>
      </c>
      <c r="D2881" s="4">
        <v>851</v>
      </c>
      <c r="E2881" s="4"/>
      <c r="F2881">
        <v>113</v>
      </c>
      <c r="H2881" t="str">
        <f t="shared" si="45"/>
        <v>2024-07</v>
      </c>
      <c r="I2881" t="str">
        <f>_xlfn.XLOOKUP(Table1[[#This Row],[Customer_ID]],Customers!$A$2:$A$30,Customers!$C$2:$C$30,"Not found")</f>
        <v>Mixed</v>
      </c>
    </row>
    <row r="2882" spans="1:9">
      <c r="A2882" s="9">
        <v>45481</v>
      </c>
      <c r="B2882" t="s">
        <v>590</v>
      </c>
      <c r="C2882" t="s">
        <v>22</v>
      </c>
      <c r="D2882" s="4">
        <v>-4</v>
      </c>
      <c r="E2882" s="4">
        <v>14778</v>
      </c>
      <c r="F2882">
        <v>113</v>
      </c>
      <c r="G2882" t="s">
        <v>641</v>
      </c>
      <c r="H2882" t="str">
        <f t="shared" si="45"/>
        <v>2024-07</v>
      </c>
      <c r="I2882" t="str">
        <f>_xlfn.XLOOKUP(Table1[[#This Row],[Customer_ID]],Customers!$A$2:$A$30,Customers!$C$2:$C$30,"Not found")</f>
        <v>Mixed</v>
      </c>
    </row>
    <row r="2883" spans="1:9">
      <c r="A2883" s="9">
        <v>45485</v>
      </c>
      <c r="B2883" t="s">
        <v>590</v>
      </c>
      <c r="C2883" t="s">
        <v>14</v>
      </c>
      <c r="D2883" s="4">
        <v>14000</v>
      </c>
      <c r="E2883" s="4">
        <v>778</v>
      </c>
      <c r="F2883">
        <v>113</v>
      </c>
      <c r="G2883" t="s">
        <v>642</v>
      </c>
      <c r="H2883" t="str">
        <f t="shared" si="45"/>
        <v>2024-07</v>
      </c>
      <c r="I2883" t="str">
        <f>_xlfn.XLOOKUP(Table1[[#This Row],[Customer_ID]],Customers!$A$2:$A$30,Customers!$C$2:$C$30,"Not found")</f>
        <v>Mixed</v>
      </c>
    </row>
    <row r="2884" spans="1:9">
      <c r="A2884" s="10"/>
      <c r="B2884" s="7" t="s">
        <v>590</v>
      </c>
      <c r="C2884" s="7" t="s">
        <v>14</v>
      </c>
      <c r="D2884" s="8">
        <v>778</v>
      </c>
      <c r="E2884" s="8">
        <v>0</v>
      </c>
      <c r="F2884" s="7">
        <v>113</v>
      </c>
      <c r="G2884" s="7" t="s">
        <v>643</v>
      </c>
      <c r="H2884" t="str">
        <f t="shared" si="45"/>
        <v/>
      </c>
      <c r="I2884" t="str">
        <f>_xlfn.XLOOKUP(Table1[[#This Row],[Customer_ID]],Customers!$A$2:$A$30,Customers!$C$2:$C$30,"Not found")</f>
        <v>Mixed</v>
      </c>
    </row>
    <row r="2885" spans="1:9">
      <c r="A2885" s="9">
        <v>45484</v>
      </c>
      <c r="B2885" t="s">
        <v>590</v>
      </c>
      <c r="C2885" t="s">
        <v>8</v>
      </c>
      <c r="D2885" s="4">
        <v>5655</v>
      </c>
      <c r="E2885" s="4"/>
      <c r="F2885">
        <v>113</v>
      </c>
      <c r="H2885" t="str">
        <f t="shared" si="45"/>
        <v>2024-07</v>
      </c>
      <c r="I2885" t="str">
        <f>_xlfn.XLOOKUP(Table1[[#This Row],[Customer_ID]],Customers!$A$2:$A$30,Customers!$C$2:$C$30,"Not found")</f>
        <v>Mixed</v>
      </c>
    </row>
    <row r="2886" spans="1:9">
      <c r="A2886" s="9">
        <v>45491</v>
      </c>
      <c r="B2886" t="s">
        <v>590</v>
      </c>
      <c r="C2886" t="s">
        <v>8</v>
      </c>
      <c r="D2886" s="4">
        <v>225</v>
      </c>
      <c r="E2886" s="4"/>
      <c r="F2886">
        <v>113</v>
      </c>
      <c r="H2886" t="str">
        <f t="shared" si="45"/>
        <v>2024-07</v>
      </c>
      <c r="I2886" t="str">
        <f>_xlfn.XLOOKUP(Table1[[#This Row],[Customer_ID]],Customers!$A$2:$A$30,Customers!$C$2:$C$30,"Not found")</f>
        <v>Mixed</v>
      </c>
    </row>
    <row r="2887" spans="1:9">
      <c r="A2887" s="9">
        <v>45491</v>
      </c>
      <c r="B2887" t="s">
        <v>590</v>
      </c>
      <c r="C2887" t="s">
        <v>8</v>
      </c>
      <c r="D2887" s="4">
        <v>340</v>
      </c>
      <c r="E2887" s="4"/>
      <c r="F2887">
        <v>113</v>
      </c>
      <c r="H2887" t="str">
        <f t="shared" si="45"/>
        <v>2024-07</v>
      </c>
      <c r="I2887" t="str">
        <f>_xlfn.XLOOKUP(Table1[[#This Row],[Customer_ID]],Customers!$A$2:$A$30,Customers!$C$2:$C$30,"Not found")</f>
        <v>Mixed</v>
      </c>
    </row>
    <row r="2888" spans="1:9">
      <c r="A2888" s="9">
        <v>45492</v>
      </c>
      <c r="B2888" t="s">
        <v>590</v>
      </c>
      <c r="C2888" t="s">
        <v>8</v>
      </c>
      <c r="D2888" s="4">
        <v>130</v>
      </c>
      <c r="E2888" s="4">
        <v>6350</v>
      </c>
      <c r="F2888">
        <v>113</v>
      </c>
      <c r="G2888" t="s">
        <v>644</v>
      </c>
      <c r="H2888" t="str">
        <f t="shared" si="45"/>
        <v>2024-07</v>
      </c>
      <c r="I2888" t="str">
        <f>_xlfn.XLOOKUP(Table1[[#This Row],[Customer_ID]],Customers!$A$2:$A$30,Customers!$C$2:$C$30,"Not found")</f>
        <v>Mixed</v>
      </c>
    </row>
    <row r="2889" spans="1:9">
      <c r="A2889" s="9">
        <v>45622</v>
      </c>
      <c r="B2889" t="s">
        <v>846</v>
      </c>
      <c r="C2889" t="s">
        <v>28</v>
      </c>
      <c r="D2889" s="4">
        <v>2858</v>
      </c>
      <c r="E2889" s="4"/>
      <c r="F2889">
        <v>200</v>
      </c>
      <c r="G2889" t="s">
        <v>847</v>
      </c>
      <c r="H2889" t="str">
        <f t="shared" ref="H2889:H2920" si="46">IF(A2889="","",TEXT(A2889,"yyyy-mm"))</f>
        <v>2024-11</v>
      </c>
      <c r="I2889" t="str">
        <f>_xlfn.XLOOKUP(Table1[[#This Row],[Customer_ID]],Customers!$A$2:$A$30,Customers!$C$2:$C$30,"Not found")</f>
        <v>Pays full</v>
      </c>
    </row>
    <row r="2890" spans="1:9">
      <c r="A2890" s="9">
        <v>45622</v>
      </c>
      <c r="B2890" t="s">
        <v>846</v>
      </c>
      <c r="C2890" t="s">
        <v>8</v>
      </c>
      <c r="D2890" s="4">
        <v>222</v>
      </c>
      <c r="E2890" s="4"/>
      <c r="F2890">
        <v>200</v>
      </c>
      <c r="H2890" t="str">
        <f t="shared" si="46"/>
        <v>2024-11</v>
      </c>
      <c r="I2890" t="str">
        <f>_xlfn.XLOOKUP(Table1[[#This Row],[Customer_ID]],Customers!$A$2:$A$30,Customers!$C$2:$C$30,"Not found")</f>
        <v>Pays full</v>
      </c>
    </row>
    <row r="2891" spans="1:9">
      <c r="A2891" s="9">
        <v>45623</v>
      </c>
      <c r="B2891" t="s">
        <v>846</v>
      </c>
      <c r="C2891" t="s">
        <v>8</v>
      </c>
      <c r="D2891" s="4">
        <v>108</v>
      </c>
      <c r="E2891" s="4"/>
      <c r="F2891">
        <v>200</v>
      </c>
      <c r="H2891" t="str">
        <f t="shared" si="46"/>
        <v>2024-11</v>
      </c>
      <c r="I2891" t="str">
        <f>_xlfn.XLOOKUP(Table1[[#This Row],[Customer_ID]],Customers!$A$2:$A$30,Customers!$C$2:$C$30,"Not found")</f>
        <v>Pays full</v>
      </c>
    </row>
    <row r="2892" spans="1:9">
      <c r="A2892" s="9">
        <v>45624</v>
      </c>
      <c r="B2892" t="s">
        <v>846</v>
      </c>
      <c r="C2892" t="s">
        <v>8</v>
      </c>
      <c r="D2892" s="4">
        <v>84</v>
      </c>
      <c r="E2892" s="4"/>
      <c r="F2892">
        <v>200</v>
      </c>
      <c r="H2892" t="str">
        <f t="shared" si="46"/>
        <v>2024-11</v>
      </c>
      <c r="I2892" t="str">
        <f>_xlfn.XLOOKUP(Table1[[#This Row],[Customer_ID]],Customers!$A$2:$A$30,Customers!$C$2:$C$30,"Not found")</f>
        <v>Pays full</v>
      </c>
    </row>
    <row r="2893" spans="1:9">
      <c r="A2893" s="9">
        <v>45624</v>
      </c>
      <c r="B2893" t="s">
        <v>846</v>
      </c>
      <c r="C2893" t="s">
        <v>8</v>
      </c>
      <c r="D2893" s="4">
        <v>90</v>
      </c>
      <c r="E2893" s="4"/>
      <c r="F2893">
        <v>200</v>
      </c>
      <c r="H2893" t="str">
        <f t="shared" si="46"/>
        <v>2024-11</v>
      </c>
      <c r="I2893" t="str">
        <f>_xlfn.XLOOKUP(Table1[[#This Row],[Customer_ID]],Customers!$A$2:$A$30,Customers!$C$2:$C$30,"Not found")</f>
        <v>Pays full</v>
      </c>
    </row>
    <row r="2894" spans="1:9">
      <c r="A2894" s="9">
        <v>45625</v>
      </c>
      <c r="B2894" t="s">
        <v>846</v>
      </c>
      <c r="C2894" t="s">
        <v>8</v>
      </c>
      <c r="D2894" s="4">
        <v>70</v>
      </c>
      <c r="E2894" s="4"/>
      <c r="F2894">
        <v>200</v>
      </c>
      <c r="H2894" t="str">
        <f t="shared" si="46"/>
        <v>2024-11</v>
      </c>
      <c r="I2894" t="str">
        <f>_xlfn.XLOOKUP(Table1[[#This Row],[Customer_ID]],Customers!$A$2:$A$30,Customers!$C$2:$C$30,"Not found")</f>
        <v>Pays full</v>
      </c>
    </row>
    <row r="2895" spans="1:9">
      <c r="A2895" s="9">
        <v>45625</v>
      </c>
      <c r="B2895" t="s">
        <v>846</v>
      </c>
      <c r="C2895" t="s">
        <v>8</v>
      </c>
      <c r="D2895" s="4">
        <v>33</v>
      </c>
      <c r="E2895" s="4"/>
      <c r="F2895">
        <v>200</v>
      </c>
      <c r="H2895" t="str">
        <f t="shared" si="46"/>
        <v>2024-11</v>
      </c>
      <c r="I2895" t="str">
        <f>_xlfn.XLOOKUP(Table1[[#This Row],[Customer_ID]],Customers!$A$2:$A$30,Customers!$C$2:$C$30,"Not found")</f>
        <v>Pays full</v>
      </c>
    </row>
    <row r="2896" spans="1:9">
      <c r="A2896" s="9">
        <v>45626</v>
      </c>
      <c r="B2896" t="s">
        <v>846</v>
      </c>
      <c r="C2896" t="s">
        <v>8</v>
      </c>
      <c r="D2896" s="4">
        <v>93</v>
      </c>
      <c r="E2896" s="4"/>
      <c r="F2896">
        <v>200</v>
      </c>
      <c r="H2896" t="str">
        <f t="shared" si="46"/>
        <v>2024-11</v>
      </c>
      <c r="I2896" t="str">
        <f>_xlfn.XLOOKUP(Table1[[#This Row],[Customer_ID]],Customers!$A$2:$A$30,Customers!$C$2:$C$30,"Not found")</f>
        <v>Pays full</v>
      </c>
    </row>
    <row r="2897" spans="1:9">
      <c r="A2897" s="9">
        <v>45627</v>
      </c>
      <c r="B2897" t="s">
        <v>846</v>
      </c>
      <c r="C2897" t="s">
        <v>8</v>
      </c>
      <c r="D2897" s="4">
        <v>61</v>
      </c>
      <c r="E2897" s="4"/>
      <c r="F2897">
        <v>200</v>
      </c>
      <c r="H2897" t="str">
        <f t="shared" si="46"/>
        <v>2024-12</v>
      </c>
      <c r="I2897" t="str">
        <f>_xlfn.XLOOKUP(Table1[[#This Row],[Customer_ID]],Customers!$A$2:$A$30,Customers!$C$2:$C$30,"Not found")</f>
        <v>Pays full</v>
      </c>
    </row>
    <row r="2898" spans="1:9">
      <c r="A2898" s="9">
        <v>45627</v>
      </c>
      <c r="B2898" t="s">
        <v>846</v>
      </c>
      <c r="C2898" t="s">
        <v>8</v>
      </c>
      <c r="D2898" s="4">
        <v>105</v>
      </c>
      <c r="E2898" s="4"/>
      <c r="F2898">
        <v>200</v>
      </c>
      <c r="H2898" t="str">
        <f t="shared" si="46"/>
        <v>2024-12</v>
      </c>
      <c r="I2898" t="str">
        <f>_xlfn.XLOOKUP(Table1[[#This Row],[Customer_ID]],Customers!$A$2:$A$30,Customers!$C$2:$C$30,"Not found")</f>
        <v>Pays full</v>
      </c>
    </row>
    <row r="2899" spans="1:9">
      <c r="A2899" s="9">
        <v>45628</v>
      </c>
      <c r="B2899" t="s">
        <v>846</v>
      </c>
      <c r="C2899" t="s">
        <v>8</v>
      </c>
      <c r="D2899" s="4">
        <v>45</v>
      </c>
      <c r="E2899" s="4"/>
      <c r="F2899">
        <v>200</v>
      </c>
      <c r="H2899" t="str">
        <f t="shared" si="46"/>
        <v>2024-12</v>
      </c>
      <c r="I2899" t="str">
        <f>_xlfn.XLOOKUP(Table1[[#This Row],[Customer_ID]],Customers!$A$2:$A$30,Customers!$C$2:$C$30,"Not found")</f>
        <v>Pays full</v>
      </c>
    </row>
    <row r="2900" spans="1:9">
      <c r="A2900" s="9">
        <v>45628</v>
      </c>
      <c r="B2900" t="s">
        <v>846</v>
      </c>
      <c r="C2900" t="s">
        <v>8</v>
      </c>
      <c r="D2900" s="4">
        <v>75</v>
      </c>
      <c r="E2900" s="4"/>
      <c r="F2900">
        <v>200</v>
      </c>
      <c r="H2900" t="str">
        <f t="shared" si="46"/>
        <v>2024-12</v>
      </c>
      <c r="I2900" t="str">
        <f>_xlfn.XLOOKUP(Table1[[#This Row],[Customer_ID]],Customers!$A$2:$A$30,Customers!$C$2:$C$30,"Not found")</f>
        <v>Pays full</v>
      </c>
    </row>
    <row r="2901" spans="1:9">
      <c r="A2901" s="9">
        <v>45629</v>
      </c>
      <c r="B2901" t="s">
        <v>846</v>
      </c>
      <c r="C2901" t="s">
        <v>8</v>
      </c>
      <c r="D2901" s="4">
        <v>143</v>
      </c>
      <c r="E2901" s="4">
        <v>3987</v>
      </c>
      <c r="F2901">
        <v>200</v>
      </c>
      <c r="G2901" t="s">
        <v>848</v>
      </c>
      <c r="H2901" t="str">
        <f t="shared" si="46"/>
        <v>2024-12</v>
      </c>
      <c r="I2901" t="str">
        <f>_xlfn.XLOOKUP(Table1[[#This Row],[Customer_ID]],Customers!$A$2:$A$30,Customers!$C$2:$C$30,"Not found")</f>
        <v>Pays full</v>
      </c>
    </row>
    <row r="2902" spans="1:9">
      <c r="A2902" s="9">
        <v>45629</v>
      </c>
      <c r="B2902" t="s">
        <v>846</v>
      </c>
      <c r="C2902" t="s">
        <v>8</v>
      </c>
      <c r="D2902" s="4">
        <v>55</v>
      </c>
      <c r="E2902" s="4"/>
      <c r="F2902">
        <v>200</v>
      </c>
      <c r="H2902" t="str">
        <f t="shared" si="46"/>
        <v>2024-12</v>
      </c>
      <c r="I2902" t="str">
        <f>_xlfn.XLOOKUP(Table1[[#This Row],[Customer_ID]],Customers!$A$2:$A$30,Customers!$C$2:$C$30,"Not found")</f>
        <v>Pays full</v>
      </c>
    </row>
    <row r="2903" spans="1:9">
      <c r="A2903" s="9">
        <v>45630</v>
      </c>
      <c r="B2903" t="s">
        <v>846</v>
      </c>
      <c r="C2903" t="s">
        <v>8</v>
      </c>
      <c r="D2903" s="4">
        <v>93</v>
      </c>
      <c r="E2903" s="4"/>
      <c r="F2903">
        <v>200</v>
      </c>
      <c r="H2903" t="str">
        <f t="shared" si="46"/>
        <v>2024-12</v>
      </c>
      <c r="I2903" t="str">
        <f>_xlfn.XLOOKUP(Table1[[#This Row],[Customer_ID]],Customers!$A$2:$A$30,Customers!$C$2:$C$30,"Not found")</f>
        <v>Pays full</v>
      </c>
    </row>
    <row r="2904" spans="1:9">
      <c r="A2904" s="9">
        <v>45631</v>
      </c>
      <c r="B2904" t="s">
        <v>846</v>
      </c>
      <c r="C2904" t="s">
        <v>8</v>
      </c>
      <c r="D2904" s="4">
        <v>48</v>
      </c>
      <c r="E2904" s="4"/>
      <c r="F2904">
        <v>200</v>
      </c>
      <c r="H2904" t="str">
        <f t="shared" si="46"/>
        <v>2024-12</v>
      </c>
      <c r="I2904" t="str">
        <f>_xlfn.XLOOKUP(Table1[[#This Row],[Customer_ID]],Customers!$A$2:$A$30,Customers!$C$2:$C$30,"Not found")</f>
        <v>Pays full</v>
      </c>
    </row>
    <row r="2905" spans="1:9">
      <c r="A2905" s="9">
        <v>45632</v>
      </c>
      <c r="B2905" t="s">
        <v>846</v>
      </c>
      <c r="C2905" t="s">
        <v>8</v>
      </c>
      <c r="D2905" s="4">
        <v>64</v>
      </c>
      <c r="E2905" s="4"/>
      <c r="F2905">
        <v>200</v>
      </c>
      <c r="H2905" t="str">
        <f t="shared" si="46"/>
        <v>2024-12</v>
      </c>
      <c r="I2905" t="str">
        <f>_xlfn.XLOOKUP(Table1[[#This Row],[Customer_ID]],Customers!$A$2:$A$30,Customers!$C$2:$C$30,"Not found")</f>
        <v>Pays full</v>
      </c>
    </row>
    <row r="2906" spans="1:9">
      <c r="A2906" s="9">
        <v>45633</v>
      </c>
      <c r="B2906" t="s">
        <v>846</v>
      </c>
      <c r="C2906" t="s">
        <v>8</v>
      </c>
      <c r="D2906" s="4">
        <v>155</v>
      </c>
      <c r="E2906" s="4"/>
      <c r="F2906">
        <v>200</v>
      </c>
      <c r="H2906" t="str">
        <f t="shared" si="46"/>
        <v>2024-12</v>
      </c>
      <c r="I2906" t="str">
        <f>_xlfn.XLOOKUP(Table1[[#This Row],[Customer_ID]],Customers!$A$2:$A$30,Customers!$C$2:$C$30,"Not found")</f>
        <v>Pays full</v>
      </c>
    </row>
    <row r="2907" spans="1:9">
      <c r="A2907" s="9">
        <v>45633</v>
      </c>
      <c r="B2907" t="s">
        <v>846</v>
      </c>
      <c r="C2907" t="s">
        <v>8</v>
      </c>
      <c r="D2907" s="4">
        <v>123</v>
      </c>
      <c r="E2907" s="4">
        <v>4525</v>
      </c>
      <c r="F2907">
        <v>200</v>
      </c>
      <c r="G2907" t="s">
        <v>849</v>
      </c>
      <c r="H2907" t="str">
        <f t="shared" si="46"/>
        <v>2024-12</v>
      </c>
      <c r="I2907" t="str">
        <f>_xlfn.XLOOKUP(Table1[[#This Row],[Customer_ID]],Customers!$A$2:$A$30,Customers!$C$2:$C$30,"Not found")</f>
        <v>Pays full</v>
      </c>
    </row>
    <row r="2908" spans="1:9">
      <c r="A2908" s="9">
        <v>45633</v>
      </c>
      <c r="B2908" t="s">
        <v>846</v>
      </c>
      <c r="C2908" t="s">
        <v>14</v>
      </c>
      <c r="D2908" s="4">
        <v>4500</v>
      </c>
      <c r="E2908" s="4">
        <v>25</v>
      </c>
      <c r="F2908">
        <v>200</v>
      </c>
      <c r="G2908" t="s">
        <v>850</v>
      </c>
      <c r="H2908" t="str">
        <f t="shared" si="46"/>
        <v>2024-12</v>
      </c>
      <c r="I2908" t="str">
        <f>_xlfn.XLOOKUP(Table1[[#This Row],[Customer_ID]],Customers!$A$2:$A$30,Customers!$C$2:$C$30,"Not found")</f>
        <v>Pays full</v>
      </c>
    </row>
    <row r="2909" spans="1:9">
      <c r="A2909" s="9">
        <v>45633</v>
      </c>
      <c r="B2909" t="s">
        <v>846</v>
      </c>
      <c r="C2909" t="s">
        <v>8</v>
      </c>
      <c r="D2909" s="4">
        <v>25</v>
      </c>
      <c r="E2909" s="4"/>
      <c r="F2909">
        <v>200</v>
      </c>
      <c r="H2909" t="str">
        <f t="shared" si="46"/>
        <v>2024-12</v>
      </c>
      <c r="I2909" t="str">
        <f>_xlfn.XLOOKUP(Table1[[#This Row],[Customer_ID]],Customers!$A$2:$A$30,Customers!$C$2:$C$30,"Not found")</f>
        <v>Pays full</v>
      </c>
    </row>
    <row r="2910" spans="1:9">
      <c r="A2910" s="9">
        <v>45634</v>
      </c>
      <c r="B2910" t="s">
        <v>846</v>
      </c>
      <c r="C2910" t="s">
        <v>8</v>
      </c>
      <c r="D2910" s="4">
        <v>165</v>
      </c>
      <c r="E2910" s="4"/>
      <c r="F2910">
        <v>200</v>
      </c>
      <c r="H2910" t="str">
        <f t="shared" si="46"/>
        <v>2024-12</v>
      </c>
      <c r="I2910" t="str">
        <f>_xlfn.XLOOKUP(Table1[[#This Row],[Customer_ID]],Customers!$A$2:$A$30,Customers!$C$2:$C$30,"Not found")</f>
        <v>Pays full</v>
      </c>
    </row>
    <row r="2911" spans="1:9">
      <c r="A2911" s="9">
        <v>45638</v>
      </c>
      <c r="B2911" t="s">
        <v>846</v>
      </c>
      <c r="C2911" t="s">
        <v>8</v>
      </c>
      <c r="D2911" s="4">
        <v>85</v>
      </c>
      <c r="E2911" s="4"/>
      <c r="F2911">
        <v>200</v>
      </c>
      <c r="H2911" t="str">
        <f t="shared" si="46"/>
        <v>2024-12</v>
      </c>
      <c r="I2911" t="str">
        <f>_xlfn.XLOOKUP(Table1[[#This Row],[Customer_ID]],Customers!$A$2:$A$30,Customers!$C$2:$C$30,"Not found")</f>
        <v>Pays full</v>
      </c>
    </row>
    <row r="2912" spans="1:9">
      <c r="A2912" s="9">
        <v>45638</v>
      </c>
      <c r="B2912" t="s">
        <v>846</v>
      </c>
      <c r="C2912" t="s">
        <v>8</v>
      </c>
      <c r="D2912" s="4">
        <v>10</v>
      </c>
      <c r="E2912" s="4"/>
      <c r="F2912">
        <v>200</v>
      </c>
      <c r="G2912" t="s">
        <v>851</v>
      </c>
      <c r="H2912" t="str">
        <f t="shared" si="46"/>
        <v>2024-12</v>
      </c>
      <c r="I2912" t="str">
        <f>_xlfn.XLOOKUP(Table1[[#This Row],[Customer_ID]],Customers!$A$2:$A$30,Customers!$C$2:$C$30,"Not found")</f>
        <v>Pays full</v>
      </c>
    </row>
    <row r="2913" spans="1:9">
      <c r="A2913" s="9">
        <v>45640</v>
      </c>
      <c r="B2913" t="s">
        <v>846</v>
      </c>
      <c r="C2913" t="s">
        <v>8</v>
      </c>
      <c r="D2913" s="4">
        <v>98</v>
      </c>
      <c r="E2913" s="4"/>
      <c r="F2913">
        <v>200</v>
      </c>
      <c r="H2913" t="str">
        <f t="shared" si="46"/>
        <v>2024-12</v>
      </c>
      <c r="I2913" t="str">
        <f>_xlfn.XLOOKUP(Table1[[#This Row],[Customer_ID]],Customers!$A$2:$A$30,Customers!$C$2:$C$30,"Not found")</f>
        <v>Pays full</v>
      </c>
    </row>
    <row r="2914" spans="1:9">
      <c r="A2914" s="9">
        <v>45641</v>
      </c>
      <c r="B2914" t="s">
        <v>846</v>
      </c>
      <c r="C2914" t="s">
        <v>8</v>
      </c>
      <c r="D2914" s="4">
        <v>100</v>
      </c>
      <c r="E2914" s="4"/>
      <c r="F2914">
        <v>200</v>
      </c>
      <c r="H2914" t="str">
        <f t="shared" si="46"/>
        <v>2024-12</v>
      </c>
      <c r="I2914" t="str">
        <f>_xlfn.XLOOKUP(Table1[[#This Row],[Customer_ID]],Customers!$A$2:$A$30,Customers!$C$2:$C$30,"Not found")</f>
        <v>Pays full</v>
      </c>
    </row>
    <row r="2915" spans="1:9">
      <c r="A2915" s="9">
        <v>45641</v>
      </c>
      <c r="B2915" t="s">
        <v>846</v>
      </c>
      <c r="C2915" t="s">
        <v>8</v>
      </c>
      <c r="D2915" s="4">
        <v>68</v>
      </c>
      <c r="E2915" s="4"/>
      <c r="F2915">
        <v>200</v>
      </c>
      <c r="H2915" t="str">
        <f t="shared" si="46"/>
        <v>2024-12</v>
      </c>
      <c r="I2915" t="str">
        <f>_xlfn.XLOOKUP(Table1[[#This Row],[Customer_ID]],Customers!$A$2:$A$30,Customers!$C$2:$C$30,"Not found")</f>
        <v>Pays full</v>
      </c>
    </row>
    <row r="2916" spans="1:9">
      <c r="A2916" s="9">
        <v>45642</v>
      </c>
      <c r="B2916" t="s">
        <v>846</v>
      </c>
      <c r="C2916" t="s">
        <v>8</v>
      </c>
      <c r="D2916" s="4">
        <v>60</v>
      </c>
      <c r="E2916" s="4"/>
      <c r="F2916">
        <v>200</v>
      </c>
      <c r="H2916" t="str">
        <f t="shared" si="46"/>
        <v>2024-12</v>
      </c>
      <c r="I2916" t="str">
        <f>_xlfn.XLOOKUP(Table1[[#This Row],[Customer_ID]],Customers!$A$2:$A$30,Customers!$C$2:$C$30,"Not found")</f>
        <v>Pays full</v>
      </c>
    </row>
    <row r="2917" spans="1:9">
      <c r="A2917" s="33">
        <v>45643</v>
      </c>
      <c r="B2917" s="34" t="s">
        <v>846</v>
      </c>
      <c r="C2917" s="34" t="s">
        <v>8</v>
      </c>
      <c r="D2917" s="35">
        <v>288</v>
      </c>
      <c r="E2917" s="35"/>
      <c r="F2917" s="34">
        <v>200</v>
      </c>
      <c r="G2917" s="34" t="s">
        <v>852</v>
      </c>
      <c r="H2917" t="str">
        <f t="shared" si="46"/>
        <v>2024-12</v>
      </c>
      <c r="I2917" t="str">
        <f>_xlfn.XLOOKUP(Table1[[#This Row],[Customer_ID]],Customers!$A$2:$A$30,Customers!$C$2:$C$30,"Not found")</f>
        <v>Pays full</v>
      </c>
    </row>
    <row r="2918" spans="1:9">
      <c r="A2918" s="9">
        <v>45644</v>
      </c>
      <c r="B2918" t="s">
        <v>846</v>
      </c>
      <c r="C2918" t="s">
        <v>8</v>
      </c>
      <c r="D2918" s="4">
        <v>56</v>
      </c>
      <c r="E2918" s="4"/>
      <c r="F2918">
        <v>200</v>
      </c>
      <c r="H2918" t="str">
        <f t="shared" si="46"/>
        <v>2024-12</v>
      </c>
      <c r="I2918" t="str">
        <f>_xlfn.XLOOKUP(Table1[[#This Row],[Customer_ID]],Customers!$A$2:$A$30,Customers!$C$2:$C$30,"Not found")</f>
        <v>Pays full</v>
      </c>
    </row>
    <row r="2919" spans="1:9">
      <c r="A2919" s="9">
        <v>45645</v>
      </c>
      <c r="B2919" t="s">
        <v>846</v>
      </c>
      <c r="C2919" t="s">
        <v>8</v>
      </c>
      <c r="D2919" s="4">
        <v>70</v>
      </c>
      <c r="E2919" s="4"/>
      <c r="F2919">
        <v>200</v>
      </c>
      <c r="H2919" t="str">
        <f t="shared" si="46"/>
        <v>2024-12</v>
      </c>
      <c r="I2919" t="str">
        <f>_xlfn.XLOOKUP(Table1[[#This Row],[Customer_ID]],Customers!$A$2:$A$30,Customers!$C$2:$C$30,"Not found")</f>
        <v>Pays full</v>
      </c>
    </row>
    <row r="2920" spans="1:9">
      <c r="A2920" s="9">
        <v>45646</v>
      </c>
      <c r="B2920" t="s">
        <v>846</v>
      </c>
      <c r="C2920" t="s">
        <v>8</v>
      </c>
      <c r="D2920" s="4">
        <v>92</v>
      </c>
      <c r="E2920" s="4"/>
      <c r="F2920">
        <v>200</v>
      </c>
      <c r="H2920" t="str">
        <f t="shared" si="46"/>
        <v>2024-12</v>
      </c>
      <c r="I2920" t="str">
        <f>_xlfn.XLOOKUP(Table1[[#This Row],[Customer_ID]],Customers!$A$2:$A$30,Customers!$C$2:$C$30,"Not found")</f>
        <v>Pays full</v>
      </c>
    </row>
    <row r="2921" spans="1:9">
      <c r="A2921" s="9">
        <v>45646</v>
      </c>
      <c r="B2921" t="s">
        <v>846</v>
      </c>
      <c r="C2921" t="s">
        <v>8</v>
      </c>
      <c r="D2921" s="4">
        <v>28</v>
      </c>
      <c r="E2921" s="4"/>
      <c r="F2921">
        <v>200</v>
      </c>
      <c r="H2921" t="str">
        <f t="shared" ref="H2921:H2952" si="47">IF(A2921="","",TEXT(A2921,"yyyy-mm"))</f>
        <v>2024-12</v>
      </c>
      <c r="I2921" t="str">
        <f>_xlfn.XLOOKUP(Table1[[#This Row],[Customer_ID]],Customers!$A$2:$A$30,Customers!$C$2:$C$30,"Not found")</f>
        <v>Pays full</v>
      </c>
    </row>
    <row r="2922" spans="1:9">
      <c r="A2922" s="9">
        <v>45647</v>
      </c>
      <c r="B2922" t="s">
        <v>846</v>
      </c>
      <c r="C2922" t="s">
        <v>8</v>
      </c>
      <c r="D2922" s="4">
        <v>93</v>
      </c>
      <c r="E2922" s="4"/>
      <c r="F2922">
        <v>200</v>
      </c>
      <c r="H2922" t="str">
        <f t="shared" si="47"/>
        <v>2024-12</v>
      </c>
      <c r="I2922" t="str">
        <f>_xlfn.XLOOKUP(Table1[[#This Row],[Customer_ID]],Customers!$A$2:$A$30,Customers!$C$2:$C$30,"Not found")</f>
        <v>Pays full</v>
      </c>
    </row>
    <row r="2923" spans="1:9">
      <c r="A2923" s="9">
        <v>45648</v>
      </c>
      <c r="B2923" t="s">
        <v>846</v>
      </c>
      <c r="C2923" t="s">
        <v>8</v>
      </c>
      <c r="D2923" s="4">
        <v>90</v>
      </c>
      <c r="E2923" s="4"/>
      <c r="F2923">
        <v>200</v>
      </c>
      <c r="H2923" t="str">
        <f t="shared" si="47"/>
        <v>2024-12</v>
      </c>
      <c r="I2923" t="str">
        <f>_xlfn.XLOOKUP(Table1[[#This Row],[Customer_ID]],Customers!$A$2:$A$30,Customers!$C$2:$C$30,"Not found")</f>
        <v>Pays full</v>
      </c>
    </row>
    <row r="2924" spans="1:9">
      <c r="A2924" s="9">
        <v>45649</v>
      </c>
      <c r="B2924" t="s">
        <v>846</v>
      </c>
      <c r="C2924" t="s">
        <v>8</v>
      </c>
      <c r="D2924" s="4">
        <v>75</v>
      </c>
      <c r="E2924" s="4"/>
      <c r="F2924">
        <v>200</v>
      </c>
      <c r="H2924" t="str">
        <f t="shared" si="47"/>
        <v>2024-12</v>
      </c>
      <c r="I2924" t="str">
        <f>_xlfn.XLOOKUP(Table1[[#This Row],[Customer_ID]],Customers!$A$2:$A$30,Customers!$C$2:$C$30,"Not found")</f>
        <v>Pays full</v>
      </c>
    </row>
    <row r="2925" spans="1:9">
      <c r="A2925" s="9">
        <v>45650</v>
      </c>
      <c r="B2925" t="s">
        <v>846</v>
      </c>
      <c r="C2925" t="s">
        <v>8</v>
      </c>
      <c r="D2925" s="4">
        <v>50</v>
      </c>
      <c r="E2925" s="4"/>
      <c r="F2925">
        <v>200</v>
      </c>
      <c r="H2925" t="str">
        <f t="shared" si="47"/>
        <v>2024-12</v>
      </c>
      <c r="I2925" t="str">
        <f>_xlfn.XLOOKUP(Table1[[#This Row],[Customer_ID]],Customers!$A$2:$A$30,Customers!$C$2:$C$30,"Not found")</f>
        <v>Pays full</v>
      </c>
    </row>
    <row r="2926" spans="1:9">
      <c r="A2926" s="9">
        <v>45651</v>
      </c>
      <c r="B2926" t="s">
        <v>846</v>
      </c>
      <c r="C2926" t="s">
        <v>8</v>
      </c>
      <c r="D2926" s="4">
        <v>93</v>
      </c>
      <c r="E2926" s="4"/>
      <c r="F2926">
        <v>200</v>
      </c>
      <c r="H2926" t="str">
        <f t="shared" si="47"/>
        <v>2024-12</v>
      </c>
      <c r="I2926" t="str">
        <f>_xlfn.XLOOKUP(Table1[[#This Row],[Customer_ID]],Customers!$A$2:$A$30,Customers!$C$2:$C$30,"Not found")</f>
        <v>Pays full</v>
      </c>
    </row>
    <row r="2927" spans="1:9">
      <c r="A2927" s="9">
        <v>45652</v>
      </c>
      <c r="B2927" t="s">
        <v>846</v>
      </c>
      <c r="C2927" t="s">
        <v>8</v>
      </c>
      <c r="D2927" s="4">
        <v>166</v>
      </c>
      <c r="E2927" s="4"/>
      <c r="F2927">
        <v>200</v>
      </c>
      <c r="H2927" t="str">
        <f t="shared" si="47"/>
        <v>2024-12</v>
      </c>
      <c r="I2927" t="str">
        <f>_xlfn.XLOOKUP(Table1[[#This Row],[Customer_ID]],Customers!$A$2:$A$30,Customers!$C$2:$C$30,"Not found")</f>
        <v>Pays full</v>
      </c>
    </row>
    <row r="2928" spans="1:9">
      <c r="A2928" s="9">
        <v>45652</v>
      </c>
      <c r="B2928" t="s">
        <v>846</v>
      </c>
      <c r="C2928" t="s">
        <v>8</v>
      </c>
      <c r="D2928" s="4">
        <v>43</v>
      </c>
      <c r="E2928" s="4"/>
      <c r="F2928">
        <v>200</v>
      </c>
      <c r="H2928" t="str">
        <f t="shared" si="47"/>
        <v>2024-12</v>
      </c>
      <c r="I2928" t="str">
        <f>_xlfn.XLOOKUP(Table1[[#This Row],[Customer_ID]],Customers!$A$2:$A$30,Customers!$C$2:$C$30,"Not found")</f>
        <v>Pays full</v>
      </c>
    </row>
    <row r="2929" spans="1:9">
      <c r="A2929" s="9">
        <v>45653</v>
      </c>
      <c r="B2929" t="s">
        <v>846</v>
      </c>
      <c r="C2929" t="s">
        <v>8</v>
      </c>
      <c r="D2929" s="4">
        <v>28</v>
      </c>
      <c r="E2929" s="4"/>
      <c r="F2929">
        <v>200</v>
      </c>
      <c r="H2929" t="str">
        <f t="shared" si="47"/>
        <v>2024-12</v>
      </c>
      <c r="I2929" t="str">
        <f>_xlfn.XLOOKUP(Table1[[#This Row],[Customer_ID]],Customers!$A$2:$A$30,Customers!$C$2:$C$30,"Not found")</f>
        <v>Pays full</v>
      </c>
    </row>
    <row r="2930" spans="1:9">
      <c r="A2930" s="9">
        <v>45653</v>
      </c>
      <c r="B2930" t="s">
        <v>846</v>
      </c>
      <c r="C2930" t="s">
        <v>8</v>
      </c>
      <c r="D2930" s="4">
        <v>55</v>
      </c>
      <c r="E2930" s="4"/>
      <c r="F2930">
        <v>200</v>
      </c>
      <c r="H2930" t="str">
        <f t="shared" si="47"/>
        <v>2024-12</v>
      </c>
      <c r="I2930" t="str">
        <f>_xlfn.XLOOKUP(Table1[[#This Row],[Customer_ID]],Customers!$A$2:$A$30,Customers!$C$2:$C$30,"Not found")</f>
        <v>Pays full</v>
      </c>
    </row>
    <row r="2931" spans="1:9">
      <c r="A2931" s="9">
        <v>45654</v>
      </c>
      <c r="B2931" t="s">
        <v>846</v>
      </c>
      <c r="C2931" t="s">
        <v>8</v>
      </c>
      <c r="D2931" s="4">
        <v>120</v>
      </c>
      <c r="E2931" s="4"/>
      <c r="F2931">
        <v>200</v>
      </c>
      <c r="H2931" t="str">
        <f t="shared" si="47"/>
        <v>2024-12</v>
      </c>
      <c r="I2931" t="str">
        <f>_xlfn.XLOOKUP(Table1[[#This Row],[Customer_ID]],Customers!$A$2:$A$30,Customers!$C$2:$C$30,"Not found")</f>
        <v>Pays full</v>
      </c>
    </row>
    <row r="2932" spans="1:9">
      <c r="A2932" s="9">
        <v>45655</v>
      </c>
      <c r="B2932" t="s">
        <v>846</v>
      </c>
      <c r="C2932" t="s">
        <v>8</v>
      </c>
      <c r="D2932" s="4">
        <v>53</v>
      </c>
      <c r="E2932" s="4"/>
      <c r="F2932">
        <v>200</v>
      </c>
      <c r="H2932" t="str">
        <f t="shared" si="47"/>
        <v>2024-12</v>
      </c>
      <c r="I2932" t="str">
        <f>_xlfn.XLOOKUP(Table1[[#This Row],[Customer_ID]],Customers!$A$2:$A$30,Customers!$C$2:$C$30,"Not found")</f>
        <v>Pays full</v>
      </c>
    </row>
    <row r="2933" spans="1:9">
      <c r="A2933" s="9">
        <v>45655</v>
      </c>
      <c r="B2933" t="s">
        <v>846</v>
      </c>
      <c r="C2933" t="s">
        <v>8</v>
      </c>
      <c r="D2933" s="4">
        <v>83</v>
      </c>
      <c r="E2933" s="4"/>
      <c r="F2933">
        <v>200</v>
      </c>
      <c r="H2933" t="str">
        <f t="shared" si="47"/>
        <v>2024-12</v>
      </c>
      <c r="I2933" t="str">
        <f>_xlfn.XLOOKUP(Table1[[#This Row],[Customer_ID]],Customers!$A$2:$A$30,Customers!$C$2:$C$30,"Not found")</f>
        <v>Pays full</v>
      </c>
    </row>
    <row r="2934" spans="1:9">
      <c r="A2934" s="9">
        <v>45656</v>
      </c>
      <c r="B2934" t="s">
        <v>846</v>
      </c>
      <c r="C2934" t="s">
        <v>8</v>
      </c>
      <c r="D2934" s="4">
        <v>76</v>
      </c>
      <c r="E2934" s="4"/>
      <c r="F2934">
        <v>200</v>
      </c>
      <c r="H2934" t="str">
        <f t="shared" si="47"/>
        <v>2024-12</v>
      </c>
      <c r="I2934" t="str">
        <f>_xlfn.XLOOKUP(Table1[[#This Row],[Customer_ID]],Customers!$A$2:$A$30,Customers!$C$2:$C$30,"Not found")</f>
        <v>Pays full</v>
      </c>
    </row>
    <row r="2935" spans="1:9">
      <c r="A2935" s="9">
        <v>45657</v>
      </c>
      <c r="B2935" t="s">
        <v>846</v>
      </c>
      <c r="C2935" t="s">
        <v>8</v>
      </c>
      <c r="D2935" s="4">
        <v>28</v>
      </c>
      <c r="E2935" s="4"/>
      <c r="F2935">
        <v>200</v>
      </c>
      <c r="H2935" t="str">
        <f t="shared" si="47"/>
        <v>2024-12</v>
      </c>
      <c r="I2935" t="str">
        <f>_xlfn.XLOOKUP(Table1[[#This Row],[Customer_ID]],Customers!$A$2:$A$30,Customers!$C$2:$C$30,"Not found")</f>
        <v>Pays full</v>
      </c>
    </row>
    <row r="2936" spans="1:9">
      <c r="A2936" s="9">
        <v>45657</v>
      </c>
      <c r="B2936" t="s">
        <v>846</v>
      </c>
      <c r="C2936" t="s">
        <v>8</v>
      </c>
      <c r="D2936" s="4">
        <v>148</v>
      </c>
      <c r="E2936" s="4"/>
      <c r="F2936">
        <v>200</v>
      </c>
      <c r="H2936" t="str">
        <f t="shared" si="47"/>
        <v>2024-12</v>
      </c>
      <c r="I2936" t="str">
        <f>_xlfn.XLOOKUP(Table1[[#This Row],[Customer_ID]],Customers!$A$2:$A$30,Customers!$C$2:$C$30,"Not found")</f>
        <v>Pays full</v>
      </c>
    </row>
    <row r="2937" spans="1:9">
      <c r="A2937" s="9">
        <v>45658</v>
      </c>
      <c r="B2937" t="s">
        <v>846</v>
      </c>
      <c r="C2937" t="s">
        <v>8</v>
      </c>
      <c r="D2937" s="4">
        <v>109</v>
      </c>
      <c r="E2937" s="4"/>
      <c r="F2937">
        <v>200</v>
      </c>
      <c r="H2937" t="str">
        <f t="shared" si="47"/>
        <v>2025-01</v>
      </c>
      <c r="I2937" t="str">
        <f>_xlfn.XLOOKUP(Table1[[#This Row],[Customer_ID]],Customers!$A$2:$A$30,Customers!$C$2:$C$30,"Not found")</f>
        <v>Pays full</v>
      </c>
    </row>
    <row r="2938" spans="1:9">
      <c r="A2938" s="9">
        <v>45658</v>
      </c>
      <c r="B2938" t="s">
        <v>846</v>
      </c>
      <c r="C2938" t="s">
        <v>8</v>
      </c>
      <c r="D2938" s="4">
        <v>50</v>
      </c>
      <c r="E2938" s="4"/>
      <c r="F2938">
        <v>200</v>
      </c>
      <c r="H2938" t="str">
        <f t="shared" si="47"/>
        <v>2025-01</v>
      </c>
      <c r="I2938" t="str">
        <f>_xlfn.XLOOKUP(Table1[[#This Row],[Customer_ID]],Customers!$A$2:$A$30,Customers!$C$2:$C$30,"Not found")</f>
        <v>Pays full</v>
      </c>
    </row>
    <row r="2939" spans="1:9">
      <c r="A2939" s="9">
        <v>45659</v>
      </c>
      <c r="B2939" t="s">
        <v>846</v>
      </c>
      <c r="C2939" t="s">
        <v>8</v>
      </c>
      <c r="D2939" s="4">
        <v>90</v>
      </c>
      <c r="E2939" s="4"/>
      <c r="F2939">
        <v>200</v>
      </c>
      <c r="H2939" t="str">
        <f t="shared" si="47"/>
        <v>2025-01</v>
      </c>
      <c r="I2939" t="str">
        <f>_xlfn.XLOOKUP(Table1[[#This Row],[Customer_ID]],Customers!$A$2:$A$30,Customers!$C$2:$C$30,"Not found")</f>
        <v>Pays full</v>
      </c>
    </row>
    <row r="2940" spans="1:9">
      <c r="A2940" s="9">
        <v>45659</v>
      </c>
      <c r="B2940" t="s">
        <v>846</v>
      </c>
      <c r="C2940" t="s">
        <v>8</v>
      </c>
      <c r="D2940" s="4">
        <v>68</v>
      </c>
      <c r="E2940" s="4"/>
      <c r="F2940">
        <v>200</v>
      </c>
      <c r="H2940" t="str">
        <f t="shared" si="47"/>
        <v>2025-01</v>
      </c>
      <c r="I2940" t="str">
        <f>_xlfn.XLOOKUP(Table1[[#This Row],[Customer_ID]],Customers!$A$2:$A$30,Customers!$C$2:$C$30,"Not found")</f>
        <v>Pays full</v>
      </c>
    </row>
    <row r="2941" spans="1:9">
      <c r="A2941" s="9">
        <v>45660</v>
      </c>
      <c r="B2941" t="s">
        <v>846</v>
      </c>
      <c r="C2941" t="s">
        <v>8</v>
      </c>
      <c r="D2941" s="4">
        <v>130</v>
      </c>
      <c r="E2941" s="4"/>
      <c r="F2941">
        <v>200</v>
      </c>
      <c r="H2941" t="str">
        <f t="shared" si="47"/>
        <v>2025-01</v>
      </c>
      <c r="I2941" t="str">
        <f>_xlfn.XLOOKUP(Table1[[#This Row],[Customer_ID]],Customers!$A$2:$A$30,Customers!$C$2:$C$30,"Not found")</f>
        <v>Pays full</v>
      </c>
    </row>
    <row r="2942" spans="1:9">
      <c r="A2942" s="9">
        <v>45660</v>
      </c>
      <c r="B2942" t="s">
        <v>846</v>
      </c>
      <c r="C2942" t="s">
        <v>8</v>
      </c>
      <c r="D2942" s="4">
        <v>25</v>
      </c>
      <c r="E2942" s="4"/>
      <c r="F2942">
        <v>200</v>
      </c>
      <c r="H2942" t="str">
        <f t="shared" si="47"/>
        <v>2025-01</v>
      </c>
      <c r="I2942" t="str">
        <f>_xlfn.XLOOKUP(Table1[[#This Row],[Customer_ID]],Customers!$A$2:$A$30,Customers!$C$2:$C$30,"Not found")</f>
        <v>Pays full</v>
      </c>
    </row>
    <row r="2943" spans="1:9">
      <c r="A2943" s="9">
        <v>45661</v>
      </c>
      <c r="B2943" t="s">
        <v>846</v>
      </c>
      <c r="C2943" t="s">
        <v>8</v>
      </c>
      <c r="D2943" s="4">
        <v>78</v>
      </c>
      <c r="E2943" s="4"/>
      <c r="F2943">
        <v>200</v>
      </c>
      <c r="H2943" t="str">
        <f t="shared" si="47"/>
        <v>2025-01</v>
      </c>
      <c r="I2943" t="str">
        <f>_xlfn.XLOOKUP(Table1[[#This Row],[Customer_ID]],Customers!$A$2:$A$30,Customers!$C$2:$C$30,"Not found")</f>
        <v>Pays full</v>
      </c>
    </row>
    <row r="2944" spans="1:9">
      <c r="A2944" s="9">
        <v>45662</v>
      </c>
      <c r="B2944" t="s">
        <v>846</v>
      </c>
      <c r="C2944" t="s">
        <v>8</v>
      </c>
      <c r="D2944" s="4">
        <v>50</v>
      </c>
      <c r="E2944" s="4"/>
      <c r="F2944">
        <v>200</v>
      </c>
      <c r="H2944" t="str">
        <f t="shared" si="47"/>
        <v>2025-01</v>
      </c>
      <c r="I2944" t="str">
        <f>_xlfn.XLOOKUP(Table1[[#This Row],[Customer_ID]],Customers!$A$2:$A$30,Customers!$C$2:$C$30,"Not found")</f>
        <v>Pays full</v>
      </c>
    </row>
    <row r="2945" spans="1:9">
      <c r="A2945" s="9">
        <v>45662</v>
      </c>
      <c r="B2945" t="s">
        <v>846</v>
      </c>
      <c r="C2945" t="s">
        <v>8</v>
      </c>
      <c r="D2945" s="4">
        <v>92</v>
      </c>
      <c r="E2945" s="4"/>
      <c r="F2945">
        <v>200</v>
      </c>
      <c r="H2945" t="str">
        <f t="shared" si="47"/>
        <v>2025-01</v>
      </c>
      <c r="I2945" t="str">
        <f>_xlfn.XLOOKUP(Table1[[#This Row],[Customer_ID]],Customers!$A$2:$A$30,Customers!$C$2:$C$30,"Not found")</f>
        <v>Pays full</v>
      </c>
    </row>
    <row r="2946" spans="1:9">
      <c r="A2946" s="9">
        <v>45663</v>
      </c>
      <c r="B2946" t="s">
        <v>846</v>
      </c>
      <c r="C2946" t="s">
        <v>8</v>
      </c>
      <c r="D2946" s="4">
        <v>120</v>
      </c>
      <c r="E2946" s="4">
        <v>3183</v>
      </c>
      <c r="F2946">
        <v>200</v>
      </c>
      <c r="G2946" t="s">
        <v>853</v>
      </c>
      <c r="H2946" t="str">
        <f t="shared" si="47"/>
        <v>2025-01</v>
      </c>
      <c r="I2946" t="str">
        <f>_xlfn.XLOOKUP(Table1[[#This Row],[Customer_ID]],Customers!$A$2:$A$30,Customers!$C$2:$C$30,"Not found")</f>
        <v>Pays full</v>
      </c>
    </row>
    <row r="2947" spans="1:9">
      <c r="A2947" s="9">
        <v>45663</v>
      </c>
      <c r="B2947" t="s">
        <v>846</v>
      </c>
      <c r="C2947" t="s">
        <v>8</v>
      </c>
      <c r="D2947" s="4">
        <v>22</v>
      </c>
      <c r="E2947" s="4">
        <v>3205</v>
      </c>
      <c r="F2947">
        <v>200</v>
      </c>
      <c r="G2947" t="s">
        <v>854</v>
      </c>
      <c r="H2947" t="str">
        <f t="shared" si="47"/>
        <v>2025-01</v>
      </c>
      <c r="I2947" t="str">
        <f>_xlfn.XLOOKUP(Table1[[#This Row],[Customer_ID]],Customers!$A$2:$A$30,Customers!$C$2:$C$30,"Not found")</f>
        <v>Pays full</v>
      </c>
    </row>
    <row r="2948" spans="1:9">
      <c r="A2948" s="9"/>
      <c r="B2948" t="s">
        <v>846</v>
      </c>
      <c r="C2948" t="s">
        <v>14</v>
      </c>
      <c r="D2948" s="4">
        <v>3200</v>
      </c>
      <c r="E2948" s="4">
        <v>5</v>
      </c>
      <c r="F2948">
        <v>200</v>
      </c>
      <c r="G2948" t="s">
        <v>855</v>
      </c>
      <c r="H2948" t="str">
        <f t="shared" si="47"/>
        <v/>
      </c>
      <c r="I2948" t="str">
        <f>_xlfn.XLOOKUP(Table1[[#This Row],[Customer_ID]],Customers!$A$2:$A$30,Customers!$C$2:$C$30,"Not found")</f>
        <v>Pays full</v>
      </c>
    </row>
    <row r="2949" spans="1:9">
      <c r="A2949" s="9">
        <v>45664</v>
      </c>
      <c r="B2949" t="s">
        <v>846</v>
      </c>
      <c r="C2949" t="s">
        <v>8</v>
      </c>
      <c r="D2949" s="4">
        <v>90</v>
      </c>
      <c r="E2949" s="4"/>
      <c r="F2949">
        <v>200</v>
      </c>
      <c r="H2949" t="str">
        <f t="shared" si="47"/>
        <v>2025-01</v>
      </c>
      <c r="I2949" t="str">
        <f>_xlfn.XLOOKUP(Table1[[#This Row],[Customer_ID]],Customers!$A$2:$A$30,Customers!$C$2:$C$30,"Not found")</f>
        <v>Pays full</v>
      </c>
    </row>
    <row r="2950" spans="1:9">
      <c r="A2950" s="9">
        <v>45664</v>
      </c>
      <c r="B2950" t="s">
        <v>846</v>
      </c>
      <c r="C2950" t="s">
        <v>8</v>
      </c>
      <c r="D2950" s="4">
        <v>38</v>
      </c>
      <c r="E2950" s="4"/>
      <c r="F2950">
        <v>200</v>
      </c>
      <c r="H2950" t="str">
        <f t="shared" si="47"/>
        <v>2025-01</v>
      </c>
      <c r="I2950" t="str">
        <f>_xlfn.XLOOKUP(Table1[[#This Row],[Customer_ID]],Customers!$A$2:$A$30,Customers!$C$2:$C$30,"Not found")</f>
        <v>Pays full</v>
      </c>
    </row>
    <row r="2951" spans="1:9">
      <c r="A2951" s="9">
        <v>45667</v>
      </c>
      <c r="B2951" t="s">
        <v>846</v>
      </c>
      <c r="C2951" t="s">
        <v>8</v>
      </c>
      <c r="D2951" s="4">
        <v>78</v>
      </c>
      <c r="E2951" s="4"/>
      <c r="F2951">
        <v>200</v>
      </c>
      <c r="H2951" t="str">
        <f t="shared" si="47"/>
        <v>2025-01</v>
      </c>
      <c r="I2951" t="str">
        <f>_xlfn.XLOOKUP(Table1[[#This Row],[Customer_ID]],Customers!$A$2:$A$30,Customers!$C$2:$C$30,"Not found")</f>
        <v>Pays full</v>
      </c>
    </row>
    <row r="2952" spans="1:9">
      <c r="A2952" s="9">
        <v>45668</v>
      </c>
      <c r="B2952" t="s">
        <v>846</v>
      </c>
      <c r="C2952" t="s">
        <v>8</v>
      </c>
      <c r="D2952" s="4">
        <v>95</v>
      </c>
      <c r="E2952" s="4"/>
      <c r="F2952">
        <v>200</v>
      </c>
      <c r="H2952" t="str">
        <f t="shared" si="47"/>
        <v>2025-01</v>
      </c>
      <c r="I2952" t="str">
        <f>_xlfn.XLOOKUP(Table1[[#This Row],[Customer_ID]],Customers!$A$2:$A$30,Customers!$C$2:$C$30,"Not found")</f>
        <v>Pays full</v>
      </c>
    </row>
    <row r="2953" spans="1:9">
      <c r="A2953" s="9">
        <v>45669</v>
      </c>
      <c r="B2953" t="s">
        <v>846</v>
      </c>
      <c r="C2953" t="s">
        <v>8</v>
      </c>
      <c r="D2953" s="4">
        <v>101</v>
      </c>
      <c r="E2953" s="4"/>
      <c r="F2953">
        <v>200</v>
      </c>
      <c r="H2953" t="str">
        <f t="shared" ref="H2953:H2984" si="48">IF(A2953="","",TEXT(A2953,"yyyy-mm"))</f>
        <v>2025-01</v>
      </c>
      <c r="I2953" t="str">
        <f>_xlfn.XLOOKUP(Table1[[#This Row],[Customer_ID]],Customers!$A$2:$A$30,Customers!$C$2:$C$30,"Not found")</f>
        <v>Pays full</v>
      </c>
    </row>
    <row r="2954" spans="1:9">
      <c r="A2954" s="9">
        <v>45669</v>
      </c>
      <c r="B2954" t="s">
        <v>846</v>
      </c>
      <c r="C2954" t="s">
        <v>8</v>
      </c>
      <c r="D2954" s="4">
        <v>13</v>
      </c>
      <c r="E2954" s="4"/>
      <c r="F2954">
        <v>200</v>
      </c>
      <c r="H2954" t="str">
        <f t="shared" si="48"/>
        <v>2025-01</v>
      </c>
      <c r="I2954" t="str">
        <f>_xlfn.XLOOKUP(Table1[[#This Row],[Customer_ID]],Customers!$A$2:$A$30,Customers!$C$2:$C$30,"Not found")</f>
        <v>Pays full</v>
      </c>
    </row>
    <row r="2955" spans="1:9">
      <c r="A2955" s="9">
        <v>45669</v>
      </c>
      <c r="B2955" t="s">
        <v>846</v>
      </c>
      <c r="C2955" t="s">
        <v>8</v>
      </c>
      <c r="D2955" s="4">
        <v>50</v>
      </c>
      <c r="E2955" s="4"/>
      <c r="F2955">
        <v>200</v>
      </c>
      <c r="H2955" t="str">
        <f t="shared" si="48"/>
        <v>2025-01</v>
      </c>
      <c r="I2955" t="str">
        <f>_xlfn.XLOOKUP(Table1[[#This Row],[Customer_ID]],Customers!$A$2:$A$30,Customers!$C$2:$C$30,"Not found")</f>
        <v>Pays full</v>
      </c>
    </row>
    <row r="2956" spans="1:9">
      <c r="A2956" s="9">
        <v>45670</v>
      </c>
      <c r="B2956" t="s">
        <v>846</v>
      </c>
      <c r="C2956" t="s">
        <v>8</v>
      </c>
      <c r="D2956" s="4">
        <v>70</v>
      </c>
      <c r="E2956" s="4"/>
      <c r="F2956">
        <v>200</v>
      </c>
      <c r="H2956" t="str">
        <f t="shared" si="48"/>
        <v>2025-01</v>
      </c>
      <c r="I2956" t="str">
        <f>_xlfn.XLOOKUP(Table1[[#This Row],[Customer_ID]],Customers!$A$2:$A$30,Customers!$C$2:$C$30,"Not found")</f>
        <v>Pays full</v>
      </c>
    </row>
    <row r="2957" spans="1:9">
      <c r="A2957" s="9">
        <v>45670</v>
      </c>
      <c r="B2957" t="s">
        <v>846</v>
      </c>
      <c r="C2957" t="s">
        <v>8</v>
      </c>
      <c r="D2957" s="4">
        <v>84</v>
      </c>
      <c r="E2957" s="4"/>
      <c r="F2957">
        <v>200</v>
      </c>
      <c r="H2957" t="str">
        <f t="shared" si="48"/>
        <v>2025-01</v>
      </c>
      <c r="I2957" t="str">
        <f>_xlfn.XLOOKUP(Table1[[#This Row],[Customer_ID]],Customers!$A$2:$A$30,Customers!$C$2:$C$30,"Not found")</f>
        <v>Pays full</v>
      </c>
    </row>
    <row r="2958" spans="1:9">
      <c r="A2958" s="9">
        <v>45671</v>
      </c>
      <c r="B2958" t="s">
        <v>846</v>
      </c>
      <c r="C2958" t="s">
        <v>8</v>
      </c>
      <c r="D2958" s="4">
        <v>25</v>
      </c>
      <c r="E2958" s="4"/>
      <c r="F2958">
        <v>200</v>
      </c>
      <c r="H2958" t="str">
        <f t="shared" si="48"/>
        <v>2025-01</v>
      </c>
      <c r="I2958" t="str">
        <f>_xlfn.XLOOKUP(Table1[[#This Row],[Customer_ID]],Customers!$A$2:$A$30,Customers!$C$2:$C$30,"Not found")</f>
        <v>Pays full</v>
      </c>
    </row>
    <row r="2959" spans="1:9">
      <c r="A2959" s="9">
        <v>45671</v>
      </c>
      <c r="B2959" t="s">
        <v>846</v>
      </c>
      <c r="C2959" t="s">
        <v>8</v>
      </c>
      <c r="D2959" s="4">
        <v>110</v>
      </c>
      <c r="E2959" s="4"/>
      <c r="F2959">
        <v>200</v>
      </c>
      <c r="H2959" t="str">
        <f t="shared" si="48"/>
        <v>2025-01</v>
      </c>
      <c r="I2959" t="str">
        <f>_xlfn.XLOOKUP(Table1[[#This Row],[Customer_ID]],Customers!$A$2:$A$30,Customers!$C$2:$C$30,"Not found")</f>
        <v>Pays full</v>
      </c>
    </row>
    <row r="2960" spans="1:9">
      <c r="A2960" s="9">
        <v>45672</v>
      </c>
      <c r="B2960" t="s">
        <v>846</v>
      </c>
      <c r="C2960" t="s">
        <v>8</v>
      </c>
      <c r="D2960" s="4">
        <v>150</v>
      </c>
      <c r="E2960" s="4"/>
      <c r="F2960">
        <v>200</v>
      </c>
      <c r="H2960" t="str">
        <f t="shared" si="48"/>
        <v>2025-01</v>
      </c>
      <c r="I2960" t="str">
        <f>_xlfn.XLOOKUP(Table1[[#This Row],[Customer_ID]],Customers!$A$2:$A$30,Customers!$C$2:$C$30,"Not found")</f>
        <v>Pays full</v>
      </c>
    </row>
    <row r="2961" spans="1:9">
      <c r="A2961" s="9">
        <v>45672</v>
      </c>
      <c r="B2961" t="s">
        <v>846</v>
      </c>
      <c r="C2961" t="s">
        <v>8</v>
      </c>
      <c r="D2961" s="4">
        <v>15</v>
      </c>
      <c r="E2961" s="4"/>
      <c r="F2961">
        <v>200</v>
      </c>
      <c r="H2961" t="str">
        <f t="shared" si="48"/>
        <v>2025-01</v>
      </c>
      <c r="I2961" t="str">
        <f>_xlfn.XLOOKUP(Table1[[#This Row],[Customer_ID]],Customers!$A$2:$A$30,Customers!$C$2:$C$30,"Not found")</f>
        <v>Pays full</v>
      </c>
    </row>
    <row r="2962" spans="1:9">
      <c r="A2962" s="9">
        <v>45673</v>
      </c>
      <c r="B2962" t="s">
        <v>846</v>
      </c>
      <c r="C2962" t="s">
        <v>8</v>
      </c>
      <c r="D2962" s="4">
        <v>128</v>
      </c>
      <c r="E2962" s="4"/>
      <c r="F2962">
        <v>200</v>
      </c>
      <c r="H2962" t="str">
        <f t="shared" si="48"/>
        <v>2025-01</v>
      </c>
      <c r="I2962" t="str">
        <f>_xlfn.XLOOKUP(Table1[[#This Row],[Customer_ID]],Customers!$A$2:$A$30,Customers!$C$2:$C$30,"Not found")</f>
        <v>Pays full</v>
      </c>
    </row>
    <row r="2963" spans="1:9">
      <c r="A2963" s="33">
        <v>45674</v>
      </c>
      <c r="B2963" s="34" t="s">
        <v>846</v>
      </c>
      <c r="C2963" s="34" t="s">
        <v>8</v>
      </c>
      <c r="D2963" s="35">
        <v>428</v>
      </c>
      <c r="E2963" s="35"/>
      <c r="F2963" s="34">
        <v>200</v>
      </c>
      <c r="G2963" s="34" t="s">
        <v>856</v>
      </c>
      <c r="H2963" t="str">
        <f t="shared" si="48"/>
        <v>2025-01</v>
      </c>
      <c r="I2963" t="str">
        <f>_xlfn.XLOOKUP(Table1[[#This Row],[Customer_ID]],Customers!$A$2:$A$30,Customers!$C$2:$C$30,"Not found")</f>
        <v>Pays full</v>
      </c>
    </row>
    <row r="2964" spans="1:9">
      <c r="A2964" s="9">
        <v>45674</v>
      </c>
      <c r="B2964" t="s">
        <v>846</v>
      </c>
      <c r="C2964" t="s">
        <v>8</v>
      </c>
      <c r="D2964" s="4">
        <v>81</v>
      </c>
      <c r="E2964" s="4"/>
      <c r="F2964">
        <v>200</v>
      </c>
      <c r="H2964" t="str">
        <f t="shared" si="48"/>
        <v>2025-01</v>
      </c>
      <c r="I2964" t="str">
        <f>_xlfn.XLOOKUP(Table1[[#This Row],[Customer_ID]],Customers!$A$2:$A$30,Customers!$C$2:$C$30,"Not found")</f>
        <v>Pays full</v>
      </c>
    </row>
    <row r="2965" spans="1:9">
      <c r="A2965" s="9">
        <v>45675</v>
      </c>
      <c r="B2965" t="s">
        <v>846</v>
      </c>
      <c r="C2965" t="s">
        <v>8</v>
      </c>
      <c r="D2965" s="4">
        <v>38</v>
      </c>
      <c r="E2965" s="4"/>
      <c r="F2965">
        <v>200</v>
      </c>
      <c r="H2965" t="str">
        <f t="shared" si="48"/>
        <v>2025-01</v>
      </c>
      <c r="I2965" t="str">
        <f>_xlfn.XLOOKUP(Table1[[#This Row],[Customer_ID]],Customers!$A$2:$A$30,Customers!$C$2:$C$30,"Not found")</f>
        <v>Pays full</v>
      </c>
    </row>
    <row r="2966" spans="1:9">
      <c r="A2966" s="9">
        <v>45675</v>
      </c>
      <c r="B2966" t="s">
        <v>846</v>
      </c>
      <c r="C2966" t="s">
        <v>8</v>
      </c>
      <c r="D2966" s="4">
        <v>25</v>
      </c>
      <c r="E2966" s="4"/>
      <c r="F2966">
        <v>200</v>
      </c>
      <c r="H2966" t="str">
        <f t="shared" si="48"/>
        <v>2025-01</v>
      </c>
      <c r="I2966" t="str">
        <f>_xlfn.XLOOKUP(Table1[[#This Row],[Customer_ID]],Customers!$A$2:$A$30,Customers!$C$2:$C$30,"Not found")</f>
        <v>Pays full</v>
      </c>
    </row>
    <row r="2967" spans="1:9">
      <c r="A2967" s="9">
        <v>45677</v>
      </c>
      <c r="B2967" t="s">
        <v>846</v>
      </c>
      <c r="C2967" t="s">
        <v>8</v>
      </c>
      <c r="D2967" s="4">
        <v>120</v>
      </c>
      <c r="E2967" s="4"/>
      <c r="F2967">
        <v>200</v>
      </c>
      <c r="H2967" t="str">
        <f t="shared" si="48"/>
        <v>2025-01</v>
      </c>
      <c r="I2967" t="str">
        <f>_xlfn.XLOOKUP(Table1[[#This Row],[Customer_ID]],Customers!$A$2:$A$30,Customers!$C$2:$C$30,"Not found")</f>
        <v>Pays full</v>
      </c>
    </row>
    <row r="2968" spans="1:9">
      <c r="A2968" s="9">
        <v>45677</v>
      </c>
      <c r="B2968" t="s">
        <v>846</v>
      </c>
      <c r="C2968" t="s">
        <v>8</v>
      </c>
      <c r="D2968" s="4">
        <v>77</v>
      </c>
      <c r="E2968" s="4"/>
      <c r="F2968">
        <v>200</v>
      </c>
      <c r="H2968" t="str">
        <f t="shared" si="48"/>
        <v>2025-01</v>
      </c>
      <c r="I2968" t="str">
        <f>_xlfn.XLOOKUP(Table1[[#This Row],[Customer_ID]],Customers!$A$2:$A$30,Customers!$C$2:$C$30,"Not found")</f>
        <v>Pays full</v>
      </c>
    </row>
    <row r="2969" spans="1:9">
      <c r="A2969" s="9">
        <v>45678</v>
      </c>
      <c r="B2969" t="s">
        <v>846</v>
      </c>
      <c r="C2969" t="s">
        <v>8</v>
      </c>
      <c r="D2969" s="4">
        <v>53</v>
      </c>
      <c r="E2969" s="4"/>
      <c r="F2969">
        <v>200</v>
      </c>
      <c r="H2969" t="str">
        <f t="shared" si="48"/>
        <v>2025-01</v>
      </c>
      <c r="I2969" t="str">
        <f>_xlfn.XLOOKUP(Table1[[#This Row],[Customer_ID]],Customers!$A$2:$A$30,Customers!$C$2:$C$30,"Not found")</f>
        <v>Pays full</v>
      </c>
    </row>
    <row r="2970" spans="1:9">
      <c r="A2970" s="9">
        <v>45678</v>
      </c>
      <c r="B2970" t="s">
        <v>846</v>
      </c>
      <c r="C2970" t="s">
        <v>8</v>
      </c>
      <c r="D2970" s="4">
        <v>80</v>
      </c>
      <c r="E2970" s="4"/>
      <c r="F2970">
        <v>200</v>
      </c>
      <c r="H2970" t="str">
        <f t="shared" si="48"/>
        <v>2025-01</v>
      </c>
      <c r="I2970" t="str">
        <f>_xlfn.XLOOKUP(Table1[[#This Row],[Customer_ID]],Customers!$A$2:$A$30,Customers!$C$2:$C$30,"Not found")</f>
        <v>Pays full</v>
      </c>
    </row>
    <row r="2971" spans="1:9">
      <c r="A2971" s="9">
        <v>45679</v>
      </c>
      <c r="B2971" t="s">
        <v>846</v>
      </c>
      <c r="C2971" t="s">
        <v>8</v>
      </c>
      <c r="D2971" s="4">
        <v>90</v>
      </c>
      <c r="E2971" s="4"/>
      <c r="F2971">
        <v>200</v>
      </c>
      <c r="H2971" t="str">
        <f t="shared" si="48"/>
        <v>2025-01</v>
      </c>
      <c r="I2971" t="str">
        <f>_xlfn.XLOOKUP(Table1[[#This Row],[Customer_ID]],Customers!$A$2:$A$30,Customers!$C$2:$C$30,"Not found")</f>
        <v>Pays full</v>
      </c>
    </row>
    <row r="2972" spans="1:9">
      <c r="A2972" s="9">
        <v>45680</v>
      </c>
      <c r="B2972" t="s">
        <v>846</v>
      </c>
      <c r="C2972" t="s">
        <v>8</v>
      </c>
      <c r="D2972" s="4">
        <v>88</v>
      </c>
      <c r="E2972" s="4"/>
      <c r="F2972">
        <v>200</v>
      </c>
      <c r="H2972" t="str">
        <f t="shared" si="48"/>
        <v>2025-01</v>
      </c>
      <c r="I2972" t="str">
        <f>_xlfn.XLOOKUP(Table1[[#This Row],[Customer_ID]],Customers!$A$2:$A$30,Customers!$C$2:$C$30,"Not found")</f>
        <v>Pays full</v>
      </c>
    </row>
    <row r="2973" spans="1:9">
      <c r="A2973" s="9">
        <v>45680</v>
      </c>
      <c r="B2973" t="s">
        <v>846</v>
      </c>
      <c r="C2973" t="s">
        <v>8</v>
      </c>
      <c r="D2973" s="4">
        <v>25</v>
      </c>
      <c r="E2973" s="4"/>
      <c r="F2973">
        <v>200</v>
      </c>
      <c r="H2973" t="str">
        <f t="shared" si="48"/>
        <v>2025-01</v>
      </c>
      <c r="I2973" t="str">
        <f>_xlfn.XLOOKUP(Table1[[#This Row],[Customer_ID]],Customers!$A$2:$A$30,Customers!$C$2:$C$30,"Not found")</f>
        <v>Pays full</v>
      </c>
    </row>
    <row r="2974" spans="1:9">
      <c r="A2974" s="9">
        <v>45681</v>
      </c>
      <c r="B2974" t="s">
        <v>846</v>
      </c>
      <c r="C2974" t="s">
        <v>8</v>
      </c>
      <c r="D2974" s="4">
        <v>53</v>
      </c>
      <c r="E2974" s="4"/>
      <c r="F2974">
        <v>200</v>
      </c>
      <c r="H2974" t="str">
        <f t="shared" si="48"/>
        <v>2025-01</v>
      </c>
      <c r="I2974" t="str">
        <f>_xlfn.XLOOKUP(Table1[[#This Row],[Customer_ID]],Customers!$A$2:$A$30,Customers!$C$2:$C$30,"Not found")</f>
        <v>Pays full</v>
      </c>
    </row>
    <row r="2975" spans="1:9">
      <c r="A2975" s="9">
        <v>45681</v>
      </c>
      <c r="B2975" t="s">
        <v>846</v>
      </c>
      <c r="C2975" t="s">
        <v>8</v>
      </c>
      <c r="D2975" s="4">
        <v>93</v>
      </c>
      <c r="E2975" s="4"/>
      <c r="F2975">
        <v>200</v>
      </c>
      <c r="H2975" t="str">
        <f t="shared" si="48"/>
        <v>2025-01</v>
      </c>
      <c r="I2975" t="str">
        <f>_xlfn.XLOOKUP(Table1[[#This Row],[Customer_ID]],Customers!$A$2:$A$30,Customers!$C$2:$C$30,"Not found")</f>
        <v>Pays full</v>
      </c>
    </row>
    <row r="2976" spans="1:9">
      <c r="A2976" s="33">
        <v>45681</v>
      </c>
      <c r="B2976" s="34" t="s">
        <v>846</v>
      </c>
      <c r="C2976" s="34" t="s">
        <v>8</v>
      </c>
      <c r="D2976" s="35">
        <v>137</v>
      </c>
      <c r="E2976" s="35"/>
      <c r="F2976" s="34">
        <v>200</v>
      </c>
      <c r="G2976" s="34" t="s">
        <v>857</v>
      </c>
      <c r="H2976" t="str">
        <f t="shared" si="48"/>
        <v>2025-01</v>
      </c>
      <c r="I2976" t="str">
        <f>_xlfn.XLOOKUP(Table1[[#This Row],[Customer_ID]],Customers!$A$2:$A$30,Customers!$C$2:$C$30,"Not found")</f>
        <v>Pays full</v>
      </c>
    </row>
    <row r="2977" spans="1:9">
      <c r="A2977" s="9">
        <v>45646</v>
      </c>
      <c r="B2977" t="s">
        <v>858</v>
      </c>
      <c r="C2977" t="s">
        <v>8</v>
      </c>
      <c r="D2977" s="4">
        <v>456</v>
      </c>
      <c r="E2977" s="4"/>
      <c r="F2977">
        <v>244</v>
      </c>
      <c r="H2977" t="str">
        <f t="shared" si="48"/>
        <v>2024-12</v>
      </c>
      <c r="I2977" t="str">
        <f>_xlfn.XLOOKUP(Table1[[#This Row],[Customer_ID]],Customers!$A$2:$A$30,Customers!$C$2:$C$30,"Not found")</f>
        <v>Pays full</v>
      </c>
    </row>
    <row r="2978" spans="1:9">
      <c r="A2978" s="33">
        <v>45646</v>
      </c>
      <c r="B2978" s="34" t="s">
        <v>858</v>
      </c>
      <c r="C2978" s="34" t="s">
        <v>8</v>
      </c>
      <c r="D2978" s="35">
        <v>5520</v>
      </c>
      <c r="E2978" s="35"/>
      <c r="F2978" s="34">
        <v>244</v>
      </c>
      <c r="G2978" s="34" t="s">
        <v>859</v>
      </c>
      <c r="H2978" t="str">
        <f t="shared" si="48"/>
        <v>2024-12</v>
      </c>
      <c r="I2978" t="str">
        <f>_xlfn.XLOOKUP(Table1[[#This Row],[Customer_ID]],Customers!$A$2:$A$30,Customers!$C$2:$C$30,"Not found")</f>
        <v>Pays full</v>
      </c>
    </row>
    <row r="2979" spans="1:9">
      <c r="A2979" s="9">
        <v>45646</v>
      </c>
      <c r="B2979" t="s">
        <v>858</v>
      </c>
      <c r="C2979" t="s">
        <v>8</v>
      </c>
      <c r="D2979" s="4">
        <v>1720</v>
      </c>
      <c r="E2979" s="4"/>
      <c r="F2979">
        <v>244</v>
      </c>
      <c r="G2979" t="s">
        <v>860</v>
      </c>
      <c r="H2979" t="str">
        <f t="shared" si="48"/>
        <v>2024-12</v>
      </c>
      <c r="I2979" t="str">
        <f>_xlfn.XLOOKUP(Table1[[#This Row],[Customer_ID]],Customers!$A$2:$A$30,Customers!$C$2:$C$30,"Not found")</f>
        <v>Pays full</v>
      </c>
    </row>
    <row r="2980" spans="1:9">
      <c r="A2980" s="9">
        <v>45647</v>
      </c>
      <c r="B2980" t="s">
        <v>858</v>
      </c>
      <c r="C2980" t="s">
        <v>8</v>
      </c>
      <c r="D2980" s="4">
        <v>243</v>
      </c>
      <c r="E2980" s="4"/>
      <c r="F2980">
        <v>244</v>
      </c>
      <c r="H2980" t="str">
        <f t="shared" si="48"/>
        <v>2024-12</v>
      </c>
      <c r="I2980" t="str">
        <f>_xlfn.XLOOKUP(Table1[[#This Row],[Customer_ID]],Customers!$A$2:$A$30,Customers!$C$2:$C$30,"Not found")</f>
        <v>Pays full</v>
      </c>
    </row>
    <row r="2981" spans="1:9">
      <c r="A2981" s="9">
        <v>45648</v>
      </c>
      <c r="B2981" t="s">
        <v>858</v>
      </c>
      <c r="C2981" t="s">
        <v>8</v>
      </c>
      <c r="D2981" s="4">
        <v>100</v>
      </c>
      <c r="E2981" s="4"/>
      <c r="F2981">
        <v>244</v>
      </c>
      <c r="H2981" t="str">
        <f t="shared" si="48"/>
        <v>2024-12</v>
      </c>
      <c r="I2981" t="str">
        <f>_xlfn.XLOOKUP(Table1[[#This Row],[Customer_ID]],Customers!$A$2:$A$30,Customers!$C$2:$C$30,"Not found")</f>
        <v>Pays full</v>
      </c>
    </row>
    <row r="2982" spans="1:9">
      <c r="A2982" s="9">
        <v>45650</v>
      </c>
      <c r="B2982" t="s">
        <v>858</v>
      </c>
      <c r="C2982" t="s">
        <v>8</v>
      </c>
      <c r="D2982" s="4">
        <v>30</v>
      </c>
      <c r="E2982" s="4"/>
      <c r="F2982">
        <v>244</v>
      </c>
      <c r="H2982" t="str">
        <f t="shared" si="48"/>
        <v>2024-12</v>
      </c>
      <c r="I2982" t="str">
        <f>_xlfn.XLOOKUP(Table1[[#This Row],[Customer_ID]],Customers!$A$2:$A$30,Customers!$C$2:$C$30,"Not found")</f>
        <v>Pays full</v>
      </c>
    </row>
    <row r="2983" spans="1:9">
      <c r="A2983" s="9">
        <v>45650</v>
      </c>
      <c r="B2983" t="s">
        <v>858</v>
      </c>
      <c r="C2983" t="s">
        <v>8</v>
      </c>
      <c r="D2983" s="4">
        <v>60</v>
      </c>
      <c r="E2983" s="4"/>
      <c r="F2983">
        <v>244</v>
      </c>
      <c r="H2983" t="str">
        <f t="shared" si="48"/>
        <v>2024-12</v>
      </c>
      <c r="I2983" t="str">
        <f>_xlfn.XLOOKUP(Table1[[#This Row],[Customer_ID]],Customers!$A$2:$A$30,Customers!$C$2:$C$30,"Not found")</f>
        <v>Pays full</v>
      </c>
    </row>
    <row r="2984" spans="1:9">
      <c r="A2984" s="9">
        <v>45651</v>
      </c>
      <c r="B2984" t="s">
        <v>858</v>
      </c>
      <c r="C2984" t="s">
        <v>8</v>
      </c>
      <c r="D2984" s="4">
        <v>113</v>
      </c>
      <c r="E2984" s="4"/>
      <c r="F2984">
        <v>244</v>
      </c>
      <c r="H2984" t="str">
        <f t="shared" si="48"/>
        <v>2024-12</v>
      </c>
      <c r="I2984" t="str">
        <f>_xlfn.XLOOKUP(Table1[[#This Row],[Customer_ID]],Customers!$A$2:$A$30,Customers!$C$2:$C$30,"Not found")</f>
        <v>Pays full</v>
      </c>
    </row>
    <row r="2985" spans="1:9">
      <c r="A2985" s="9">
        <v>45653</v>
      </c>
      <c r="B2985" t="s">
        <v>858</v>
      </c>
      <c r="C2985" t="s">
        <v>8</v>
      </c>
      <c r="D2985" s="4">
        <v>101</v>
      </c>
      <c r="E2985" s="4"/>
      <c r="F2985">
        <v>244</v>
      </c>
      <c r="H2985" t="str">
        <f t="shared" ref="H2985:H3016" si="49">IF(A2985="","",TEXT(A2985,"yyyy-mm"))</f>
        <v>2024-12</v>
      </c>
      <c r="I2985" t="str">
        <f>_xlfn.XLOOKUP(Table1[[#This Row],[Customer_ID]],Customers!$A$2:$A$30,Customers!$C$2:$C$30,"Not found")</f>
        <v>Pays full</v>
      </c>
    </row>
    <row r="2986" spans="1:9">
      <c r="A2986" s="9">
        <v>45654</v>
      </c>
      <c r="B2986" t="s">
        <v>858</v>
      </c>
      <c r="C2986" t="s">
        <v>8</v>
      </c>
      <c r="D2986" s="4">
        <v>160</v>
      </c>
      <c r="E2986" s="4"/>
      <c r="F2986">
        <v>244</v>
      </c>
      <c r="H2986" t="str">
        <f t="shared" si="49"/>
        <v>2024-12</v>
      </c>
      <c r="I2986" t="str">
        <f>_xlfn.XLOOKUP(Table1[[#This Row],[Customer_ID]],Customers!$A$2:$A$30,Customers!$C$2:$C$30,"Not found")</f>
        <v>Pays full</v>
      </c>
    </row>
    <row r="2987" spans="1:9">
      <c r="A2987" s="9">
        <v>45654</v>
      </c>
      <c r="B2987" t="s">
        <v>858</v>
      </c>
      <c r="C2987" t="s">
        <v>8</v>
      </c>
      <c r="D2987" s="4">
        <v>30</v>
      </c>
      <c r="E2987" s="4"/>
      <c r="F2987">
        <v>244</v>
      </c>
      <c r="H2987" t="str">
        <f t="shared" si="49"/>
        <v>2024-12</v>
      </c>
      <c r="I2987" t="str">
        <f>_xlfn.XLOOKUP(Table1[[#This Row],[Customer_ID]],Customers!$A$2:$A$30,Customers!$C$2:$C$30,"Not found")</f>
        <v>Pays full</v>
      </c>
    </row>
    <row r="2988" spans="1:9">
      <c r="A2988" s="9">
        <v>45655</v>
      </c>
      <c r="B2988" t="s">
        <v>858</v>
      </c>
      <c r="C2988" t="s">
        <v>8</v>
      </c>
      <c r="D2988" s="4">
        <v>432</v>
      </c>
      <c r="E2988" s="4"/>
      <c r="F2988">
        <v>244</v>
      </c>
      <c r="H2988" t="str">
        <f t="shared" si="49"/>
        <v>2024-12</v>
      </c>
      <c r="I2988" t="str">
        <f>_xlfn.XLOOKUP(Table1[[#This Row],[Customer_ID]],Customers!$A$2:$A$30,Customers!$C$2:$C$30,"Not found")</f>
        <v>Pays full</v>
      </c>
    </row>
    <row r="2989" spans="1:9">
      <c r="A2989" s="9">
        <v>45656</v>
      </c>
      <c r="B2989" t="s">
        <v>858</v>
      </c>
      <c r="C2989" t="s">
        <v>8</v>
      </c>
      <c r="D2989" s="4">
        <v>58</v>
      </c>
      <c r="E2989" s="4"/>
      <c r="F2989">
        <v>244</v>
      </c>
      <c r="H2989" t="str">
        <f t="shared" si="49"/>
        <v>2024-12</v>
      </c>
      <c r="I2989" t="str">
        <f>_xlfn.XLOOKUP(Table1[[#This Row],[Customer_ID]],Customers!$A$2:$A$30,Customers!$C$2:$C$30,"Not found")</f>
        <v>Pays full</v>
      </c>
    </row>
    <row r="2990" spans="1:9">
      <c r="A2990" s="9">
        <v>45658</v>
      </c>
      <c r="B2990" t="s">
        <v>858</v>
      </c>
      <c r="C2990" t="s">
        <v>8</v>
      </c>
      <c r="D2990" s="4">
        <v>70</v>
      </c>
      <c r="E2990" s="4">
        <v>9093</v>
      </c>
      <c r="F2990">
        <v>244</v>
      </c>
      <c r="G2990" t="s">
        <v>861</v>
      </c>
      <c r="H2990" t="str">
        <f t="shared" si="49"/>
        <v>2025-01</v>
      </c>
      <c r="I2990" t="str">
        <f>_xlfn.XLOOKUP(Table1[[#This Row],[Customer_ID]],Customers!$A$2:$A$30,Customers!$C$2:$C$30,"Not found")</f>
        <v>Pays full</v>
      </c>
    </row>
    <row r="2991" spans="1:9">
      <c r="A2991" s="9">
        <v>45662</v>
      </c>
      <c r="B2991" t="s">
        <v>858</v>
      </c>
      <c r="C2991" t="s">
        <v>14</v>
      </c>
      <c r="D2991" s="4">
        <v>3000</v>
      </c>
      <c r="E2991" s="4">
        <v>6093</v>
      </c>
      <c r="F2991">
        <v>244</v>
      </c>
      <c r="G2991" t="s">
        <v>862</v>
      </c>
      <c r="H2991" t="str">
        <f t="shared" si="49"/>
        <v>2025-01</v>
      </c>
      <c r="I2991" t="str">
        <f>_xlfn.XLOOKUP(Table1[[#This Row],[Customer_ID]],Customers!$A$2:$A$30,Customers!$C$2:$C$30,"Not found")</f>
        <v>Pays full</v>
      </c>
    </row>
    <row r="2992" spans="1:9">
      <c r="A2992" s="9">
        <v>45668</v>
      </c>
      <c r="B2992" t="s">
        <v>858</v>
      </c>
      <c r="C2992" t="s">
        <v>14</v>
      </c>
      <c r="D2992" s="4">
        <v>4000</v>
      </c>
      <c r="E2992" s="4">
        <v>2093</v>
      </c>
      <c r="F2992">
        <v>244</v>
      </c>
      <c r="G2992" t="s">
        <v>863</v>
      </c>
      <c r="H2992" t="str">
        <f t="shared" si="49"/>
        <v>2025-01</v>
      </c>
      <c r="I2992" t="str">
        <f>_xlfn.XLOOKUP(Table1[[#This Row],[Customer_ID]],Customers!$A$2:$A$30,Customers!$C$2:$C$30,"Not found")</f>
        <v>Pays full</v>
      </c>
    </row>
    <row r="2993" spans="1:9">
      <c r="A2993" s="33">
        <v>45668</v>
      </c>
      <c r="B2993" s="34" t="s">
        <v>858</v>
      </c>
      <c r="C2993" s="34" t="s">
        <v>14</v>
      </c>
      <c r="D2993" s="35">
        <v>2093</v>
      </c>
      <c r="E2993" s="35">
        <v>0</v>
      </c>
      <c r="F2993" s="34">
        <v>244</v>
      </c>
      <c r="G2993" s="34" t="s">
        <v>864</v>
      </c>
      <c r="H2993" t="str">
        <f t="shared" si="49"/>
        <v>2025-01</v>
      </c>
      <c r="I2993" t="str">
        <f>_xlfn.XLOOKUP(Table1[[#This Row],[Customer_ID]],Customers!$A$2:$A$30,Customers!$C$2:$C$30,"Not found")</f>
        <v>Pays full</v>
      </c>
    </row>
    <row r="2994" spans="1:9">
      <c r="A2994" s="9">
        <v>45658</v>
      </c>
      <c r="B2994" t="s">
        <v>858</v>
      </c>
      <c r="C2994" t="s">
        <v>8</v>
      </c>
      <c r="D2994" s="4">
        <v>180</v>
      </c>
      <c r="E2994" s="4"/>
      <c r="F2994">
        <v>244</v>
      </c>
      <c r="H2994" t="str">
        <f t="shared" si="49"/>
        <v>2025-01</v>
      </c>
      <c r="I2994" t="str">
        <f>_xlfn.XLOOKUP(Table1[[#This Row],[Customer_ID]],Customers!$A$2:$A$30,Customers!$C$2:$C$30,"Not found")</f>
        <v>Pays full</v>
      </c>
    </row>
    <row r="2995" spans="1:9">
      <c r="A2995" s="9">
        <v>45659</v>
      </c>
      <c r="B2995" t="s">
        <v>858</v>
      </c>
      <c r="C2995" t="s">
        <v>8</v>
      </c>
      <c r="D2995" s="4">
        <v>120</v>
      </c>
      <c r="E2995" s="4"/>
      <c r="F2995">
        <v>244</v>
      </c>
      <c r="H2995" t="str">
        <f t="shared" si="49"/>
        <v>2025-01</v>
      </c>
      <c r="I2995" t="str">
        <f>_xlfn.XLOOKUP(Table1[[#This Row],[Customer_ID]],Customers!$A$2:$A$30,Customers!$C$2:$C$30,"Not found")</f>
        <v>Pays full</v>
      </c>
    </row>
    <row r="2996" spans="1:9">
      <c r="A2996" s="9">
        <v>45659</v>
      </c>
      <c r="B2996" t="s">
        <v>858</v>
      </c>
      <c r="C2996" t="s">
        <v>8</v>
      </c>
      <c r="D2996" s="4">
        <v>86</v>
      </c>
      <c r="E2996" s="4"/>
      <c r="F2996">
        <v>244</v>
      </c>
      <c r="H2996" t="str">
        <f t="shared" si="49"/>
        <v>2025-01</v>
      </c>
      <c r="I2996" t="str">
        <f>_xlfn.XLOOKUP(Table1[[#This Row],[Customer_ID]],Customers!$A$2:$A$30,Customers!$C$2:$C$30,"Not found")</f>
        <v>Pays full</v>
      </c>
    </row>
    <row r="2997" spans="1:9">
      <c r="A2997" s="9">
        <v>45660</v>
      </c>
      <c r="B2997" t="s">
        <v>858</v>
      </c>
      <c r="C2997" t="s">
        <v>8</v>
      </c>
      <c r="D2997" s="4">
        <v>20</v>
      </c>
      <c r="E2997" s="4"/>
      <c r="F2997">
        <v>244</v>
      </c>
      <c r="H2997" t="str">
        <f t="shared" si="49"/>
        <v>2025-01</v>
      </c>
      <c r="I2997" t="str">
        <f>_xlfn.XLOOKUP(Table1[[#This Row],[Customer_ID]],Customers!$A$2:$A$30,Customers!$C$2:$C$30,"Not found")</f>
        <v>Pays full</v>
      </c>
    </row>
    <row r="2998" spans="1:9">
      <c r="A2998" s="9">
        <v>45660</v>
      </c>
      <c r="B2998" t="s">
        <v>858</v>
      </c>
      <c r="C2998" t="s">
        <v>8</v>
      </c>
      <c r="D2998" s="4">
        <v>88</v>
      </c>
      <c r="E2998" s="4"/>
      <c r="F2998">
        <v>244</v>
      </c>
      <c r="H2998" t="str">
        <f t="shared" si="49"/>
        <v>2025-01</v>
      </c>
      <c r="I2998" t="str">
        <f>_xlfn.XLOOKUP(Table1[[#This Row],[Customer_ID]],Customers!$A$2:$A$30,Customers!$C$2:$C$30,"Not found")</f>
        <v>Pays full</v>
      </c>
    </row>
    <row r="2999" spans="1:9">
      <c r="A2999" s="9">
        <v>45661</v>
      </c>
      <c r="B2999" t="s">
        <v>858</v>
      </c>
      <c r="C2999" t="s">
        <v>8</v>
      </c>
      <c r="D2999" s="4">
        <v>73</v>
      </c>
      <c r="E2999" s="4"/>
      <c r="F2999">
        <v>244</v>
      </c>
      <c r="H2999" t="str">
        <f t="shared" si="49"/>
        <v>2025-01</v>
      </c>
      <c r="I2999" t="str">
        <f>_xlfn.XLOOKUP(Table1[[#This Row],[Customer_ID]],Customers!$A$2:$A$30,Customers!$C$2:$C$30,"Not found")</f>
        <v>Pays full</v>
      </c>
    </row>
    <row r="3000" spans="1:9">
      <c r="A3000" s="9">
        <v>45661</v>
      </c>
      <c r="B3000" t="s">
        <v>858</v>
      </c>
      <c r="C3000" t="s">
        <v>8</v>
      </c>
      <c r="D3000" s="4">
        <v>170</v>
      </c>
      <c r="E3000" s="4"/>
      <c r="F3000">
        <v>244</v>
      </c>
      <c r="H3000" t="str">
        <f t="shared" si="49"/>
        <v>2025-01</v>
      </c>
      <c r="I3000" t="str">
        <f>_xlfn.XLOOKUP(Table1[[#This Row],[Customer_ID]],Customers!$A$2:$A$30,Customers!$C$2:$C$30,"Not found")</f>
        <v>Pays full</v>
      </c>
    </row>
    <row r="3001" spans="1:9">
      <c r="A3001" s="9">
        <v>45662</v>
      </c>
      <c r="B3001" t="s">
        <v>858</v>
      </c>
      <c r="C3001" t="s">
        <v>8</v>
      </c>
      <c r="D3001" s="4">
        <v>30</v>
      </c>
      <c r="E3001" s="4"/>
      <c r="F3001">
        <v>244</v>
      </c>
      <c r="H3001" t="str">
        <f t="shared" si="49"/>
        <v>2025-01</v>
      </c>
      <c r="I3001" t="str">
        <f>_xlfn.XLOOKUP(Table1[[#This Row],[Customer_ID]],Customers!$A$2:$A$30,Customers!$C$2:$C$30,"Not found")</f>
        <v>Pays full</v>
      </c>
    </row>
    <row r="3002" spans="1:9">
      <c r="A3002" s="9">
        <v>45663</v>
      </c>
      <c r="B3002" t="s">
        <v>858</v>
      </c>
      <c r="C3002" t="s">
        <v>8</v>
      </c>
      <c r="D3002" s="4">
        <v>553</v>
      </c>
      <c r="E3002" s="4"/>
      <c r="F3002">
        <v>244</v>
      </c>
      <c r="H3002" t="str">
        <f t="shared" si="49"/>
        <v>2025-01</v>
      </c>
      <c r="I3002" t="str">
        <f>_xlfn.XLOOKUP(Table1[[#This Row],[Customer_ID]],Customers!$A$2:$A$30,Customers!$C$2:$C$30,"Not found")</f>
        <v>Pays full</v>
      </c>
    </row>
    <row r="3003" spans="1:9">
      <c r="A3003" s="9">
        <v>45663</v>
      </c>
      <c r="B3003" t="s">
        <v>858</v>
      </c>
      <c r="C3003" t="s">
        <v>8</v>
      </c>
      <c r="D3003" s="4">
        <v>50</v>
      </c>
      <c r="E3003" s="4"/>
      <c r="F3003">
        <v>244</v>
      </c>
      <c r="H3003" t="str">
        <f t="shared" si="49"/>
        <v>2025-01</v>
      </c>
      <c r="I3003" t="str">
        <f>_xlfn.XLOOKUP(Table1[[#This Row],[Customer_ID]],Customers!$A$2:$A$30,Customers!$C$2:$C$30,"Not found")</f>
        <v>Pays full</v>
      </c>
    </row>
    <row r="3004" spans="1:9">
      <c r="A3004" s="9">
        <v>45665</v>
      </c>
      <c r="B3004" t="s">
        <v>858</v>
      </c>
      <c r="C3004" t="s">
        <v>8</v>
      </c>
      <c r="D3004" s="4">
        <v>70</v>
      </c>
      <c r="E3004" s="4"/>
      <c r="F3004">
        <v>244</v>
      </c>
      <c r="H3004" t="str">
        <f t="shared" si="49"/>
        <v>2025-01</v>
      </c>
      <c r="I3004" t="str">
        <f>_xlfn.XLOOKUP(Table1[[#This Row],[Customer_ID]],Customers!$A$2:$A$30,Customers!$C$2:$C$30,"Not found")</f>
        <v>Pays full</v>
      </c>
    </row>
    <row r="3005" spans="1:9">
      <c r="A3005" s="9">
        <v>45667</v>
      </c>
      <c r="B3005" t="s">
        <v>858</v>
      </c>
      <c r="C3005" t="s">
        <v>8</v>
      </c>
      <c r="D3005" s="4">
        <v>1270</v>
      </c>
      <c r="E3005" s="4"/>
      <c r="F3005">
        <v>244</v>
      </c>
      <c r="H3005" t="str">
        <f t="shared" si="49"/>
        <v>2025-01</v>
      </c>
      <c r="I3005" t="str">
        <f>_xlfn.XLOOKUP(Table1[[#This Row],[Customer_ID]],Customers!$A$2:$A$30,Customers!$C$2:$C$30,"Not found")</f>
        <v>Pays full</v>
      </c>
    </row>
    <row r="3006" spans="1:9">
      <c r="A3006" s="9">
        <v>45669</v>
      </c>
      <c r="B3006" t="s">
        <v>858</v>
      </c>
      <c r="C3006" t="s">
        <v>8</v>
      </c>
      <c r="D3006" s="4">
        <v>144</v>
      </c>
      <c r="E3006" s="4"/>
      <c r="F3006">
        <v>244</v>
      </c>
      <c r="H3006" t="str">
        <f t="shared" si="49"/>
        <v>2025-01</v>
      </c>
      <c r="I3006" t="str">
        <f>_xlfn.XLOOKUP(Table1[[#This Row],[Customer_ID]],Customers!$A$2:$A$30,Customers!$C$2:$C$30,"Not found")</f>
        <v>Pays full</v>
      </c>
    </row>
    <row r="3007" spans="1:9">
      <c r="A3007" s="9">
        <v>45670</v>
      </c>
      <c r="B3007" t="s">
        <v>858</v>
      </c>
      <c r="C3007" t="s">
        <v>8</v>
      </c>
      <c r="D3007" s="4">
        <v>135</v>
      </c>
      <c r="E3007" s="4"/>
      <c r="F3007">
        <v>244</v>
      </c>
      <c r="H3007" t="str">
        <f t="shared" si="49"/>
        <v>2025-01</v>
      </c>
      <c r="I3007" t="str">
        <f>_xlfn.XLOOKUP(Table1[[#This Row],[Customer_ID]],Customers!$A$2:$A$30,Customers!$C$2:$C$30,"Not found")</f>
        <v>Pays full</v>
      </c>
    </row>
    <row r="3008" spans="1:9">
      <c r="A3008" s="9">
        <v>45670</v>
      </c>
      <c r="B3008" t="s">
        <v>858</v>
      </c>
      <c r="C3008" t="s">
        <v>8</v>
      </c>
      <c r="D3008" s="4">
        <v>60</v>
      </c>
      <c r="E3008" s="4"/>
      <c r="F3008">
        <v>244</v>
      </c>
      <c r="H3008" t="str">
        <f t="shared" si="49"/>
        <v>2025-01</v>
      </c>
      <c r="I3008" t="str">
        <f>_xlfn.XLOOKUP(Table1[[#This Row],[Customer_ID]],Customers!$A$2:$A$30,Customers!$C$2:$C$30,"Not found")</f>
        <v>Pays full</v>
      </c>
    </row>
    <row r="3009" spans="1:9">
      <c r="A3009" s="9">
        <v>45671</v>
      </c>
      <c r="B3009" t="s">
        <v>858</v>
      </c>
      <c r="C3009" t="s">
        <v>8</v>
      </c>
      <c r="D3009" s="4">
        <v>99</v>
      </c>
      <c r="E3009" s="4"/>
      <c r="F3009">
        <v>244</v>
      </c>
      <c r="H3009" t="str">
        <f t="shared" si="49"/>
        <v>2025-01</v>
      </c>
      <c r="I3009" t="str">
        <f>_xlfn.XLOOKUP(Table1[[#This Row],[Customer_ID]],Customers!$A$2:$A$30,Customers!$C$2:$C$30,"Not found")</f>
        <v>Pays full</v>
      </c>
    </row>
    <row r="3010" spans="1:9">
      <c r="A3010" s="9">
        <v>45672</v>
      </c>
      <c r="B3010" t="s">
        <v>858</v>
      </c>
      <c r="C3010" t="s">
        <v>8</v>
      </c>
      <c r="D3010" s="4">
        <v>48</v>
      </c>
      <c r="E3010" s="4"/>
      <c r="F3010">
        <v>244</v>
      </c>
      <c r="H3010" t="str">
        <f t="shared" si="49"/>
        <v>2025-01</v>
      </c>
      <c r="I3010" t="str">
        <f>_xlfn.XLOOKUP(Table1[[#This Row],[Customer_ID]],Customers!$A$2:$A$30,Customers!$C$2:$C$30,"Not found")</f>
        <v>Pays full</v>
      </c>
    </row>
    <row r="3011" spans="1:9">
      <c r="A3011" s="9">
        <v>45673</v>
      </c>
      <c r="B3011" t="s">
        <v>858</v>
      </c>
      <c r="C3011" t="s">
        <v>8</v>
      </c>
      <c r="D3011" s="4">
        <v>775</v>
      </c>
      <c r="E3011" s="4"/>
      <c r="F3011">
        <v>244</v>
      </c>
      <c r="H3011" t="str">
        <f t="shared" si="49"/>
        <v>2025-01</v>
      </c>
      <c r="I3011" t="str">
        <f>_xlfn.XLOOKUP(Table1[[#This Row],[Customer_ID]],Customers!$A$2:$A$30,Customers!$C$2:$C$30,"Not found")</f>
        <v>Pays full</v>
      </c>
    </row>
    <row r="3012" spans="1:9">
      <c r="A3012" s="9">
        <v>45674</v>
      </c>
      <c r="B3012" t="s">
        <v>858</v>
      </c>
      <c r="C3012" t="s">
        <v>8</v>
      </c>
      <c r="D3012" s="4">
        <v>25</v>
      </c>
      <c r="E3012" s="4"/>
      <c r="F3012">
        <v>244</v>
      </c>
      <c r="H3012" t="str">
        <f t="shared" si="49"/>
        <v>2025-01</v>
      </c>
      <c r="I3012" t="str">
        <f>_xlfn.XLOOKUP(Table1[[#This Row],[Customer_ID]],Customers!$A$2:$A$30,Customers!$C$2:$C$30,"Not found")</f>
        <v>Pays full</v>
      </c>
    </row>
    <row r="3013" spans="1:9">
      <c r="A3013" s="9">
        <v>45677</v>
      </c>
      <c r="B3013" t="s">
        <v>858</v>
      </c>
      <c r="C3013" t="s">
        <v>8</v>
      </c>
      <c r="D3013" s="4">
        <v>30</v>
      </c>
      <c r="E3013" s="4"/>
      <c r="F3013">
        <v>244</v>
      </c>
      <c r="H3013" t="str">
        <f t="shared" si="49"/>
        <v>2025-01</v>
      </c>
      <c r="I3013" t="str">
        <f>_xlfn.XLOOKUP(Table1[[#This Row],[Customer_ID]],Customers!$A$2:$A$30,Customers!$C$2:$C$30,"Not found")</f>
        <v>Pays full</v>
      </c>
    </row>
    <row r="3014" spans="1:9">
      <c r="A3014" s="9">
        <v>45677</v>
      </c>
      <c r="B3014" t="s">
        <v>858</v>
      </c>
      <c r="C3014" t="s">
        <v>8</v>
      </c>
      <c r="D3014" s="4">
        <v>70</v>
      </c>
      <c r="E3014" s="4"/>
      <c r="F3014">
        <v>244</v>
      </c>
      <c r="H3014" t="str">
        <f t="shared" si="49"/>
        <v>2025-01</v>
      </c>
      <c r="I3014" t="str">
        <f>_xlfn.XLOOKUP(Table1[[#This Row],[Customer_ID]],Customers!$A$2:$A$30,Customers!$C$2:$C$30,"Not found")</f>
        <v>Pays full</v>
      </c>
    </row>
    <row r="3015" spans="1:9">
      <c r="A3015" s="9">
        <v>45677</v>
      </c>
      <c r="B3015" t="s">
        <v>858</v>
      </c>
      <c r="C3015" t="s">
        <v>8</v>
      </c>
      <c r="D3015" s="4">
        <v>339</v>
      </c>
      <c r="E3015" s="4"/>
      <c r="F3015">
        <v>244</v>
      </c>
      <c r="H3015" t="str">
        <f t="shared" si="49"/>
        <v>2025-01</v>
      </c>
      <c r="I3015" t="str">
        <f>_xlfn.XLOOKUP(Table1[[#This Row],[Customer_ID]],Customers!$A$2:$A$30,Customers!$C$2:$C$30,"Not found")</f>
        <v>Pays full</v>
      </c>
    </row>
    <row r="3016" spans="1:9">
      <c r="A3016" s="9">
        <v>45678</v>
      </c>
      <c r="B3016" t="s">
        <v>858</v>
      </c>
      <c r="C3016" t="s">
        <v>8</v>
      </c>
      <c r="D3016" s="4">
        <v>1060</v>
      </c>
      <c r="E3016" s="4"/>
      <c r="F3016">
        <v>244</v>
      </c>
      <c r="G3016" t="s">
        <v>860</v>
      </c>
      <c r="H3016" t="str">
        <f t="shared" si="49"/>
        <v>2025-01</v>
      </c>
      <c r="I3016" t="str">
        <f>_xlfn.XLOOKUP(Table1[[#This Row],[Customer_ID]],Customers!$A$2:$A$30,Customers!$C$2:$C$30,"Not found")</f>
        <v>Pays full</v>
      </c>
    </row>
    <row r="3017" spans="1:9">
      <c r="A3017" s="9">
        <v>45679</v>
      </c>
      <c r="B3017" t="s">
        <v>858</v>
      </c>
      <c r="C3017" t="s">
        <v>8</v>
      </c>
      <c r="D3017" s="4">
        <v>72</v>
      </c>
      <c r="E3017" s="4"/>
      <c r="F3017">
        <v>244</v>
      </c>
      <c r="H3017" t="str">
        <f t="shared" ref="H3017:H3048" si="50">IF(A3017="","",TEXT(A3017,"yyyy-mm"))</f>
        <v>2025-01</v>
      </c>
      <c r="I3017" t="str">
        <f>_xlfn.XLOOKUP(Table1[[#This Row],[Customer_ID]],Customers!$A$2:$A$30,Customers!$C$2:$C$30,"Not found")</f>
        <v>Pays full</v>
      </c>
    </row>
    <row r="3018" spans="1:9">
      <c r="A3018" s="9">
        <v>45679</v>
      </c>
      <c r="B3018" t="s">
        <v>858</v>
      </c>
      <c r="C3018" t="s">
        <v>8</v>
      </c>
      <c r="D3018" s="4">
        <v>35</v>
      </c>
      <c r="E3018" s="4"/>
      <c r="F3018">
        <v>244</v>
      </c>
      <c r="H3018" t="str">
        <f t="shared" si="50"/>
        <v>2025-01</v>
      </c>
      <c r="I3018" t="str">
        <f>_xlfn.XLOOKUP(Table1[[#This Row],[Customer_ID]],Customers!$A$2:$A$30,Customers!$C$2:$C$30,"Not found")</f>
        <v>Pays full</v>
      </c>
    </row>
    <row r="3019" spans="1:9">
      <c r="A3019" s="9">
        <v>45679</v>
      </c>
      <c r="B3019" t="s">
        <v>858</v>
      </c>
      <c r="C3019" t="s">
        <v>8</v>
      </c>
      <c r="D3019" s="4">
        <v>30</v>
      </c>
      <c r="E3019" s="4"/>
      <c r="F3019">
        <v>244</v>
      </c>
      <c r="H3019" t="str">
        <f t="shared" si="50"/>
        <v>2025-01</v>
      </c>
      <c r="I3019" t="str">
        <f>_xlfn.XLOOKUP(Table1[[#This Row],[Customer_ID]],Customers!$A$2:$A$30,Customers!$C$2:$C$30,"Not found")</f>
        <v>Pays full</v>
      </c>
    </row>
    <row r="3020" spans="1:9">
      <c r="A3020" s="9">
        <v>45680</v>
      </c>
      <c r="B3020" t="s">
        <v>858</v>
      </c>
      <c r="C3020" t="s">
        <v>8</v>
      </c>
      <c r="D3020" s="4">
        <v>72</v>
      </c>
      <c r="E3020" s="4"/>
      <c r="F3020">
        <v>244</v>
      </c>
      <c r="H3020" t="str">
        <f t="shared" si="50"/>
        <v>2025-01</v>
      </c>
      <c r="I3020" t="str">
        <f>_xlfn.XLOOKUP(Table1[[#This Row],[Customer_ID]],Customers!$A$2:$A$30,Customers!$C$2:$C$30,"Not found")</f>
        <v>Pays full</v>
      </c>
    </row>
    <row r="3021" spans="1:9">
      <c r="A3021" s="9">
        <v>45680</v>
      </c>
      <c r="B3021" t="s">
        <v>858</v>
      </c>
      <c r="C3021" t="s">
        <v>8</v>
      </c>
      <c r="D3021" s="4">
        <v>40</v>
      </c>
      <c r="E3021" s="4"/>
      <c r="F3021">
        <v>244</v>
      </c>
      <c r="H3021" t="str">
        <f t="shared" si="50"/>
        <v>2025-01</v>
      </c>
      <c r="I3021" t="str">
        <f>_xlfn.XLOOKUP(Table1[[#This Row],[Customer_ID]],Customers!$A$2:$A$30,Customers!$C$2:$C$30,"Not found")</f>
        <v>Pays full</v>
      </c>
    </row>
    <row r="3022" spans="1:9">
      <c r="A3022" s="9">
        <v>45681</v>
      </c>
      <c r="B3022" t="s">
        <v>858</v>
      </c>
      <c r="C3022" t="s">
        <v>8</v>
      </c>
      <c r="D3022" s="4">
        <v>56</v>
      </c>
      <c r="E3022" s="4"/>
      <c r="F3022">
        <v>244</v>
      </c>
      <c r="H3022" t="str">
        <f t="shared" si="50"/>
        <v>2025-01</v>
      </c>
      <c r="I3022" t="str">
        <f>_xlfn.XLOOKUP(Table1[[#This Row],[Customer_ID]],Customers!$A$2:$A$30,Customers!$C$2:$C$30,"Not found")</f>
        <v>Pays full</v>
      </c>
    </row>
    <row r="3023" spans="1:9">
      <c r="A3023" s="9">
        <v>45681</v>
      </c>
      <c r="B3023" t="s">
        <v>858</v>
      </c>
      <c r="C3023" t="s">
        <v>8</v>
      </c>
      <c r="D3023" s="4">
        <v>84</v>
      </c>
      <c r="E3023" s="4"/>
      <c r="F3023">
        <v>244</v>
      </c>
      <c r="H3023" t="str">
        <f t="shared" si="50"/>
        <v>2025-01</v>
      </c>
      <c r="I3023" t="str">
        <f>_xlfn.XLOOKUP(Table1[[#This Row],[Customer_ID]],Customers!$A$2:$A$30,Customers!$C$2:$C$30,"Not found")</f>
        <v>Pays full</v>
      </c>
    </row>
    <row r="3024" spans="1:9">
      <c r="A3024" s="9">
        <v>45682</v>
      </c>
      <c r="B3024" t="s">
        <v>858</v>
      </c>
      <c r="C3024" t="s">
        <v>8</v>
      </c>
      <c r="D3024" s="4">
        <v>56</v>
      </c>
      <c r="E3024" s="4"/>
      <c r="F3024">
        <v>244</v>
      </c>
      <c r="H3024" t="str">
        <f t="shared" si="50"/>
        <v>2025-01</v>
      </c>
      <c r="I3024" t="str">
        <f>_xlfn.XLOOKUP(Table1[[#This Row],[Customer_ID]],Customers!$A$2:$A$30,Customers!$C$2:$C$30,"Not found")</f>
        <v>Pays full</v>
      </c>
    </row>
    <row r="3025" spans="1:9">
      <c r="A3025" s="9">
        <v>45682</v>
      </c>
      <c r="B3025" t="s">
        <v>858</v>
      </c>
      <c r="C3025" t="s">
        <v>8</v>
      </c>
      <c r="D3025" s="4">
        <v>143</v>
      </c>
      <c r="E3025" s="4"/>
      <c r="F3025">
        <v>244</v>
      </c>
      <c r="H3025" t="str">
        <f t="shared" si="50"/>
        <v>2025-01</v>
      </c>
      <c r="I3025" t="str">
        <f>_xlfn.XLOOKUP(Table1[[#This Row],[Customer_ID]],Customers!$A$2:$A$30,Customers!$C$2:$C$30,"Not found")</f>
        <v>Pays full</v>
      </c>
    </row>
    <row r="3026" spans="1:9">
      <c r="A3026" s="9">
        <v>45683</v>
      </c>
      <c r="B3026" t="s">
        <v>858</v>
      </c>
      <c r="C3026" t="s">
        <v>8</v>
      </c>
      <c r="D3026" s="4">
        <v>273</v>
      </c>
      <c r="E3026" s="4"/>
      <c r="F3026">
        <v>244</v>
      </c>
      <c r="H3026" t="str">
        <f t="shared" si="50"/>
        <v>2025-01</v>
      </c>
      <c r="I3026" t="str">
        <f>_xlfn.XLOOKUP(Table1[[#This Row],[Customer_ID]],Customers!$A$2:$A$30,Customers!$C$2:$C$30,"Not found")</f>
        <v>Pays full</v>
      </c>
    </row>
    <row r="3027" spans="1:9">
      <c r="A3027" s="9">
        <v>45684</v>
      </c>
      <c r="B3027" t="s">
        <v>858</v>
      </c>
      <c r="C3027" t="s">
        <v>8</v>
      </c>
      <c r="D3027" s="4">
        <v>76</v>
      </c>
      <c r="E3027" s="4"/>
      <c r="F3027">
        <v>244</v>
      </c>
      <c r="H3027" t="str">
        <f t="shared" si="50"/>
        <v>2025-01</v>
      </c>
      <c r="I3027" t="str">
        <f>_xlfn.XLOOKUP(Table1[[#This Row],[Customer_ID]],Customers!$A$2:$A$30,Customers!$C$2:$C$30,"Not found")</f>
        <v>Pays full</v>
      </c>
    </row>
    <row r="3028" spans="1:9">
      <c r="A3028" s="9">
        <v>45685</v>
      </c>
      <c r="B3028" t="s">
        <v>858</v>
      </c>
      <c r="C3028" t="s">
        <v>8</v>
      </c>
      <c r="D3028" s="4">
        <v>281</v>
      </c>
      <c r="E3028" s="4"/>
      <c r="F3028">
        <v>244</v>
      </c>
      <c r="H3028" t="str">
        <f t="shared" si="50"/>
        <v>2025-01</v>
      </c>
      <c r="I3028" t="str">
        <f>_xlfn.XLOOKUP(Table1[[#This Row],[Customer_ID]],Customers!$A$2:$A$30,Customers!$C$2:$C$30,"Not found")</f>
        <v>Pays full</v>
      </c>
    </row>
    <row r="3029" spans="1:9">
      <c r="A3029" s="9">
        <v>45686</v>
      </c>
      <c r="B3029" t="s">
        <v>858</v>
      </c>
      <c r="C3029" t="s">
        <v>8</v>
      </c>
      <c r="D3029" s="4">
        <v>150</v>
      </c>
      <c r="E3029" s="4"/>
      <c r="F3029">
        <v>244</v>
      </c>
      <c r="H3029" t="str">
        <f t="shared" si="50"/>
        <v>2025-01</v>
      </c>
      <c r="I3029" t="str">
        <f>_xlfn.XLOOKUP(Table1[[#This Row],[Customer_ID]],Customers!$A$2:$A$30,Customers!$C$2:$C$30,"Not found")</f>
        <v>Pays full</v>
      </c>
    </row>
    <row r="3030" spans="1:9">
      <c r="A3030" s="9">
        <v>45687</v>
      </c>
      <c r="B3030" t="s">
        <v>858</v>
      </c>
      <c r="C3030" t="s">
        <v>8</v>
      </c>
      <c r="D3030" s="4">
        <v>30</v>
      </c>
      <c r="E3030" s="4"/>
      <c r="F3030">
        <v>244</v>
      </c>
      <c r="H3030" t="str">
        <f t="shared" si="50"/>
        <v>2025-01</v>
      </c>
      <c r="I3030" t="str">
        <f>_xlfn.XLOOKUP(Table1[[#This Row],[Customer_ID]],Customers!$A$2:$A$30,Customers!$C$2:$C$30,"Not found")</f>
        <v>Pays full</v>
      </c>
    </row>
    <row r="3031" spans="1:9">
      <c r="A3031" s="9">
        <v>45687</v>
      </c>
      <c r="B3031" t="s">
        <v>858</v>
      </c>
      <c r="C3031" t="s">
        <v>8</v>
      </c>
      <c r="D3031" s="4">
        <v>338</v>
      </c>
      <c r="E3031" s="4"/>
      <c r="F3031">
        <v>244</v>
      </c>
      <c r="H3031" t="str">
        <f t="shared" si="50"/>
        <v>2025-01</v>
      </c>
      <c r="I3031" t="str">
        <f>_xlfn.XLOOKUP(Table1[[#This Row],[Customer_ID]],Customers!$A$2:$A$30,Customers!$C$2:$C$30,"Not found")</f>
        <v>Pays full</v>
      </c>
    </row>
    <row r="3032" spans="1:9">
      <c r="A3032" s="33">
        <v>45687</v>
      </c>
      <c r="B3032" s="34" t="s">
        <v>858</v>
      </c>
      <c r="C3032" s="34" t="s">
        <v>22</v>
      </c>
      <c r="D3032" s="35">
        <v>7</v>
      </c>
      <c r="E3032" s="35">
        <v>7238</v>
      </c>
      <c r="F3032" s="34">
        <v>244</v>
      </c>
      <c r="G3032" s="34" t="s">
        <v>865</v>
      </c>
      <c r="H3032" t="str">
        <f t="shared" si="50"/>
        <v>2025-01</v>
      </c>
      <c r="I3032" t="str">
        <f>_xlfn.XLOOKUP(Table1[[#This Row],[Customer_ID]],Customers!$A$2:$A$30,Customers!$C$2:$C$30,"Not found")</f>
        <v>Pays full</v>
      </c>
    </row>
    <row r="3033" spans="1:9">
      <c r="A3033" s="9">
        <v>45698</v>
      </c>
      <c r="B3033" t="s">
        <v>858</v>
      </c>
      <c r="C3033" t="s">
        <v>14</v>
      </c>
      <c r="D3033" s="4">
        <v>7238</v>
      </c>
      <c r="E3033" s="4">
        <v>0</v>
      </c>
      <c r="F3033">
        <v>244</v>
      </c>
      <c r="G3033" t="s">
        <v>866</v>
      </c>
      <c r="H3033" t="str">
        <f t="shared" si="50"/>
        <v>2025-02</v>
      </c>
      <c r="I3033" t="str">
        <f>_xlfn.XLOOKUP(Table1[[#This Row],[Customer_ID]],Customers!$A$2:$A$30,Customers!$C$2:$C$30,"Not found")</f>
        <v>Pays full</v>
      </c>
    </row>
    <row r="3034" spans="1:9">
      <c r="A3034" s="9">
        <v>45688</v>
      </c>
      <c r="B3034" t="s">
        <v>858</v>
      </c>
      <c r="C3034" t="s">
        <v>8</v>
      </c>
      <c r="D3034" s="4">
        <v>44</v>
      </c>
      <c r="E3034" s="4"/>
      <c r="F3034">
        <v>244</v>
      </c>
      <c r="H3034" t="str">
        <f t="shared" si="50"/>
        <v>2025-01</v>
      </c>
      <c r="I3034" t="str">
        <f>_xlfn.XLOOKUP(Table1[[#This Row],[Customer_ID]],Customers!$A$2:$A$30,Customers!$C$2:$C$30,"Not found")</f>
        <v>Pays full</v>
      </c>
    </row>
    <row r="3035" spans="1:9">
      <c r="A3035" s="9">
        <v>45688</v>
      </c>
      <c r="B3035" t="s">
        <v>858</v>
      </c>
      <c r="C3035" t="s">
        <v>8</v>
      </c>
      <c r="D3035" s="4">
        <v>860</v>
      </c>
      <c r="E3035" s="4"/>
      <c r="F3035">
        <v>244</v>
      </c>
      <c r="H3035" t="str">
        <f t="shared" si="50"/>
        <v>2025-01</v>
      </c>
      <c r="I3035" t="str">
        <f>_xlfn.XLOOKUP(Table1[[#This Row],[Customer_ID]],Customers!$A$2:$A$30,Customers!$C$2:$C$30,"Not found")</f>
        <v>Pays full</v>
      </c>
    </row>
    <row r="3036" spans="1:9">
      <c r="A3036" s="9">
        <v>45689</v>
      </c>
      <c r="B3036" t="s">
        <v>858</v>
      </c>
      <c r="C3036" t="s">
        <v>8</v>
      </c>
      <c r="D3036" s="4">
        <v>34</v>
      </c>
      <c r="E3036" s="4"/>
      <c r="F3036">
        <v>244</v>
      </c>
      <c r="H3036" t="str">
        <f t="shared" si="50"/>
        <v>2025-02</v>
      </c>
      <c r="I3036" t="str">
        <f>_xlfn.XLOOKUP(Table1[[#This Row],[Customer_ID]],Customers!$A$2:$A$30,Customers!$C$2:$C$30,"Not found")</f>
        <v>Pays full</v>
      </c>
    </row>
    <row r="3037" spans="1:9">
      <c r="A3037" s="9">
        <v>45689</v>
      </c>
      <c r="B3037" t="s">
        <v>858</v>
      </c>
      <c r="C3037" t="s">
        <v>8</v>
      </c>
      <c r="D3037" s="4">
        <v>127</v>
      </c>
      <c r="E3037" s="4"/>
      <c r="F3037">
        <v>244</v>
      </c>
      <c r="H3037" t="str">
        <f t="shared" si="50"/>
        <v>2025-02</v>
      </c>
      <c r="I3037" t="str">
        <f>_xlfn.XLOOKUP(Table1[[#This Row],[Customer_ID]],Customers!$A$2:$A$30,Customers!$C$2:$C$30,"Not found")</f>
        <v>Pays full</v>
      </c>
    </row>
    <row r="3038" spans="1:9">
      <c r="A3038" s="9">
        <v>45690</v>
      </c>
      <c r="B3038" t="s">
        <v>858</v>
      </c>
      <c r="C3038" t="s">
        <v>8</v>
      </c>
      <c r="D3038" s="4">
        <v>34</v>
      </c>
      <c r="E3038" s="4"/>
      <c r="F3038">
        <v>244</v>
      </c>
      <c r="H3038" t="str">
        <f t="shared" si="50"/>
        <v>2025-02</v>
      </c>
      <c r="I3038" t="str">
        <f>_xlfn.XLOOKUP(Table1[[#This Row],[Customer_ID]],Customers!$A$2:$A$30,Customers!$C$2:$C$30,"Not found")</f>
        <v>Pays full</v>
      </c>
    </row>
    <row r="3039" spans="1:9">
      <c r="A3039" s="9">
        <v>45690</v>
      </c>
      <c r="B3039" t="s">
        <v>858</v>
      </c>
      <c r="C3039" t="s">
        <v>8</v>
      </c>
      <c r="D3039" s="4">
        <v>84</v>
      </c>
      <c r="E3039" s="4"/>
      <c r="F3039">
        <v>244</v>
      </c>
      <c r="H3039" t="str">
        <f t="shared" si="50"/>
        <v>2025-02</v>
      </c>
      <c r="I3039" t="str">
        <f>_xlfn.XLOOKUP(Table1[[#This Row],[Customer_ID]],Customers!$A$2:$A$30,Customers!$C$2:$C$30,"Not found")</f>
        <v>Pays full</v>
      </c>
    </row>
    <row r="3040" spans="1:9">
      <c r="A3040" s="9">
        <v>45691</v>
      </c>
      <c r="B3040" t="s">
        <v>858</v>
      </c>
      <c r="C3040" t="s">
        <v>8</v>
      </c>
      <c r="D3040" s="4">
        <v>28</v>
      </c>
      <c r="E3040" s="4"/>
      <c r="F3040">
        <v>244</v>
      </c>
      <c r="H3040" t="str">
        <f t="shared" si="50"/>
        <v>2025-02</v>
      </c>
      <c r="I3040" t="str">
        <f>_xlfn.XLOOKUP(Table1[[#This Row],[Customer_ID]],Customers!$A$2:$A$30,Customers!$C$2:$C$30,"Not found")</f>
        <v>Pays full</v>
      </c>
    </row>
    <row r="3041" spans="1:9">
      <c r="A3041" s="9">
        <v>45691</v>
      </c>
      <c r="B3041" t="s">
        <v>858</v>
      </c>
      <c r="C3041" t="s">
        <v>8</v>
      </c>
      <c r="D3041" s="4">
        <v>168</v>
      </c>
      <c r="E3041" s="4"/>
      <c r="F3041">
        <v>244</v>
      </c>
      <c r="H3041" t="str">
        <f t="shared" si="50"/>
        <v>2025-02</v>
      </c>
      <c r="I3041" t="str">
        <f>_xlfn.XLOOKUP(Table1[[#This Row],[Customer_ID]],Customers!$A$2:$A$30,Customers!$C$2:$C$30,"Not found")</f>
        <v>Pays full</v>
      </c>
    </row>
    <row r="3042" spans="1:9">
      <c r="A3042" s="9">
        <v>45691</v>
      </c>
      <c r="B3042" t="s">
        <v>858</v>
      </c>
      <c r="C3042" t="s">
        <v>8</v>
      </c>
      <c r="D3042" s="4">
        <v>251</v>
      </c>
      <c r="E3042" s="4"/>
      <c r="F3042">
        <v>244</v>
      </c>
      <c r="H3042" t="str">
        <f t="shared" si="50"/>
        <v>2025-02</v>
      </c>
      <c r="I3042" t="str">
        <f>_xlfn.XLOOKUP(Table1[[#This Row],[Customer_ID]],Customers!$A$2:$A$30,Customers!$C$2:$C$30,"Not found")</f>
        <v>Pays full</v>
      </c>
    </row>
    <row r="3043" spans="1:9">
      <c r="A3043" s="9">
        <v>45692</v>
      </c>
      <c r="B3043" t="s">
        <v>858</v>
      </c>
      <c r="C3043" t="s">
        <v>8</v>
      </c>
      <c r="D3043" s="4">
        <v>208</v>
      </c>
      <c r="E3043" s="4"/>
      <c r="F3043">
        <v>244</v>
      </c>
      <c r="H3043" t="str">
        <f t="shared" si="50"/>
        <v>2025-02</v>
      </c>
      <c r="I3043" t="str">
        <f>_xlfn.XLOOKUP(Table1[[#This Row],[Customer_ID]],Customers!$A$2:$A$30,Customers!$C$2:$C$30,"Not found")</f>
        <v>Pays full</v>
      </c>
    </row>
    <row r="3044" spans="1:9">
      <c r="A3044" s="9">
        <v>45693</v>
      </c>
      <c r="B3044" t="s">
        <v>858</v>
      </c>
      <c r="C3044" t="s">
        <v>8</v>
      </c>
      <c r="D3044" s="4">
        <v>50</v>
      </c>
      <c r="E3044" s="4"/>
      <c r="F3044">
        <v>244</v>
      </c>
      <c r="H3044" t="str">
        <f t="shared" si="50"/>
        <v>2025-02</v>
      </c>
      <c r="I3044" t="str">
        <f>_xlfn.XLOOKUP(Table1[[#This Row],[Customer_ID]],Customers!$A$2:$A$30,Customers!$C$2:$C$30,"Not found")</f>
        <v>Pays full</v>
      </c>
    </row>
    <row r="3045" spans="1:9">
      <c r="A3045" s="9">
        <v>45694</v>
      </c>
      <c r="B3045" t="s">
        <v>858</v>
      </c>
      <c r="C3045" t="s">
        <v>8</v>
      </c>
      <c r="D3045" s="4">
        <v>62</v>
      </c>
      <c r="E3045" s="4"/>
      <c r="F3045">
        <v>244</v>
      </c>
      <c r="H3045" t="str">
        <f t="shared" si="50"/>
        <v>2025-02</v>
      </c>
      <c r="I3045" t="str">
        <f>_xlfn.XLOOKUP(Table1[[#This Row],[Customer_ID]],Customers!$A$2:$A$30,Customers!$C$2:$C$30,"Not found")</f>
        <v>Pays full</v>
      </c>
    </row>
    <row r="3046" spans="1:9">
      <c r="A3046" s="9">
        <v>45694</v>
      </c>
      <c r="B3046" t="s">
        <v>858</v>
      </c>
      <c r="C3046" t="s">
        <v>8</v>
      </c>
      <c r="D3046" s="4">
        <v>13</v>
      </c>
      <c r="E3046" s="4"/>
      <c r="F3046">
        <v>244</v>
      </c>
      <c r="H3046" t="str">
        <f t="shared" si="50"/>
        <v>2025-02</v>
      </c>
      <c r="I3046" t="str">
        <f>_xlfn.XLOOKUP(Table1[[#This Row],[Customer_ID]],Customers!$A$2:$A$30,Customers!$C$2:$C$30,"Not found")</f>
        <v>Pays full</v>
      </c>
    </row>
    <row r="3047" spans="1:9">
      <c r="A3047" s="9">
        <v>45695</v>
      </c>
      <c r="B3047" t="s">
        <v>858</v>
      </c>
      <c r="C3047" t="s">
        <v>8</v>
      </c>
      <c r="D3047" s="4">
        <v>160</v>
      </c>
      <c r="E3047" s="4"/>
      <c r="F3047">
        <v>244</v>
      </c>
      <c r="H3047" t="str">
        <f t="shared" si="50"/>
        <v>2025-02</v>
      </c>
      <c r="I3047" t="str">
        <f>_xlfn.XLOOKUP(Table1[[#This Row],[Customer_ID]],Customers!$A$2:$A$30,Customers!$C$2:$C$30,"Not found")</f>
        <v>Pays full</v>
      </c>
    </row>
    <row r="3048" spans="1:9">
      <c r="A3048" s="9">
        <v>45695</v>
      </c>
      <c r="B3048" t="s">
        <v>858</v>
      </c>
      <c r="C3048" t="s">
        <v>8</v>
      </c>
      <c r="D3048" s="4">
        <v>14</v>
      </c>
      <c r="E3048" s="4"/>
      <c r="F3048">
        <v>244</v>
      </c>
      <c r="H3048" t="str">
        <f t="shared" si="50"/>
        <v>2025-02</v>
      </c>
      <c r="I3048" t="str">
        <f>_xlfn.XLOOKUP(Table1[[#This Row],[Customer_ID]],Customers!$A$2:$A$30,Customers!$C$2:$C$30,"Not found")</f>
        <v>Pays full</v>
      </c>
    </row>
    <row r="3049" spans="1:9">
      <c r="A3049" s="9">
        <v>45695</v>
      </c>
      <c r="B3049" t="s">
        <v>858</v>
      </c>
      <c r="C3049" t="s">
        <v>8</v>
      </c>
      <c r="D3049" s="4">
        <v>212</v>
      </c>
      <c r="E3049" s="4"/>
      <c r="F3049">
        <v>244</v>
      </c>
      <c r="H3049" t="str">
        <f t="shared" ref="H3049:H3066" si="51">IF(A3049="","",TEXT(A3049,"yyyy-mm"))</f>
        <v>2025-02</v>
      </c>
      <c r="I3049" t="str">
        <f>_xlfn.XLOOKUP(Table1[[#This Row],[Customer_ID]],Customers!$A$2:$A$30,Customers!$C$2:$C$30,"Not found")</f>
        <v>Pays full</v>
      </c>
    </row>
    <row r="3050" spans="1:9">
      <c r="A3050" s="9">
        <v>45696</v>
      </c>
      <c r="B3050" t="s">
        <v>858</v>
      </c>
      <c r="C3050" t="s">
        <v>8</v>
      </c>
      <c r="D3050" s="4">
        <v>40</v>
      </c>
      <c r="E3050" s="4"/>
      <c r="F3050">
        <v>244</v>
      </c>
      <c r="H3050" t="str">
        <f t="shared" si="51"/>
        <v>2025-02</v>
      </c>
      <c r="I3050" t="str">
        <f>_xlfn.XLOOKUP(Table1[[#This Row],[Customer_ID]],Customers!$A$2:$A$30,Customers!$C$2:$C$30,"Not found")</f>
        <v>Pays full</v>
      </c>
    </row>
    <row r="3051" spans="1:9">
      <c r="A3051" s="9">
        <v>45696</v>
      </c>
      <c r="B3051" t="s">
        <v>858</v>
      </c>
      <c r="C3051" t="s">
        <v>8</v>
      </c>
      <c r="D3051" s="4">
        <v>246</v>
      </c>
      <c r="E3051" s="4"/>
      <c r="F3051">
        <v>244</v>
      </c>
      <c r="H3051" t="str">
        <f t="shared" si="51"/>
        <v>2025-02</v>
      </c>
      <c r="I3051" t="str">
        <f>_xlfn.XLOOKUP(Table1[[#This Row],[Customer_ID]],Customers!$A$2:$A$30,Customers!$C$2:$C$30,"Not found")</f>
        <v>Pays full</v>
      </c>
    </row>
    <row r="3052" spans="1:9">
      <c r="A3052" s="9">
        <v>45698</v>
      </c>
      <c r="B3052" t="s">
        <v>858</v>
      </c>
      <c r="C3052" t="s">
        <v>8</v>
      </c>
      <c r="D3052" s="4">
        <v>15</v>
      </c>
      <c r="E3052" s="4"/>
      <c r="F3052">
        <v>244</v>
      </c>
      <c r="H3052" t="str">
        <f t="shared" si="51"/>
        <v>2025-02</v>
      </c>
      <c r="I3052" t="str">
        <f>_xlfn.XLOOKUP(Table1[[#This Row],[Customer_ID]],Customers!$A$2:$A$30,Customers!$C$2:$C$30,"Not found")</f>
        <v>Pays full</v>
      </c>
    </row>
    <row r="3053" spans="1:9">
      <c r="A3053" s="9">
        <v>45698</v>
      </c>
      <c r="B3053" t="s">
        <v>858</v>
      </c>
      <c r="C3053" t="s">
        <v>8</v>
      </c>
      <c r="D3053" s="4">
        <v>175</v>
      </c>
      <c r="E3053" s="4"/>
      <c r="F3053">
        <v>244</v>
      </c>
      <c r="H3053" t="str">
        <f t="shared" si="51"/>
        <v>2025-02</v>
      </c>
      <c r="I3053" t="str">
        <f>_xlfn.XLOOKUP(Table1[[#This Row],[Customer_ID]],Customers!$A$2:$A$30,Customers!$C$2:$C$30,"Not found")</f>
        <v>Pays full</v>
      </c>
    </row>
    <row r="3054" spans="1:9">
      <c r="A3054" s="9">
        <v>45698</v>
      </c>
      <c r="B3054" t="s">
        <v>858</v>
      </c>
      <c r="C3054" t="s">
        <v>8</v>
      </c>
      <c r="D3054" s="4">
        <v>361</v>
      </c>
      <c r="E3054" s="4"/>
      <c r="F3054">
        <v>244</v>
      </c>
      <c r="H3054" t="str">
        <f t="shared" si="51"/>
        <v>2025-02</v>
      </c>
      <c r="I3054" t="str">
        <f>_xlfn.XLOOKUP(Table1[[#This Row],[Customer_ID]],Customers!$A$2:$A$30,Customers!$C$2:$C$30,"Not found")</f>
        <v>Pays full</v>
      </c>
    </row>
    <row r="3055" spans="1:9">
      <c r="A3055" s="9">
        <v>45699</v>
      </c>
      <c r="B3055" t="s">
        <v>858</v>
      </c>
      <c r="C3055" t="s">
        <v>8</v>
      </c>
      <c r="D3055" s="4">
        <v>16</v>
      </c>
      <c r="E3055" s="4"/>
      <c r="F3055">
        <v>244</v>
      </c>
      <c r="H3055" t="str">
        <f t="shared" si="51"/>
        <v>2025-02</v>
      </c>
      <c r="I3055" t="str">
        <f>_xlfn.XLOOKUP(Table1[[#This Row],[Customer_ID]],Customers!$A$2:$A$30,Customers!$C$2:$C$30,"Not found")</f>
        <v>Pays full</v>
      </c>
    </row>
    <row r="3056" spans="1:9">
      <c r="A3056" s="9">
        <v>45699</v>
      </c>
      <c r="B3056" t="s">
        <v>858</v>
      </c>
      <c r="C3056" t="s">
        <v>8</v>
      </c>
      <c r="D3056" s="4">
        <v>184</v>
      </c>
      <c r="E3056" s="4"/>
      <c r="F3056">
        <v>244</v>
      </c>
      <c r="H3056" t="str">
        <f t="shared" si="51"/>
        <v>2025-02</v>
      </c>
      <c r="I3056" t="str">
        <f>_xlfn.XLOOKUP(Table1[[#This Row],[Customer_ID]],Customers!$A$2:$A$30,Customers!$C$2:$C$30,"Not found")</f>
        <v>Pays full</v>
      </c>
    </row>
    <row r="3057" spans="1:9">
      <c r="A3057" s="9">
        <v>45699</v>
      </c>
      <c r="B3057" t="s">
        <v>858</v>
      </c>
      <c r="C3057" t="s">
        <v>8</v>
      </c>
      <c r="D3057" s="4">
        <v>30</v>
      </c>
      <c r="E3057" s="4"/>
      <c r="F3057">
        <v>244</v>
      </c>
      <c r="H3057" t="str">
        <f t="shared" si="51"/>
        <v>2025-02</v>
      </c>
      <c r="I3057" t="str">
        <f>_xlfn.XLOOKUP(Table1[[#This Row],[Customer_ID]],Customers!$A$2:$A$30,Customers!$C$2:$C$30,"Not found")</f>
        <v>Pays full</v>
      </c>
    </row>
    <row r="3058" spans="1:9">
      <c r="A3058" s="9">
        <v>45700</v>
      </c>
      <c r="B3058" t="s">
        <v>858</v>
      </c>
      <c r="C3058" t="s">
        <v>8</v>
      </c>
      <c r="D3058" s="4">
        <v>100</v>
      </c>
      <c r="E3058" s="4"/>
      <c r="F3058">
        <v>244</v>
      </c>
      <c r="G3058" t="s">
        <v>867</v>
      </c>
      <c r="H3058" t="str">
        <f t="shared" si="51"/>
        <v>2025-02</v>
      </c>
      <c r="I3058" t="str">
        <f>_xlfn.XLOOKUP(Table1[[#This Row],[Customer_ID]],Customers!$A$2:$A$30,Customers!$C$2:$C$30,"Not found")</f>
        <v>Pays full</v>
      </c>
    </row>
    <row r="3059" spans="1:9">
      <c r="A3059" s="9">
        <v>45701</v>
      </c>
      <c r="B3059" t="s">
        <v>858</v>
      </c>
      <c r="C3059" t="s">
        <v>8</v>
      </c>
      <c r="D3059" s="4">
        <v>68</v>
      </c>
      <c r="E3059" s="4"/>
      <c r="F3059">
        <v>244</v>
      </c>
      <c r="H3059" t="str">
        <f t="shared" si="51"/>
        <v>2025-02</v>
      </c>
      <c r="I3059" t="str">
        <f>_xlfn.XLOOKUP(Table1[[#This Row],[Customer_ID]],Customers!$A$2:$A$30,Customers!$C$2:$C$30,"Not found")</f>
        <v>Pays full</v>
      </c>
    </row>
    <row r="3060" spans="1:9">
      <c r="A3060" s="9">
        <v>45701</v>
      </c>
      <c r="B3060" t="s">
        <v>858</v>
      </c>
      <c r="C3060" t="s">
        <v>8</v>
      </c>
      <c r="D3060" s="4">
        <v>123</v>
      </c>
      <c r="E3060" s="4"/>
      <c r="F3060">
        <v>244</v>
      </c>
      <c r="H3060" t="str">
        <f t="shared" si="51"/>
        <v>2025-02</v>
      </c>
      <c r="I3060" t="str">
        <f>_xlfn.XLOOKUP(Table1[[#This Row],[Customer_ID]],Customers!$A$2:$A$30,Customers!$C$2:$C$30,"Not found")</f>
        <v>Pays full</v>
      </c>
    </row>
    <row r="3061" spans="1:9">
      <c r="A3061" s="33">
        <v>45702</v>
      </c>
      <c r="B3061" s="34" t="s">
        <v>858</v>
      </c>
      <c r="C3061" s="34" t="s">
        <v>8</v>
      </c>
      <c r="D3061" s="35">
        <v>72</v>
      </c>
      <c r="E3061" s="35"/>
      <c r="F3061" s="34">
        <v>244</v>
      </c>
      <c r="G3061" s="34" t="s">
        <v>868</v>
      </c>
      <c r="H3061" t="str">
        <f t="shared" si="51"/>
        <v>2025-02</v>
      </c>
      <c r="I3061" t="str">
        <f>_xlfn.XLOOKUP(Table1[[#This Row],[Customer_ID]],Customers!$A$2:$A$30,Customers!$C$2:$C$30,"Not found")</f>
        <v>Pays full</v>
      </c>
    </row>
    <row r="3062" spans="1:9">
      <c r="A3062" s="9">
        <v>45702</v>
      </c>
      <c r="B3062" t="s">
        <v>858</v>
      </c>
      <c r="C3062" t="s">
        <v>8</v>
      </c>
      <c r="D3062" s="4">
        <v>68</v>
      </c>
      <c r="E3062" s="4"/>
      <c r="F3062">
        <v>244</v>
      </c>
      <c r="H3062" t="str">
        <f t="shared" si="51"/>
        <v>2025-02</v>
      </c>
      <c r="I3062" t="str">
        <f>_xlfn.XLOOKUP(Table1[[#This Row],[Customer_ID]],Customers!$A$2:$A$30,Customers!$C$2:$C$30,"Not found")</f>
        <v>Pays full</v>
      </c>
    </row>
    <row r="3063" spans="1:9">
      <c r="A3063" s="9">
        <v>45703</v>
      </c>
      <c r="B3063" t="s">
        <v>858</v>
      </c>
      <c r="C3063" t="s">
        <v>8</v>
      </c>
      <c r="D3063" s="4">
        <v>1280</v>
      </c>
      <c r="E3063" s="4"/>
      <c r="F3063">
        <v>244</v>
      </c>
      <c r="G3063" t="s">
        <v>37</v>
      </c>
      <c r="H3063" t="str">
        <f t="shared" si="51"/>
        <v>2025-02</v>
      </c>
      <c r="I3063" t="str">
        <f>_xlfn.XLOOKUP(Table1[[#This Row],[Customer_ID]],Customers!$A$2:$A$30,Customers!$C$2:$C$30,"Not found")</f>
        <v>Pays full</v>
      </c>
    </row>
    <row r="3064" spans="1:9">
      <c r="A3064" s="9">
        <v>45703</v>
      </c>
      <c r="B3064" t="s">
        <v>858</v>
      </c>
      <c r="C3064" t="s">
        <v>8</v>
      </c>
      <c r="D3064" s="4">
        <v>39</v>
      </c>
      <c r="E3064" s="4"/>
      <c r="F3064">
        <v>244</v>
      </c>
      <c r="H3064" t="str">
        <f t="shared" si="51"/>
        <v>2025-02</v>
      </c>
      <c r="I3064" t="str">
        <f>_xlfn.XLOOKUP(Table1[[#This Row],[Customer_ID]],Customers!$A$2:$A$30,Customers!$C$2:$C$30,"Not found")</f>
        <v>Pays full</v>
      </c>
    </row>
    <row r="3065" spans="1:9">
      <c r="A3065" s="9">
        <v>45704</v>
      </c>
      <c r="B3065" t="s">
        <v>858</v>
      </c>
      <c r="C3065" t="s">
        <v>8</v>
      </c>
      <c r="D3065" s="4">
        <v>24</v>
      </c>
      <c r="E3065" s="4"/>
      <c r="F3065">
        <v>244</v>
      </c>
      <c r="H3065" t="str">
        <f t="shared" si="51"/>
        <v>2025-02</v>
      </c>
      <c r="I3065" t="str">
        <f>_xlfn.XLOOKUP(Table1[[#This Row],[Customer_ID]],Customers!$A$2:$A$30,Customers!$C$2:$C$30,"Not found")</f>
        <v>Pays full</v>
      </c>
    </row>
    <row r="3066" spans="1:9">
      <c r="A3066" s="33">
        <v>45705</v>
      </c>
      <c r="B3066" s="34" t="s">
        <v>858</v>
      </c>
      <c r="C3066" s="34" t="s">
        <v>8</v>
      </c>
      <c r="D3066" s="35">
        <v>1865</v>
      </c>
      <c r="E3066" s="35"/>
      <c r="F3066" s="34">
        <v>244</v>
      </c>
      <c r="G3066" s="34" t="s">
        <v>869</v>
      </c>
      <c r="H3066" t="str">
        <f t="shared" si="51"/>
        <v>2025-02</v>
      </c>
      <c r="I3066" t="str">
        <f>_xlfn.XLOOKUP(Table1[[#This Row],[Customer_ID]],Customers!$A$2:$A$30,Customers!$C$2:$C$30,"Not found")</f>
        <v>Pays full</v>
      </c>
    </row>
  </sheetData>
  <dataValidations count="2">
    <dataValidation type="list" allowBlank="1" showErrorMessage="1" error="Pick Purchase, Payment, Old_Balance or Adjustment" sqref="C2:C3000" xr:uid="{00000000-0002-0000-0100-000000000000}">
      <formula1>"Purchase,Payment,Old_Balance,Adjustment"</formula1>
    </dataValidation>
    <dataValidation type="decimal" operator="notEqual" allowBlank="1" showErrorMessage="1" error="Amount cannot be 0" sqref="D2:D3000" xr:uid="{00000000-0002-0000-0100-000001000000}">
      <formula1>0</formula1>
    </dataValidation>
  </dataValidations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0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13" customWidth="1"/>
    <col min="2" max="2" width="15" customWidth="1"/>
    <col min="3" max="3" width="22" customWidth="1"/>
    <col min="4" max="4" width="30" customWidth="1"/>
    <col min="5" max="5" width="14.77734375" customWidth="1"/>
  </cols>
  <sheetData>
    <row r="1" spans="1:5">
      <c r="A1" s="5" t="s">
        <v>1</v>
      </c>
      <c r="B1" s="5" t="s">
        <v>70</v>
      </c>
      <c r="C1" s="5" t="s">
        <v>71</v>
      </c>
      <c r="D1" s="5" t="s">
        <v>6</v>
      </c>
      <c r="E1" s="11" t="s">
        <v>645</v>
      </c>
    </row>
    <row r="2" spans="1:5">
      <c r="A2" t="s">
        <v>7</v>
      </c>
      <c r="C2" t="s">
        <v>72</v>
      </c>
      <c r="D2" t="s">
        <v>73</v>
      </c>
      <c r="E2">
        <v>37</v>
      </c>
    </row>
    <row r="3" spans="1:5">
      <c r="A3" t="s">
        <v>31</v>
      </c>
      <c r="C3" t="s">
        <v>74</v>
      </c>
      <c r="D3" t="s">
        <v>75</v>
      </c>
      <c r="E3">
        <v>54</v>
      </c>
    </row>
    <row r="4" spans="1:5">
      <c r="A4" t="s">
        <v>76</v>
      </c>
      <c r="C4" t="s">
        <v>72</v>
      </c>
      <c r="D4" t="s">
        <v>152</v>
      </c>
      <c r="E4">
        <v>127</v>
      </c>
    </row>
    <row r="5" spans="1:5">
      <c r="A5" t="s">
        <v>77</v>
      </c>
      <c r="C5" t="s">
        <v>72</v>
      </c>
      <c r="D5" t="s">
        <v>153</v>
      </c>
      <c r="E5">
        <v>128</v>
      </c>
    </row>
    <row r="6" spans="1:5">
      <c r="A6" t="s">
        <v>78</v>
      </c>
      <c r="C6" t="s">
        <v>72</v>
      </c>
      <c r="D6" t="s">
        <v>154</v>
      </c>
      <c r="E6">
        <v>134</v>
      </c>
    </row>
    <row r="7" spans="1:5">
      <c r="A7" t="s">
        <v>79</v>
      </c>
      <c r="C7" t="s">
        <v>155</v>
      </c>
      <c r="D7" t="s">
        <v>647</v>
      </c>
      <c r="E7" t="s">
        <v>646</v>
      </c>
    </row>
    <row r="8" spans="1:5">
      <c r="A8" t="s">
        <v>80</v>
      </c>
      <c r="C8" t="s">
        <v>74</v>
      </c>
      <c r="D8" t="s">
        <v>648</v>
      </c>
      <c r="E8">
        <v>96</v>
      </c>
    </row>
    <row r="9" spans="1:5">
      <c r="A9" t="s">
        <v>81</v>
      </c>
      <c r="C9" t="s">
        <v>72</v>
      </c>
      <c r="D9" t="s">
        <v>650</v>
      </c>
      <c r="E9" t="s">
        <v>649</v>
      </c>
    </row>
    <row r="10" spans="1:5">
      <c r="A10" t="s">
        <v>82</v>
      </c>
      <c r="C10" t="s">
        <v>72</v>
      </c>
      <c r="D10" t="s">
        <v>651</v>
      </c>
      <c r="E10" t="s">
        <v>649</v>
      </c>
    </row>
    <row r="11" spans="1:5">
      <c r="A11" t="s">
        <v>83</v>
      </c>
      <c r="C11" t="s">
        <v>155</v>
      </c>
      <c r="D11" t="s">
        <v>652</v>
      </c>
      <c r="E11">
        <v>100</v>
      </c>
    </row>
    <row r="12" spans="1:5">
      <c r="A12" t="s">
        <v>84</v>
      </c>
      <c r="C12" t="s">
        <v>74</v>
      </c>
      <c r="D12" t="s">
        <v>653</v>
      </c>
      <c r="E12">
        <v>115</v>
      </c>
    </row>
    <row r="13" spans="1:5">
      <c r="A13" t="s">
        <v>85</v>
      </c>
      <c r="C13" t="s">
        <v>72</v>
      </c>
      <c r="D13" t="s">
        <v>654</v>
      </c>
      <c r="E13">
        <v>113</v>
      </c>
    </row>
    <row r="14" spans="1:5">
      <c r="A14" t="s">
        <v>86</v>
      </c>
      <c r="C14" t="s">
        <v>72</v>
      </c>
      <c r="D14" t="s">
        <v>655</v>
      </c>
      <c r="E14">
        <v>114</v>
      </c>
    </row>
    <row r="15" spans="1:5">
      <c r="A15" t="s">
        <v>87</v>
      </c>
      <c r="C15" t="s">
        <v>72</v>
      </c>
      <c r="D15" t="s">
        <v>656</v>
      </c>
      <c r="E15">
        <v>111</v>
      </c>
    </row>
    <row r="16" spans="1:5">
      <c r="A16" t="s">
        <v>88</v>
      </c>
      <c r="C16" t="s">
        <v>74</v>
      </c>
      <c r="D16" t="s">
        <v>657</v>
      </c>
      <c r="E16">
        <v>85</v>
      </c>
    </row>
    <row r="17" spans="1:5">
      <c r="A17" t="s">
        <v>89</v>
      </c>
      <c r="C17" t="s">
        <v>155</v>
      </c>
      <c r="D17" t="s">
        <v>658</v>
      </c>
      <c r="E17">
        <v>107</v>
      </c>
    </row>
    <row r="18" spans="1:5">
      <c r="A18" t="s">
        <v>90</v>
      </c>
      <c r="C18" t="s">
        <v>72</v>
      </c>
      <c r="D18" t="s">
        <v>660</v>
      </c>
      <c r="E18" t="s">
        <v>659</v>
      </c>
    </row>
    <row r="19" spans="1:5">
      <c r="A19" t="s">
        <v>91</v>
      </c>
      <c r="C19" t="s">
        <v>74</v>
      </c>
      <c r="D19" t="s">
        <v>661</v>
      </c>
      <c r="E19">
        <v>110</v>
      </c>
    </row>
    <row r="20" spans="1:5">
      <c r="A20" t="s">
        <v>92</v>
      </c>
      <c r="C20" t="s">
        <v>72</v>
      </c>
      <c r="D20" t="s">
        <v>662</v>
      </c>
      <c r="E20">
        <v>105</v>
      </c>
    </row>
    <row r="21" spans="1:5">
      <c r="A21" t="s">
        <v>93</v>
      </c>
      <c r="C21" t="s">
        <v>72</v>
      </c>
      <c r="D21" t="s">
        <v>663</v>
      </c>
      <c r="E21">
        <v>104</v>
      </c>
    </row>
    <row r="22" spans="1:5">
      <c r="A22" t="s">
        <v>446</v>
      </c>
      <c r="C22" t="s">
        <v>72</v>
      </c>
      <c r="D22" t="s">
        <v>664</v>
      </c>
      <c r="E22">
        <v>103</v>
      </c>
    </row>
    <row r="23" spans="1:5">
      <c r="A23" t="s">
        <v>489</v>
      </c>
      <c r="C23" t="s">
        <v>72</v>
      </c>
      <c r="D23" t="s">
        <v>665</v>
      </c>
      <c r="E23">
        <v>69</v>
      </c>
    </row>
    <row r="24" spans="1:5">
      <c r="A24" t="s">
        <v>502</v>
      </c>
      <c r="C24" t="s">
        <v>155</v>
      </c>
      <c r="D24" t="s">
        <v>666</v>
      </c>
      <c r="E24">
        <v>68</v>
      </c>
    </row>
    <row r="25" spans="1:5">
      <c r="A25" t="s">
        <v>521</v>
      </c>
      <c r="C25" t="s">
        <v>155</v>
      </c>
      <c r="D25" t="s">
        <v>667</v>
      </c>
      <c r="E25">
        <v>56</v>
      </c>
    </row>
    <row r="26" spans="1:5">
      <c r="A26" t="s">
        <v>545</v>
      </c>
      <c r="C26" t="s">
        <v>72</v>
      </c>
      <c r="D26" t="s">
        <v>668</v>
      </c>
      <c r="E26">
        <v>30</v>
      </c>
    </row>
    <row r="27" spans="1:5">
      <c r="A27" t="s">
        <v>564</v>
      </c>
      <c r="C27" t="s">
        <v>155</v>
      </c>
      <c r="D27" t="s">
        <v>669</v>
      </c>
      <c r="E27">
        <v>63</v>
      </c>
    </row>
    <row r="28" spans="1:5">
      <c r="A28" t="s">
        <v>590</v>
      </c>
      <c r="C28" t="s">
        <v>155</v>
      </c>
      <c r="D28" t="s">
        <v>671</v>
      </c>
      <c r="E28" t="s">
        <v>670</v>
      </c>
    </row>
    <row r="29" spans="1:5">
      <c r="A29" t="s">
        <v>846</v>
      </c>
      <c r="C29" t="s">
        <v>74</v>
      </c>
      <c r="D29" t="s">
        <v>870</v>
      </c>
      <c r="E29">
        <v>97</v>
      </c>
    </row>
    <row r="30" spans="1:5">
      <c r="A30" t="s">
        <v>858</v>
      </c>
      <c r="C30" t="s">
        <v>74</v>
      </c>
      <c r="D30" t="s">
        <v>871</v>
      </c>
      <c r="E30" t="s">
        <v>872</v>
      </c>
    </row>
  </sheetData>
  <phoneticPr fontId="7" type="noConversion"/>
  <dataValidations count="1">
    <dataValidation type="list" allowBlank="1" sqref="C2:C21" xr:uid="{00000000-0002-0000-0200-000000000000}">
      <formula1>"Pays full,Carries forward,Mixed"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"/>
  <sheetViews>
    <sheetView workbookViewId="0"/>
  </sheetViews>
  <sheetFormatPr defaultRowHeight="14.4"/>
  <cols>
    <col min="1" max="2" width="13" customWidth="1"/>
    <col min="3" max="3" width="12" customWidth="1"/>
    <col min="4" max="4" width="11" customWidth="1"/>
    <col min="5" max="5" width="16" customWidth="1"/>
    <col min="6" max="6" width="10" customWidth="1"/>
    <col min="7" max="7" width="30" customWidth="1"/>
  </cols>
  <sheetData>
    <row r="1" spans="1:7">
      <c r="A1" s="6" t="s">
        <v>94</v>
      </c>
    </row>
    <row r="2" spans="1:7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</row>
    <row r="3" spans="1:7">
      <c r="A3" s="3">
        <v>45567</v>
      </c>
      <c r="B3" t="s">
        <v>7</v>
      </c>
      <c r="C3" t="s">
        <v>8</v>
      </c>
      <c r="D3">
        <v>240</v>
      </c>
      <c r="F3">
        <v>1</v>
      </c>
    </row>
    <row r="4" spans="1:7">
      <c r="A4" s="3">
        <v>45567</v>
      </c>
      <c r="B4" t="s">
        <v>7</v>
      </c>
      <c r="C4" t="s">
        <v>8</v>
      </c>
      <c r="D4">
        <v>60</v>
      </c>
      <c r="F4">
        <v>1</v>
      </c>
      <c r="G4" t="s">
        <v>95</v>
      </c>
    </row>
    <row r="5" spans="1:7">
      <c r="A5" s="3">
        <v>45570</v>
      </c>
      <c r="B5" t="s">
        <v>7</v>
      </c>
      <c r="C5" t="s">
        <v>8</v>
      </c>
      <c r="D5">
        <v>415</v>
      </c>
      <c r="F5">
        <v>1</v>
      </c>
    </row>
    <row r="6" spans="1:7">
      <c r="A6" s="3">
        <v>45584</v>
      </c>
      <c r="B6" t="s">
        <v>7</v>
      </c>
      <c r="C6" t="s">
        <v>8</v>
      </c>
      <c r="D6">
        <v>380</v>
      </c>
      <c r="E6">
        <v>1095</v>
      </c>
      <c r="F6">
        <v>1</v>
      </c>
      <c r="G6" t="s">
        <v>96</v>
      </c>
    </row>
    <row r="7" spans="1:7">
      <c r="A7" s="3">
        <v>45599</v>
      </c>
      <c r="B7" t="s">
        <v>7</v>
      </c>
      <c r="C7" t="s">
        <v>14</v>
      </c>
      <c r="D7">
        <v>800</v>
      </c>
      <c r="F7">
        <v>2</v>
      </c>
      <c r="G7" t="s">
        <v>97</v>
      </c>
    </row>
    <row r="8" spans="1:7">
      <c r="A8" s="3">
        <v>45599</v>
      </c>
      <c r="B8" t="s">
        <v>7</v>
      </c>
      <c r="C8" t="s">
        <v>8</v>
      </c>
      <c r="D8">
        <v>150</v>
      </c>
      <c r="E8">
        <v>445</v>
      </c>
      <c r="F8">
        <v>2</v>
      </c>
      <c r="G8" t="s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How_to_fill</vt:lpstr>
      <vt:lpstr>Top_Customers</vt:lpstr>
      <vt:lpstr>Customer_Summary</vt:lpstr>
      <vt:lpstr>Monthly_Visits</vt:lpstr>
      <vt:lpstr>Monthly_Purchases</vt:lpstr>
      <vt:lpstr>Charts</vt:lpstr>
      <vt:lpstr>Data_Checks</vt:lpstr>
      <vt:lpstr>How_it_works</vt:lpstr>
      <vt:lpstr>Ledger</vt:lpstr>
      <vt:lpstr>Customers</vt:lpstr>
      <vt:lpstr>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Chethan Gowda hp</cp:lastModifiedBy>
  <dcterms:created xsi:type="dcterms:W3CDTF">2026-09-28T08:21:07Z</dcterms:created>
  <dcterms:modified xsi:type="dcterms:W3CDTF">2026-10-21T15:17:27Z</dcterms:modified>
</cp:coreProperties>
</file>